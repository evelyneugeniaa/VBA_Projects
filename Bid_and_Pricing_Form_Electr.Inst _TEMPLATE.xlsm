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er\HESSENBOX-DA\LLC Material Costing Tool\"/>
    </mc:Choice>
  </mc:AlternateContent>
  <xr:revisionPtr revIDLastSave="0" documentId="13_ncr:1_{307FC511-475C-4D4F-8070-6714372CD502}" xr6:coauthVersionLast="47" xr6:coauthVersionMax="47" xr10:uidLastSave="{00000000-0000-0000-0000-000000000000}"/>
  <bookViews>
    <workbookView minimized="1" xWindow="5532" yWindow="5328" windowWidth="1992" windowHeight="996" tabRatio="648" firstSheet="2" activeTab="2" xr2:uid="{54D6E9BF-3B69-49A9-9CB5-318B61D9C759}"/>
  </bookViews>
  <sheets>
    <sheet name="Pricing Sheet" sheetId="11" r:id="rId1"/>
    <sheet name="New Baggage Handling System" sheetId="2" state="hidden" r:id="rId2"/>
    <sheet name="Belt Inst. BoQ-E" sheetId="23" r:id="rId3"/>
    <sheet name="ICS Inst. BoQ-E" sheetId="24" r:id="rId4"/>
    <sheet name="Equipment Rates" sheetId="4" r:id="rId5"/>
    <sheet name="Labour Rates" sheetId="5" r:id="rId6"/>
    <sheet name="Expenses" sheetId="19" r:id="rId7"/>
  </sheets>
  <externalReferences>
    <externalReference r:id="rId8"/>
  </externalReferences>
  <definedNames>
    <definedName name="_xlnm._FilterDatabase" localSheetId="2" hidden="1">'Belt Inst. BoQ-E'!$B$2:$GC$298</definedName>
    <definedName name="_xlnm._FilterDatabase" localSheetId="4" hidden="1">'Equipment Rates'!$B$4:$H$15</definedName>
    <definedName name="_xlnm._FilterDatabase" localSheetId="3" hidden="1">'ICS Inst. BoQ-E'!$B$2:$GC$276</definedName>
    <definedName name="_xlnm._FilterDatabase" localSheetId="1" hidden="1">'New Baggage Handling System'!$A$1:$L$99</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2" i="23" l="1"/>
  <c r="K84" i="23"/>
  <c r="K96" i="23"/>
  <c r="K118" i="23"/>
  <c r="K130" i="23"/>
  <c r="K311" i="23" s="1"/>
  <c r="K305" i="23"/>
  <c r="K316" i="23" s="1"/>
  <c r="K283" i="24"/>
  <c r="K130" i="24"/>
  <c r="K290" i="24" s="1"/>
  <c r="K108" i="24"/>
  <c r="K289" i="24" s="1"/>
  <c r="K96" i="24"/>
  <c r="K76" i="24"/>
  <c r="K287" i="24" s="1"/>
  <c r="K64" i="24"/>
  <c r="K286" i="24" s="1"/>
  <c r="K52" i="24"/>
  <c r="K285" i="24" s="1"/>
  <c r="K288" i="24"/>
  <c r="K294" i="24"/>
  <c r="K310" i="23"/>
  <c r="K309" i="23"/>
  <c r="D5" i="24"/>
  <c r="D4" i="24"/>
  <c r="G3" i="24"/>
  <c r="G3" i="23"/>
  <c r="D5" i="23"/>
  <c r="D4" i="23"/>
  <c r="H2" i="19"/>
  <c r="G2" i="5"/>
  <c r="H2" i="4"/>
  <c r="C2" i="19"/>
  <c r="C2" i="4"/>
  <c r="C2" i="5"/>
  <c r="K260" i="24"/>
  <c r="K282" i="23"/>
  <c r="E31" i="11"/>
  <c r="G28" i="11"/>
  <c r="G27" i="11"/>
  <c r="C294" i="24"/>
  <c r="C293" i="24"/>
  <c r="C292" i="24"/>
  <c r="C291" i="24"/>
  <c r="C290" i="24"/>
  <c r="C289" i="24"/>
  <c r="C288" i="24"/>
  <c r="C287" i="24"/>
  <c r="C286" i="24"/>
  <c r="C285" i="24"/>
  <c r="L282" i="24"/>
  <c r="L281" i="24"/>
  <c r="L280" i="24"/>
  <c r="L279" i="24"/>
  <c r="L278" i="24"/>
  <c r="L275" i="24"/>
  <c r="L274" i="24"/>
  <c r="L273" i="24"/>
  <c r="L272" i="24"/>
  <c r="L271" i="24"/>
  <c r="L270" i="24"/>
  <c r="L269" i="24"/>
  <c r="L268" i="24"/>
  <c r="L267" i="24"/>
  <c r="L266" i="24"/>
  <c r="L265" i="24"/>
  <c r="L264" i="24"/>
  <c r="L263" i="24"/>
  <c r="L262" i="24"/>
  <c r="L261" i="24"/>
  <c r="L260" i="24"/>
  <c r="L259" i="24"/>
  <c r="K259" i="24"/>
  <c r="L258" i="24"/>
  <c r="K258" i="24"/>
  <c r="L257" i="24"/>
  <c r="K257" i="24"/>
  <c r="L256" i="24"/>
  <c r="K256" i="24"/>
  <c r="L255" i="24"/>
  <c r="K255" i="24"/>
  <c r="L254" i="24"/>
  <c r="K254" i="24"/>
  <c r="L253" i="24"/>
  <c r="K253" i="24"/>
  <c r="L252" i="24"/>
  <c r="K252" i="24"/>
  <c r="L251" i="24"/>
  <c r="K251" i="24"/>
  <c r="L250" i="24"/>
  <c r="K250" i="24"/>
  <c r="L249" i="24"/>
  <c r="K249" i="24"/>
  <c r="L248" i="24"/>
  <c r="K248" i="24"/>
  <c r="L247" i="24"/>
  <c r="K247" i="24"/>
  <c r="L246" i="24"/>
  <c r="K246" i="24"/>
  <c r="L245" i="24"/>
  <c r="K245" i="24"/>
  <c r="L244" i="24"/>
  <c r="K244" i="24"/>
  <c r="L243" i="24"/>
  <c r="K243" i="24"/>
  <c r="L242" i="24"/>
  <c r="K242" i="24"/>
  <c r="L241" i="24"/>
  <c r="K241" i="24"/>
  <c r="L240" i="24"/>
  <c r="K240" i="24"/>
  <c r="L239" i="24"/>
  <c r="K239" i="24"/>
  <c r="L238" i="24"/>
  <c r="K238" i="24"/>
  <c r="L237" i="24"/>
  <c r="K237" i="24"/>
  <c r="L236" i="24"/>
  <c r="K236" i="24"/>
  <c r="L235" i="24"/>
  <c r="K235" i="24"/>
  <c r="L234" i="24"/>
  <c r="K234" i="24"/>
  <c r="L233" i="24"/>
  <c r="K233" i="24"/>
  <c r="L232" i="24"/>
  <c r="K232" i="24"/>
  <c r="L231" i="24"/>
  <c r="K231" i="24"/>
  <c r="L230" i="24"/>
  <c r="K230" i="24"/>
  <c r="L229" i="24"/>
  <c r="K229" i="24"/>
  <c r="L228" i="24"/>
  <c r="K228" i="24"/>
  <c r="L227" i="24"/>
  <c r="K227" i="24"/>
  <c r="L226" i="24"/>
  <c r="K226" i="24"/>
  <c r="L223" i="24"/>
  <c r="K223" i="24"/>
  <c r="L222" i="24"/>
  <c r="K222" i="24"/>
  <c r="L221" i="24"/>
  <c r="K221" i="24"/>
  <c r="L220" i="24"/>
  <c r="K220" i="24"/>
  <c r="L219" i="24"/>
  <c r="K219" i="24"/>
  <c r="L218" i="24"/>
  <c r="K218" i="24"/>
  <c r="L217" i="24"/>
  <c r="K217" i="24"/>
  <c r="L216" i="24"/>
  <c r="K216" i="24"/>
  <c r="L215" i="24"/>
  <c r="K215" i="24"/>
  <c r="L214" i="24"/>
  <c r="K214" i="24"/>
  <c r="L213" i="24"/>
  <c r="K213" i="24"/>
  <c r="L212" i="24"/>
  <c r="K212" i="24"/>
  <c r="L211" i="24"/>
  <c r="K211" i="24"/>
  <c r="L210" i="24"/>
  <c r="K210" i="24"/>
  <c r="L209" i="24"/>
  <c r="K209" i="24"/>
  <c r="L208" i="24"/>
  <c r="K208" i="24"/>
  <c r="L207" i="24"/>
  <c r="K207" i="24"/>
  <c r="L206" i="24"/>
  <c r="K206" i="24"/>
  <c r="L205" i="24"/>
  <c r="K205" i="24"/>
  <c r="L204" i="24"/>
  <c r="K204" i="24"/>
  <c r="L203" i="24"/>
  <c r="K203" i="24"/>
  <c r="L202" i="24"/>
  <c r="K202" i="24"/>
  <c r="L201" i="24"/>
  <c r="K201" i="24"/>
  <c r="L200" i="24"/>
  <c r="K200" i="24"/>
  <c r="L199" i="24"/>
  <c r="K199" i="24"/>
  <c r="L198" i="24"/>
  <c r="K198" i="24"/>
  <c r="L197" i="24"/>
  <c r="K197" i="24"/>
  <c r="L196" i="24"/>
  <c r="K196" i="24"/>
  <c r="L195" i="24"/>
  <c r="K195" i="24"/>
  <c r="L194" i="24"/>
  <c r="K194" i="24"/>
  <c r="L190" i="24"/>
  <c r="K190" i="24"/>
  <c r="L189" i="24"/>
  <c r="K189" i="24"/>
  <c r="L188" i="24"/>
  <c r="K188" i="24"/>
  <c r="L187" i="24"/>
  <c r="K187" i="24"/>
  <c r="L186" i="24"/>
  <c r="K186" i="24"/>
  <c r="L185" i="24"/>
  <c r="K185" i="24"/>
  <c r="L184" i="24"/>
  <c r="K184" i="24"/>
  <c r="L183" i="24"/>
  <c r="K183" i="24"/>
  <c r="L182" i="24"/>
  <c r="K182" i="24"/>
  <c r="L181" i="24"/>
  <c r="K181" i="24"/>
  <c r="L180" i="24"/>
  <c r="K180" i="24"/>
  <c r="L179" i="24"/>
  <c r="K179" i="24"/>
  <c r="L178" i="24"/>
  <c r="K178" i="24"/>
  <c r="L177" i="24"/>
  <c r="K177" i="24"/>
  <c r="L176" i="24"/>
  <c r="K176" i="24"/>
  <c r="L175" i="24"/>
  <c r="K175" i="24"/>
  <c r="L174" i="24"/>
  <c r="K174" i="24"/>
  <c r="L173" i="24"/>
  <c r="K173" i="24"/>
  <c r="L172" i="24"/>
  <c r="K172" i="24"/>
  <c r="L171" i="24"/>
  <c r="K171" i="24"/>
  <c r="L170" i="24"/>
  <c r="K170" i="24"/>
  <c r="L169" i="24"/>
  <c r="K169" i="24"/>
  <c r="L168" i="24"/>
  <c r="K168" i="24"/>
  <c r="L167" i="24"/>
  <c r="K167" i="24"/>
  <c r="L166" i="24"/>
  <c r="K166" i="24"/>
  <c r="L165" i="24"/>
  <c r="K165" i="24"/>
  <c r="L164" i="24"/>
  <c r="K164" i="24"/>
  <c r="L163" i="24"/>
  <c r="K163" i="24"/>
  <c r="L162" i="24"/>
  <c r="K162" i="24"/>
  <c r="L161" i="24"/>
  <c r="K161" i="24"/>
  <c r="L160" i="24"/>
  <c r="K160" i="24"/>
  <c r="L159" i="24"/>
  <c r="K159" i="24"/>
  <c r="L158" i="24"/>
  <c r="K158" i="24"/>
  <c r="L157" i="24"/>
  <c r="K157" i="24"/>
  <c r="L156" i="24"/>
  <c r="K156" i="24"/>
  <c r="L155" i="24"/>
  <c r="K155" i="24"/>
  <c r="L154" i="24"/>
  <c r="K154" i="24"/>
  <c r="L153" i="24"/>
  <c r="K153" i="24"/>
  <c r="L152" i="24"/>
  <c r="K152" i="24"/>
  <c r="L151" i="24"/>
  <c r="K151" i="24"/>
  <c r="L150" i="24"/>
  <c r="K150" i="24"/>
  <c r="L149" i="24"/>
  <c r="K149" i="24"/>
  <c r="L148" i="24"/>
  <c r="K148" i="24"/>
  <c r="L147" i="24"/>
  <c r="K147" i="24"/>
  <c r="L146" i="24"/>
  <c r="K146" i="24"/>
  <c r="L145" i="24"/>
  <c r="K145" i="24"/>
  <c r="L144" i="24"/>
  <c r="K144" i="24"/>
  <c r="L143" i="24"/>
  <c r="K143" i="24"/>
  <c r="L142" i="24"/>
  <c r="K142" i="24"/>
  <c r="L141" i="24"/>
  <c r="K141" i="24"/>
  <c r="L140" i="24"/>
  <c r="K140" i="24"/>
  <c r="L139" i="24"/>
  <c r="K139" i="24"/>
  <c r="L138" i="24"/>
  <c r="K138" i="24"/>
  <c r="L137" i="24"/>
  <c r="K137" i="24"/>
  <c r="L136" i="24"/>
  <c r="K136" i="24"/>
  <c r="L135" i="24"/>
  <c r="K135" i="24"/>
  <c r="L134" i="24"/>
  <c r="K134" i="24"/>
  <c r="L133" i="24"/>
  <c r="K133" i="24"/>
  <c r="L132" i="24"/>
  <c r="K132" i="24"/>
  <c r="L129" i="24"/>
  <c r="L128" i="24"/>
  <c r="L127" i="24"/>
  <c r="L126" i="24"/>
  <c r="L125" i="24"/>
  <c r="L124" i="24"/>
  <c r="L123" i="24"/>
  <c r="L122" i="24"/>
  <c r="L121" i="24"/>
  <c r="L120" i="24"/>
  <c r="L119" i="24"/>
  <c r="L118" i="24"/>
  <c r="L117" i="24"/>
  <c r="L116" i="24"/>
  <c r="L115" i="24"/>
  <c r="L114" i="24"/>
  <c r="L113" i="24"/>
  <c r="L112" i="24"/>
  <c r="L111" i="24"/>
  <c r="L110" i="24"/>
  <c r="L107" i="24"/>
  <c r="L106" i="24"/>
  <c r="L105" i="24"/>
  <c r="L104" i="24"/>
  <c r="L103" i="24"/>
  <c r="L102" i="24"/>
  <c r="L101" i="24"/>
  <c r="L100" i="24"/>
  <c r="L99" i="24"/>
  <c r="L98" i="24"/>
  <c r="L95" i="24"/>
  <c r="L94" i="24"/>
  <c r="L93" i="24"/>
  <c r="L92" i="24"/>
  <c r="L91" i="24"/>
  <c r="L90" i="24"/>
  <c r="L89" i="24"/>
  <c r="L88" i="24"/>
  <c r="L87" i="24"/>
  <c r="L86" i="24"/>
  <c r="L85" i="24"/>
  <c r="L84" i="24"/>
  <c r="L83" i="24"/>
  <c r="L82" i="24"/>
  <c r="L81" i="24"/>
  <c r="L80" i="24"/>
  <c r="L79" i="24"/>
  <c r="L78" i="24"/>
  <c r="L75" i="24"/>
  <c r="L74" i="24"/>
  <c r="L73" i="24"/>
  <c r="L72" i="24"/>
  <c r="L71" i="24"/>
  <c r="L70" i="24"/>
  <c r="L69" i="24"/>
  <c r="L68" i="24"/>
  <c r="L67" i="24"/>
  <c r="L66" i="24"/>
  <c r="L63" i="24"/>
  <c r="L62" i="24"/>
  <c r="L61" i="24"/>
  <c r="L60" i="24"/>
  <c r="L59" i="24"/>
  <c r="L58" i="24"/>
  <c r="L57" i="24"/>
  <c r="L56" i="24"/>
  <c r="L55" i="24"/>
  <c r="L54"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C314" i="23"/>
  <c r="C315" i="23"/>
  <c r="C316" i="23"/>
  <c r="L244" i="23"/>
  <c r="K244" i="23"/>
  <c r="L243" i="23"/>
  <c r="K243" i="23"/>
  <c r="L242" i="23"/>
  <c r="K242" i="23"/>
  <c r="L241" i="23"/>
  <c r="K241" i="23"/>
  <c r="L240" i="23"/>
  <c r="K240" i="23"/>
  <c r="L239" i="23"/>
  <c r="K239" i="23"/>
  <c r="L238" i="23"/>
  <c r="K238" i="23"/>
  <c r="L237" i="23"/>
  <c r="K237" i="23"/>
  <c r="L236" i="23"/>
  <c r="K236" i="23"/>
  <c r="L235" i="23"/>
  <c r="K235" i="23"/>
  <c r="L234" i="23"/>
  <c r="K234" i="23"/>
  <c r="L233" i="23"/>
  <c r="K233" i="23"/>
  <c r="L232" i="23"/>
  <c r="K232" i="23"/>
  <c r="L231" i="23"/>
  <c r="K231" i="23"/>
  <c r="L230" i="23"/>
  <c r="K230" i="23"/>
  <c r="L229" i="23"/>
  <c r="K229" i="23"/>
  <c r="L228" i="23"/>
  <c r="K228" i="23"/>
  <c r="L227" i="23"/>
  <c r="K227" i="23"/>
  <c r="L226" i="23"/>
  <c r="K226" i="23"/>
  <c r="L225" i="23"/>
  <c r="K225" i="23"/>
  <c r="L224" i="23"/>
  <c r="K224" i="23"/>
  <c r="L223" i="23"/>
  <c r="K223" i="23"/>
  <c r="L222" i="23"/>
  <c r="K222" i="23"/>
  <c r="L221" i="23"/>
  <c r="K221" i="23"/>
  <c r="L220" i="23"/>
  <c r="K220" i="23"/>
  <c r="L219" i="23"/>
  <c r="K219" i="23"/>
  <c r="L218" i="23"/>
  <c r="K218" i="23"/>
  <c r="L217" i="23"/>
  <c r="K217" i="23"/>
  <c r="L216" i="23"/>
  <c r="K216" i="23"/>
  <c r="K224" i="24" l="1"/>
  <c r="K292" i="24" s="1"/>
  <c r="L224" i="24"/>
  <c r="L292" i="24" s="1"/>
  <c r="L64" i="24"/>
  <c r="L286" i="24" s="1"/>
  <c r="L130" i="24"/>
  <c r="L290" i="24" s="1"/>
  <c r="L108" i="24"/>
  <c r="L289" i="24" s="1"/>
  <c r="L96" i="24"/>
  <c r="L288" i="24" s="1"/>
  <c r="L76" i="24"/>
  <c r="L287" i="24" s="1"/>
  <c r="K192" i="24"/>
  <c r="K291" i="24" s="1"/>
  <c r="K276" i="24"/>
  <c r="K293" i="24" s="1"/>
  <c r="L276" i="24"/>
  <c r="L293" i="24" s="1"/>
  <c r="L283" i="24"/>
  <c r="L294" i="24" s="1"/>
  <c r="L52" i="24"/>
  <c r="L285" i="24" s="1"/>
  <c r="L192" i="24"/>
  <c r="L291" i="24" s="1"/>
  <c r="K296" i="24" l="1"/>
  <c r="E30" i="11" s="1"/>
  <c r="L296" i="24"/>
  <c r="E28" i="11" s="1"/>
  <c r="L106" i="23" l="1"/>
  <c r="L105" i="23"/>
  <c r="L104" i="23"/>
  <c r="L103" i="23"/>
  <c r="L102" i="23"/>
  <c r="L101" i="23"/>
  <c r="L100" i="23"/>
  <c r="L99" i="23"/>
  <c r="L98" i="23"/>
  <c r="K152" i="23"/>
  <c r="K312" i="23" s="1"/>
  <c r="L68" i="23"/>
  <c r="L67" i="23"/>
  <c r="L123" i="23"/>
  <c r="L124" i="23"/>
  <c r="L125" i="23"/>
  <c r="L23" i="23"/>
  <c r="L24" i="23"/>
  <c r="L25" i="23"/>
  <c r="L26" i="23"/>
  <c r="L27" i="23"/>
  <c r="L28" i="23"/>
  <c r="L295" i="23"/>
  <c r="L294" i="23"/>
  <c r="L293" i="23"/>
  <c r="L145" i="23"/>
  <c r="L144" i="23"/>
  <c r="L143" i="23"/>
  <c r="L148" i="23"/>
  <c r="L147" i="23"/>
  <c r="L146" i="23"/>
  <c r="L139" i="23"/>
  <c r="L140" i="23"/>
  <c r="L141" i="23"/>
  <c r="L142" i="23"/>
  <c r="L290" i="23"/>
  <c r="L289" i="23"/>
  <c r="L287" i="23"/>
  <c r="L288" i="23"/>
  <c r="K210" i="23" l="1"/>
  <c r="L210" i="23"/>
  <c r="K211" i="23"/>
  <c r="L211" i="23"/>
  <c r="K212" i="23"/>
  <c r="L212" i="23"/>
  <c r="K245" i="23"/>
  <c r="K246" i="23" s="1"/>
  <c r="K314" i="23" s="1"/>
  <c r="L245" i="23"/>
  <c r="L246" i="23" s="1"/>
  <c r="L314" i="23" s="1"/>
  <c r="K155" i="23"/>
  <c r="L155" i="23"/>
  <c r="K156" i="23"/>
  <c r="L156" i="23"/>
  <c r="K157" i="23"/>
  <c r="L157" i="23"/>
  <c r="K158" i="23"/>
  <c r="L158" i="23"/>
  <c r="K159" i="23"/>
  <c r="L159" i="23"/>
  <c r="K160" i="23"/>
  <c r="L160" i="23"/>
  <c r="K161" i="23"/>
  <c r="L161" i="23"/>
  <c r="K162" i="23"/>
  <c r="L162" i="23"/>
  <c r="K163" i="23"/>
  <c r="L163" i="23"/>
  <c r="K164" i="23"/>
  <c r="L164" i="23"/>
  <c r="K165" i="23"/>
  <c r="L165" i="23"/>
  <c r="K166" i="23"/>
  <c r="L166" i="23"/>
  <c r="K167" i="23"/>
  <c r="L167" i="23"/>
  <c r="K168" i="23"/>
  <c r="L168" i="23"/>
  <c r="K169" i="23"/>
  <c r="L169" i="23"/>
  <c r="K170" i="23"/>
  <c r="L170" i="23"/>
  <c r="K171" i="23"/>
  <c r="L171" i="23"/>
  <c r="K172" i="23"/>
  <c r="L172" i="23"/>
  <c r="K173" i="23"/>
  <c r="L173" i="23"/>
  <c r="K174" i="23"/>
  <c r="L174" i="23"/>
  <c r="K175" i="23"/>
  <c r="L175" i="23"/>
  <c r="K176" i="23"/>
  <c r="L176" i="23"/>
  <c r="K177" i="23"/>
  <c r="L177" i="23"/>
  <c r="K178" i="23"/>
  <c r="L178" i="23"/>
  <c r="K179" i="23"/>
  <c r="L179" i="23"/>
  <c r="K180" i="23"/>
  <c r="L180" i="23"/>
  <c r="K181" i="23"/>
  <c r="L181" i="23"/>
  <c r="K182" i="23"/>
  <c r="L182" i="23"/>
  <c r="K183" i="23"/>
  <c r="L183" i="23"/>
  <c r="K184" i="23"/>
  <c r="L184" i="23"/>
  <c r="K185" i="23"/>
  <c r="L185" i="23"/>
  <c r="K186" i="23"/>
  <c r="L186" i="23"/>
  <c r="K187" i="23"/>
  <c r="L187" i="23"/>
  <c r="K188" i="23"/>
  <c r="L188" i="23"/>
  <c r="K189" i="23"/>
  <c r="L189" i="23"/>
  <c r="K190" i="23"/>
  <c r="L190" i="23"/>
  <c r="K191" i="23"/>
  <c r="L191" i="23"/>
  <c r="K192" i="23"/>
  <c r="L192" i="23"/>
  <c r="K193" i="23"/>
  <c r="L193" i="23"/>
  <c r="K194" i="23"/>
  <c r="L194" i="23"/>
  <c r="K195" i="23"/>
  <c r="L195" i="23"/>
  <c r="K196" i="23"/>
  <c r="L196" i="23"/>
  <c r="K197" i="23"/>
  <c r="L197" i="23"/>
  <c r="K198" i="23"/>
  <c r="L198" i="23"/>
  <c r="K199" i="23"/>
  <c r="L199" i="23"/>
  <c r="K200" i="23"/>
  <c r="L200" i="23"/>
  <c r="K201" i="23"/>
  <c r="L201" i="23"/>
  <c r="K202" i="23"/>
  <c r="L202" i="23"/>
  <c r="K203" i="23"/>
  <c r="L203" i="23"/>
  <c r="K204" i="23"/>
  <c r="L204" i="23"/>
  <c r="K205" i="23"/>
  <c r="L205" i="23"/>
  <c r="K206" i="23"/>
  <c r="L206" i="23"/>
  <c r="K207" i="23"/>
  <c r="L207" i="23"/>
  <c r="K208" i="23"/>
  <c r="L208" i="23"/>
  <c r="K209" i="23"/>
  <c r="L209" i="23"/>
  <c r="L154" i="23"/>
  <c r="K154" i="23"/>
  <c r="L281" i="23"/>
  <c r="K281" i="23"/>
  <c r="K249" i="23"/>
  <c r="L249" i="23"/>
  <c r="K253" i="23"/>
  <c r="L253" i="23"/>
  <c r="K257" i="23"/>
  <c r="L257" i="23"/>
  <c r="K258" i="23"/>
  <c r="L258" i="23"/>
  <c r="K254" i="23"/>
  <c r="L254" i="23"/>
  <c r="K262" i="23"/>
  <c r="L262" i="23"/>
  <c r="K263" i="23"/>
  <c r="L263" i="23"/>
  <c r="K264" i="23"/>
  <c r="L264" i="23"/>
  <c r="K265" i="23"/>
  <c r="L265" i="23"/>
  <c r="K267" i="23"/>
  <c r="L267" i="23"/>
  <c r="K268" i="23"/>
  <c r="L268" i="23"/>
  <c r="K269" i="23"/>
  <c r="L269" i="23"/>
  <c r="K271" i="23"/>
  <c r="L271" i="23"/>
  <c r="K272" i="23"/>
  <c r="L272" i="23"/>
  <c r="K274" i="23"/>
  <c r="L274" i="23"/>
  <c r="K275" i="23"/>
  <c r="L275" i="23"/>
  <c r="K214" i="23" l="1"/>
  <c r="K313" i="23" s="1"/>
  <c r="L214" i="23"/>
  <c r="L313" i="23" s="1"/>
  <c r="C308" i="23"/>
  <c r="C309" i="23"/>
  <c r="C310" i="23"/>
  <c r="C311" i="23"/>
  <c r="C312" i="23"/>
  <c r="C313" i="23"/>
  <c r="C307" i="23"/>
  <c r="L304" i="23"/>
  <c r="L303" i="23"/>
  <c r="L302" i="23"/>
  <c r="L301" i="23"/>
  <c r="L300" i="23"/>
  <c r="L297" i="23"/>
  <c r="L296" i="23"/>
  <c r="L292" i="23"/>
  <c r="L286" i="23"/>
  <c r="L291" i="23"/>
  <c r="L285" i="23"/>
  <c r="L284" i="23"/>
  <c r="L283" i="23"/>
  <c r="L282" i="23"/>
  <c r="L280" i="23"/>
  <c r="K280" i="23"/>
  <c r="L279" i="23"/>
  <c r="K279" i="23"/>
  <c r="L278" i="23"/>
  <c r="K278" i="23"/>
  <c r="L277" i="23"/>
  <c r="K277" i="23"/>
  <c r="L276" i="23"/>
  <c r="K276" i="23"/>
  <c r="L273" i="23"/>
  <c r="K273" i="23"/>
  <c r="L270" i="23"/>
  <c r="K270" i="23"/>
  <c r="L266" i="23"/>
  <c r="K266" i="23"/>
  <c r="L261" i="23"/>
  <c r="K261" i="23"/>
  <c r="L260" i="23"/>
  <c r="K260" i="23"/>
  <c r="L259" i="23"/>
  <c r="K259" i="23"/>
  <c r="L256" i="23"/>
  <c r="K256" i="23"/>
  <c r="L255" i="23"/>
  <c r="K255" i="23"/>
  <c r="L252" i="23"/>
  <c r="K252" i="23"/>
  <c r="L251" i="23"/>
  <c r="K251" i="23"/>
  <c r="L250" i="23"/>
  <c r="K250" i="23"/>
  <c r="L248" i="23"/>
  <c r="K248" i="23"/>
  <c r="L151" i="23"/>
  <c r="L150" i="23"/>
  <c r="L149" i="23"/>
  <c r="L138" i="23"/>
  <c r="L137" i="23"/>
  <c r="L136" i="23"/>
  <c r="L135" i="23"/>
  <c r="L134" i="23"/>
  <c r="L133" i="23"/>
  <c r="L132" i="23"/>
  <c r="L129" i="23"/>
  <c r="L128" i="23"/>
  <c r="L127" i="23"/>
  <c r="L126" i="23"/>
  <c r="L122" i="23"/>
  <c r="L120" i="23"/>
  <c r="L117" i="23"/>
  <c r="L116" i="23"/>
  <c r="L115" i="23"/>
  <c r="L114" i="23"/>
  <c r="L113" i="23"/>
  <c r="L112" i="23"/>
  <c r="L111" i="23"/>
  <c r="L110" i="23"/>
  <c r="L109" i="23"/>
  <c r="L108" i="23"/>
  <c r="L107" i="23"/>
  <c r="L95" i="23"/>
  <c r="L94" i="23"/>
  <c r="L93" i="23"/>
  <c r="L92" i="23"/>
  <c r="L91" i="23"/>
  <c r="L90" i="23"/>
  <c r="L89" i="23"/>
  <c r="L88" i="23"/>
  <c r="L87" i="23"/>
  <c r="L86" i="23"/>
  <c r="L83" i="23"/>
  <c r="L82" i="23"/>
  <c r="L81" i="23"/>
  <c r="L80" i="23"/>
  <c r="L79" i="23"/>
  <c r="L78" i="23"/>
  <c r="L77" i="23"/>
  <c r="L76" i="23"/>
  <c r="L75" i="23"/>
  <c r="L74" i="23"/>
  <c r="L71" i="23"/>
  <c r="L70" i="23"/>
  <c r="L69"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2" i="23"/>
  <c r="K298" i="23" l="1"/>
  <c r="K315" i="23" s="1"/>
  <c r="L298" i="23"/>
  <c r="L315" i="23" s="1"/>
  <c r="L84" i="23"/>
  <c r="L308" i="23" s="1"/>
  <c r="L96" i="23"/>
  <c r="L309" i="23" s="1"/>
  <c r="K307" i="23"/>
  <c r="L72" i="23"/>
  <c r="L307" i="23" s="1"/>
  <c r="L121" i="23"/>
  <c r="L130" i="23" s="1"/>
  <c r="L311" i="23" s="1"/>
  <c r="L118" i="23"/>
  <c r="L310" i="23" s="1"/>
  <c r="L305" i="23"/>
  <c r="L316" i="23" s="1"/>
  <c r="L152" i="23"/>
  <c r="L312" i="23" s="1"/>
  <c r="A39" i="2"/>
  <c r="A17" i="2"/>
  <c r="A18" i="2" s="1"/>
  <c r="A19" i="2" s="1"/>
  <c r="A20" i="2" s="1"/>
  <c r="A21" i="2" s="1"/>
  <c r="A22" i="2" s="1"/>
  <c r="A23" i="2" s="1"/>
  <c r="A24" i="2" s="1"/>
  <c r="A25" i="2" s="1"/>
  <c r="G9" i="4"/>
  <c r="A70" i="2"/>
  <c r="A8" i="2"/>
  <c r="A9" i="2" s="1"/>
  <c r="A10" i="2" s="1"/>
  <c r="A11" i="2" s="1"/>
  <c r="A12" i="2" s="1"/>
  <c r="G11" i="19"/>
  <c r="G10" i="19"/>
  <c r="G9" i="19"/>
  <c r="G8" i="19"/>
  <c r="G7" i="19"/>
  <c r="G17" i="4"/>
  <c r="G16" i="4"/>
  <c r="G15" i="4"/>
  <c r="G14" i="4"/>
  <c r="G13" i="4"/>
  <c r="G12" i="4"/>
  <c r="G11" i="4"/>
  <c r="G10" i="4"/>
  <c r="G8" i="4"/>
  <c r="G7" i="4"/>
  <c r="B25" i="11"/>
  <c r="B26" i="11" s="1"/>
  <c r="B27" i="11" s="1"/>
  <c r="B28" i="11" s="1"/>
  <c r="B29" i="11" s="1"/>
  <c r="B30" i="11" s="1"/>
  <c r="B31" i="11" s="1"/>
  <c r="B32" i="11" s="1"/>
  <c r="B33" i="11" s="1"/>
  <c r="B34" i="11" s="1"/>
  <c r="A56" i="2"/>
  <c r="E32" i="11"/>
  <c r="K308" i="23" l="1"/>
  <c r="A40" i="2"/>
  <c r="A71" i="2"/>
  <c r="A72" i="2" s="1"/>
  <c r="A73" i="2" s="1"/>
  <c r="B35" i="11" l="1"/>
  <c r="B36" i="11" s="1"/>
  <c r="L318" i="23"/>
  <c r="K318" i="23"/>
  <c r="A41" i="2"/>
  <c r="A42" i="2" s="1"/>
  <c r="A44" i="2" s="1"/>
  <c r="A45" i="2" s="1"/>
  <c r="A47" i="2" s="1"/>
  <c r="E29" i="11" l="1"/>
  <c r="E27" i="11"/>
  <c r="E37" i="11" s="1"/>
  <c r="A48" i="2"/>
  <c r="A49" i="2"/>
  <c r="A50" i="2" l="1"/>
  <c r="A51" i="2" s="1"/>
  <c r="A75" i="2" l="1"/>
  <c r="A76" i="2" l="1"/>
  <c r="A31" i="2" l="1"/>
  <c r="A32" i="2" s="1"/>
  <c r="A33" i="2" s="1"/>
  <c r="A34" i="2" s="1"/>
  <c r="A77" i="2"/>
  <c r="A78" i="2" l="1"/>
  <c r="A80" i="2" s="1"/>
  <c r="A82" i="2" s="1"/>
  <c r="A83" i="2" l="1"/>
  <c r="A85" i="2" s="1"/>
  <c r="A86" i="2" l="1"/>
  <c r="A87" i="2" l="1"/>
  <c r="A89" i="2" s="1"/>
  <c r="A90" i="2" s="1"/>
  <c r="A9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Loeffler, Michael (PPAL EN PME)</author>
  </authors>
  <commentList>
    <comment ref="F10" authorId="0" shapeId="0" xr:uid="{6166D1FA-7DAA-4FF6-8EB9-B12791AC9160}">
      <text>
        <r>
          <rPr>
            <b/>
            <sz val="9"/>
            <color indexed="81"/>
            <rFont val="Segoe UI"/>
            <family val="2"/>
          </rPr>
          <t>Loeffler, Michael (PPAL EN PME):</t>
        </r>
        <r>
          <rPr>
            <sz val="9"/>
            <color indexed="81"/>
            <rFont val="Segoe UI"/>
            <family val="2"/>
          </rPr>
          <t xml:space="preserve">
10 standard bag
2 OOG bag</t>
        </r>
      </text>
    </comment>
    <comment ref="F31" authorId="0" shapeId="0" xr:uid="{8DBA2332-4FE7-476D-8CD5-D73827B6C88C}">
      <text>
        <r>
          <rPr>
            <b/>
            <sz val="9"/>
            <color indexed="81"/>
            <rFont val="Segoe UI"/>
            <family val="2"/>
          </rPr>
          <t>Loeffler, Michael (PPAL EN PME):</t>
        </r>
        <r>
          <rPr>
            <sz val="9"/>
            <color indexed="81"/>
            <rFont val="Segoe UI"/>
            <family val="2"/>
          </rPr>
          <t xml:space="preserve">
19 double CVC after CI +
4 single CVC</t>
        </r>
      </text>
    </comment>
    <comment ref="F56" authorId="0" shapeId="0" xr:uid="{BBD52C7E-3994-4034-A28D-69700BB2025B}">
      <text>
        <r>
          <rPr>
            <b/>
            <sz val="9"/>
            <color indexed="81"/>
            <rFont val="Segoe UI"/>
            <family val="2"/>
          </rPr>
          <t>Loeffler, Michael (PPAL EN PME):</t>
        </r>
        <r>
          <rPr>
            <sz val="9"/>
            <color indexed="81"/>
            <rFont val="Segoe UI"/>
            <family val="2"/>
          </rPr>
          <t xml:space="preserve">
19 chutes per Tilter plus
50 chutes for load cells (5 chutes/load cell, total 10 load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Rettberg, Frank (ICS TI SA AS)</author>
    <author>Karta, Evelyn Eugenia (SL AIR TI EN EE ES)</author>
  </authors>
  <commentList>
    <comment ref="G9" authorId="0" shapeId="0" xr:uid="{ED569F8C-8295-4B65-BDD9-F79AD1F90A03}">
      <text>
        <r>
          <rPr>
            <b/>
            <sz val="9"/>
            <color indexed="81"/>
            <rFont val="Segoe UI"/>
            <family val="2"/>
          </rPr>
          <t>Reference ID to Qty_all_Devices Belt</t>
        </r>
      </text>
    </comment>
    <comment ref="C104" authorId="0" shapeId="0" xr:uid="{008BEDE2-22E5-4E66-943F-537B59E5E48C}">
      <text>
        <r>
          <rPr>
            <b/>
            <sz val="9"/>
            <color indexed="81"/>
            <rFont val="Segoe UI"/>
            <family val="2"/>
          </rPr>
          <t>Rettberg, Frank (ICS TI SA AS):</t>
        </r>
        <r>
          <rPr>
            <sz val="9"/>
            <color indexed="81"/>
            <rFont val="Segoe UI"/>
            <family val="2"/>
          </rPr>
          <t xml:space="preserve">
used for small systems without E-Stop panel</t>
        </r>
      </text>
    </comment>
    <comment ref="C153" authorId="0" shapeId="0" xr:uid="{E647ACEB-7924-4D3B-8007-7C091DE30084}">
      <text>
        <r>
          <rPr>
            <b/>
            <sz val="11"/>
            <color indexed="81"/>
            <rFont val="Arial"/>
            <family val="2"/>
          </rPr>
          <t>(Reference ID to Master_Containment_Estimation)</t>
        </r>
        <r>
          <rPr>
            <sz val="11"/>
            <color indexed="81"/>
            <rFont val="Arial"/>
            <family val="2"/>
          </rPr>
          <t xml:space="preserve">
</t>
        </r>
      </text>
    </comment>
    <comment ref="C215" authorId="0" shapeId="0" xr:uid="{9B0ACF0C-9ADA-49E0-91E0-0A1F04B1D51C}">
      <text>
        <r>
          <rPr>
            <b/>
            <sz val="11"/>
            <color indexed="81"/>
            <rFont val="Arial"/>
            <family val="2"/>
          </rPr>
          <t>(Reference ID to Master_Containment_Estimation)</t>
        </r>
        <r>
          <rPr>
            <sz val="11"/>
            <color indexed="81"/>
            <rFont val="Arial"/>
            <family val="2"/>
          </rPr>
          <t xml:space="preserve">
</t>
        </r>
      </text>
    </comment>
    <comment ref="A283" authorId="1" shapeId="0" xr:uid="{1DA4D124-CC6F-4D32-B45B-9EBCB3FF4935}">
      <text>
        <r>
          <rPr>
            <b/>
            <sz val="9"/>
            <color indexed="81"/>
            <rFont val="Tahoma"/>
            <family val="2"/>
          </rPr>
          <t>Karta, Evelyn Eugenia (SL AIR TI EN EE ES):</t>
        </r>
        <r>
          <rPr>
            <sz val="9"/>
            <color indexed="81"/>
            <rFont val="Tahoma"/>
            <family val="2"/>
          </rPr>
          <t xml:space="preserve">
Reference ID to BID n Pricing</t>
        </r>
      </text>
    </comment>
    <comment ref="A284" authorId="1" shapeId="0" xr:uid="{6B6A8AB0-E45C-45D0-8540-C74E7006AC60}">
      <text>
        <r>
          <rPr>
            <b/>
            <sz val="9"/>
            <color indexed="81"/>
            <rFont val="Tahoma"/>
            <family val="2"/>
          </rPr>
          <t>Karta, Evelyn Eugenia (SL AIR TI EN EE ES):</t>
        </r>
        <r>
          <rPr>
            <sz val="9"/>
            <color indexed="81"/>
            <rFont val="Tahoma"/>
            <family val="2"/>
          </rPr>
          <t xml:space="preserve">
Reference ID to BID n Pricing</t>
        </r>
      </text>
    </comment>
    <comment ref="A285" authorId="1" shapeId="0" xr:uid="{A4F99A88-29A0-4CF5-972B-525DB6FA22C1}">
      <text>
        <r>
          <rPr>
            <b/>
            <sz val="9"/>
            <color indexed="81"/>
            <rFont val="Tahoma"/>
            <family val="2"/>
          </rPr>
          <t>Karta, Evelyn Eugenia (SL AIR TI EN EE ES):</t>
        </r>
        <r>
          <rPr>
            <sz val="9"/>
            <color indexed="81"/>
            <rFont val="Tahoma"/>
            <family val="2"/>
          </rPr>
          <t xml:space="preserve">
Reference ID to BID n Pricing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Rettberg, Frank (ICS TI SA AS)</author>
    <author>Karta, Evelyn Eugenia (SL AIR TI EN EE ES)</author>
  </authors>
  <commentList>
    <comment ref="A9" authorId="0" shapeId="0" xr:uid="{54988F43-3A0B-413A-9D72-BA11CFED1A0C}">
      <text>
        <r>
          <rPr>
            <b/>
            <sz val="9"/>
            <color indexed="81"/>
            <rFont val="Segoe UI"/>
            <family val="2"/>
          </rPr>
          <t>Reference ID to Qty_all_Devices Belt</t>
        </r>
      </text>
    </comment>
    <comment ref="G9" authorId="0" shapeId="0" xr:uid="{9BF8CA1C-FAE6-4081-9302-C191CE31FF5F}">
      <text>
        <r>
          <rPr>
            <b/>
            <sz val="9"/>
            <color indexed="81"/>
            <rFont val="Segoe UI"/>
            <family val="2"/>
          </rPr>
          <t>Reference ID to Qty_all_Devices Belt</t>
        </r>
      </text>
    </comment>
    <comment ref="C193" authorId="0" shapeId="0" xr:uid="{CE671E7B-E9BF-4EB1-9C37-E75219B857DC}">
      <text>
        <r>
          <rPr>
            <b/>
            <sz val="11"/>
            <color indexed="81"/>
            <rFont val="Arial"/>
            <family val="2"/>
          </rPr>
          <t>(Reference ID to Master_Containment_Estimation)</t>
        </r>
        <r>
          <rPr>
            <sz val="11"/>
            <color indexed="81"/>
            <rFont val="Arial"/>
            <family val="2"/>
          </rPr>
          <t xml:space="preserve">
</t>
        </r>
      </text>
    </comment>
    <comment ref="A261" authorId="1" shapeId="0" xr:uid="{86119A9A-977E-400A-AEFE-42342063E15C}">
      <text>
        <r>
          <rPr>
            <b/>
            <sz val="9"/>
            <color indexed="81"/>
            <rFont val="Tahoma"/>
            <family val="2"/>
          </rPr>
          <t>Karta, Evelyn Eugenia (SL AIR TI EN EE ES):</t>
        </r>
        <r>
          <rPr>
            <sz val="9"/>
            <color indexed="81"/>
            <rFont val="Tahoma"/>
            <family val="2"/>
          </rPr>
          <t xml:space="preserve">
Reference ID to BID n Pricing</t>
        </r>
      </text>
    </comment>
    <comment ref="A262" authorId="1" shapeId="0" xr:uid="{2C237E53-CEA5-459B-8FAD-95E63BA6881D}">
      <text>
        <r>
          <rPr>
            <b/>
            <sz val="9"/>
            <color indexed="81"/>
            <rFont val="Tahoma"/>
            <family val="2"/>
          </rPr>
          <t>Karta, Evelyn Eugenia (SL AIR TI EN EE ES):</t>
        </r>
        <r>
          <rPr>
            <sz val="9"/>
            <color indexed="81"/>
            <rFont val="Tahoma"/>
            <family val="2"/>
          </rPr>
          <t xml:space="preserve">
Reference ID to BID n Pricing</t>
        </r>
      </text>
    </comment>
    <comment ref="A263" authorId="1" shapeId="0" xr:uid="{C942A81B-9AE4-4A11-9589-A8DAF71B947B}">
      <text>
        <r>
          <rPr>
            <b/>
            <sz val="9"/>
            <color indexed="81"/>
            <rFont val="Tahoma"/>
            <family val="2"/>
          </rPr>
          <t>Karta, Evelyn Eugenia (SL AIR TI EN EE ES):</t>
        </r>
        <r>
          <rPr>
            <sz val="9"/>
            <color indexed="81"/>
            <rFont val="Tahoma"/>
            <family val="2"/>
          </rPr>
          <t xml:space="preserve">
Reference ID to BID n Pricing</t>
        </r>
      </text>
    </comment>
  </commentList>
</comments>
</file>

<file path=xl/sharedStrings.xml><?xml version="1.0" encoding="utf-8"?>
<sst xmlns="http://schemas.openxmlformats.org/spreadsheetml/2006/main" count="2940" uniqueCount="1019">
  <si>
    <t>Quotation specific</t>
  </si>
  <si>
    <t>Legend (color code)</t>
  </si>
  <si>
    <t>Project</t>
  </si>
  <si>
    <t>Location</t>
  </si>
  <si>
    <t>to be filled by supplier</t>
  </si>
  <si>
    <t>Company</t>
  </si>
  <si>
    <t>&lt;enter subcontractor company name&gt;</t>
  </si>
  <si>
    <t>calculated value (do not modify)</t>
  </si>
  <si>
    <t>Offer Reference</t>
  </si>
  <si>
    <t>&lt;enter reference number and date of your offer&gt;</t>
  </si>
  <si>
    <t>Contact</t>
  </si>
  <si>
    <t>&lt;enter contact person and details&gt;</t>
  </si>
  <si>
    <t>Labor Type</t>
  </si>
  <si>
    <t>&lt;enter union or non-union&gt;</t>
  </si>
  <si>
    <t>Validity of Offer</t>
  </si>
  <si>
    <t>Currency</t>
  </si>
  <si>
    <t>Euro (EUR)</t>
  </si>
  <si>
    <t xml:space="preserve">Incoterms 2010	</t>
  </si>
  <si>
    <t xml:space="preserve">Payment Terms </t>
  </si>
  <si>
    <t>85% of total PO value: 90 days after handover to Siemens.
15% of total PO value: 90 days after acceptance by Siemens.</t>
  </si>
  <si>
    <t>Warranty Period</t>
  </si>
  <si>
    <t>3 years from the date of sucessful completion of testing &amp; commissioning on site (handover report)</t>
  </si>
  <si>
    <t>Price Breakdown</t>
  </si>
  <si>
    <t>Item</t>
  </si>
  <si>
    <t>Description</t>
  </si>
  <si>
    <t>Project Management, Supervision, Quality and Safety Officer</t>
  </si>
  <si>
    <t>Administrative Costs, Permits and Fees</t>
  </si>
  <si>
    <t>Mobilization, Onsite Training</t>
  </si>
  <si>
    <t>Hourly Rates</t>
  </si>
  <si>
    <t>Equipment (Lifting Devices, Container etc.)</t>
  </si>
  <si>
    <t>Lump Sum for Waste Removal</t>
  </si>
  <si>
    <t>Payment &amp; Performance Bond</t>
  </si>
  <si>
    <t>Applicable Taxes (HST)</t>
  </si>
  <si>
    <t>Miscellaneous (if any)</t>
  </si>
  <si>
    <t>Price for the Options</t>
  </si>
  <si>
    <t>O1</t>
  </si>
  <si>
    <t>Option 1: Provision of Cables (Material)</t>
  </si>
  <si>
    <t>O2</t>
  </si>
  <si>
    <t>Option 2: Provision of Cable Trays &amp; Tubing &amp; Piping (Material)</t>
  </si>
  <si>
    <t>The pricing in this document is the Lump Sum, Firm Fixed Price to perform all work necessary to complete this project. Siemens has made every effort to communicate the project scope to this Subcontractor through plans, specifications, and additional documentation. It is this Subcontractor's responsibility to examine and review the plans and specifications for the project being quoted, and quote accordingly.</t>
  </si>
  <si>
    <t xml:space="preserve">Company </t>
  </si>
  <si>
    <t>Name:</t>
  </si>
  <si>
    <t>Representative:</t>
  </si>
  <si>
    <t>Typed Name and Title</t>
  </si>
  <si>
    <t>Signature</t>
  </si>
  <si>
    <t>Parties agree on total price for the work as set forth in the Statement of Work based on the key performance indices (KPIs) listed below. It is understood that KPI based efforts given below includes everything necessary to perform, complete and satisfactory fulfill in a customary and workmanlike manner the work in accordance with the Statement of Work. It is understood that KPI based efforts given below take into account all the constraints for the performance of the work in accordance with the Statement of Work.</t>
  </si>
  <si>
    <t>Total Efforts [hours]</t>
  </si>
  <si>
    <t>KPI</t>
  </si>
  <si>
    <t>Belt Conveying</t>
  </si>
  <si>
    <t>Supplier</t>
  </si>
  <si>
    <t>Outfit</t>
  </si>
  <si>
    <t>x</t>
  </si>
  <si>
    <t>Total
Quantity</t>
  </si>
  <si>
    <t>Total
Length</t>
  </si>
  <si>
    <t>Average
Length</t>
  </si>
  <si>
    <t>Mechanical Installation</t>
  </si>
  <si>
    <t>Electrical Installation</t>
  </si>
  <si>
    <t>VarioBelt Metering (Horizontal, Incline, Decline)</t>
  </si>
  <si>
    <t>Siemens</t>
  </si>
  <si>
    <t>BMSC001</t>
  </si>
  <si>
    <t/>
  </si>
  <si>
    <t>VarioBelt Straight (incl. RBO, Variable, Parallel)</t>
  </si>
  <si>
    <t>VarioBelt Pier Conveyor</t>
  </si>
  <si>
    <t>BPRC001</t>
  </si>
  <si>
    <t>VarioBelt Straight Merge (30°, 45°)</t>
  </si>
  <si>
    <t>BMGC001</t>
  </si>
  <si>
    <t>VarioBelt Top Loading Station incl. Tray Metering</t>
  </si>
  <si>
    <t>BTLS001</t>
  </si>
  <si>
    <t>Tray Conveying</t>
  </si>
  <si>
    <t>VarioTray Metering (incl. Reversible)</t>
  </si>
  <si>
    <t>TSTR001</t>
  </si>
  <si>
    <t>VarioTray Straight (incl. Incline, Decline)</t>
  </si>
  <si>
    <t>VarioTray Divert Straight</t>
  </si>
  <si>
    <t>TDIV001</t>
  </si>
  <si>
    <t>VarioTray Divert Outduct Conveyor</t>
  </si>
  <si>
    <t>TDDV001</t>
  </si>
  <si>
    <t>VarioTray RightAngleTransfer</t>
  </si>
  <si>
    <t>TRAT001</t>
  </si>
  <si>
    <t xml:space="preserve">VarioTray CrossConveyor </t>
  </si>
  <si>
    <t>TSCC001</t>
  </si>
  <si>
    <t>VarioTray TilterPlus</t>
  </si>
  <si>
    <t>TSTT001</t>
  </si>
  <si>
    <t>VarioTray SmartTilter (for M-Tray, S-Tray)</t>
  </si>
  <si>
    <t>---</t>
  </si>
  <si>
    <t>VarioTray Stacker</t>
  </si>
  <si>
    <t>TSST001</t>
  </si>
  <si>
    <t>3rd Party Belt Conveying</t>
  </si>
  <si>
    <t>3rd Party Belt Vertical Sortation Unit VSU</t>
  </si>
  <si>
    <t>Motion06</t>
  </si>
  <si>
    <t>BVSU001</t>
  </si>
  <si>
    <t>3rd Party Belt S-Conveyor,C-Conveyor</t>
  </si>
  <si>
    <t>Nerak</t>
  </si>
  <si>
    <t>BSLT001</t>
  </si>
  <si>
    <t>3rd Party Read Tunnel (ATR incl. Camera and RFID)</t>
  </si>
  <si>
    <t>SICK</t>
  </si>
  <si>
    <t>BSCR001</t>
  </si>
  <si>
    <t>Speedloader</t>
  </si>
  <si>
    <t>Baggage Vision</t>
  </si>
  <si>
    <t>Airport / Baggage Devices</t>
  </si>
  <si>
    <t>Outfits</t>
  </si>
  <si>
    <t>Check-In Weight Reversible</t>
  </si>
  <si>
    <t>BLWC001</t>
  </si>
  <si>
    <t>Check-In Dispatch with Synchronization</t>
  </si>
  <si>
    <t>BDHS001</t>
  </si>
  <si>
    <t>Check-In Weight Reversible OOG</t>
  </si>
  <si>
    <t>Check-In Dispatch with Synchronization OOG</t>
  </si>
  <si>
    <t>VarioCarousel Race Track Inclined</t>
  </si>
  <si>
    <t>BCLF001</t>
  </si>
  <si>
    <t>VarioCarousel Race Track Inclined OOG</t>
  </si>
  <si>
    <t>VarioStore Lift&amp;Run Lift</t>
  </si>
  <si>
    <t>tbd</t>
  </si>
  <si>
    <t>VarioStore Lift&amp;Run Rack</t>
  </si>
  <si>
    <t>VarioStore Lift&amp;Run Shuttle</t>
  </si>
  <si>
    <t>VarioStore Lift&amp;Run TransferIn</t>
  </si>
  <si>
    <t>VarioStore Lift&amp;Run TransferOut</t>
  </si>
  <si>
    <t>Chutes</t>
  </si>
  <si>
    <t>Straight Chute</t>
  </si>
  <si>
    <t>Miscellaneous</t>
  </si>
  <si>
    <t>Equipment Safety Fences (e.g. Tilter, Stacker, RAT)</t>
  </si>
  <si>
    <t>Fire Shutters</t>
  </si>
  <si>
    <t>BFSD001</t>
  </si>
  <si>
    <t>Manual Encoding Station</t>
  </si>
  <si>
    <t>Tray Maintenace Station</t>
  </si>
  <si>
    <t>Doghouse</t>
  </si>
  <si>
    <t>Panels, Emergency, Control Stations etc.</t>
  </si>
  <si>
    <t>Total
Distance for Cabling</t>
  </si>
  <si>
    <t>Average
Distance for Cabling</t>
  </si>
  <si>
    <t>Power Distribution Panel</t>
  </si>
  <si>
    <t>PDP</t>
  </si>
  <si>
    <t>Main Control Panel</t>
  </si>
  <si>
    <t>LP / MCP</t>
  </si>
  <si>
    <t>Power Modul / Field Control Panel</t>
  </si>
  <si>
    <t>PM / FCP</t>
  </si>
  <si>
    <t>Other Panels/Small Boxes</t>
  </si>
  <si>
    <t>Various</t>
  </si>
  <si>
    <t>Panel for Emergency Stop Control System</t>
  </si>
  <si>
    <t>EP</t>
  </si>
  <si>
    <t>Emergency Box</t>
  </si>
  <si>
    <t>EB</t>
  </si>
  <si>
    <t>Emergency Push button</t>
  </si>
  <si>
    <t>ES001</t>
  </si>
  <si>
    <t>Pull Cord Emergency switch</t>
  </si>
  <si>
    <t>Emergency Push Button</t>
  </si>
  <si>
    <t>ES</t>
  </si>
  <si>
    <t>Control Station (two control buttons or control light)</t>
  </si>
  <si>
    <t>CS31</t>
  </si>
  <si>
    <t>Control Station (four control buttons or control light)</t>
  </si>
  <si>
    <t>CS16</t>
  </si>
  <si>
    <t>Light Beacon Single</t>
  </si>
  <si>
    <t>SB32</t>
  </si>
  <si>
    <t>Light Beacon Single with Horn</t>
  </si>
  <si>
    <t>SB33</t>
  </si>
  <si>
    <t>Light Beacon Double with Horn</t>
  </si>
  <si>
    <t>SB31</t>
  </si>
  <si>
    <t>Light Sensor</t>
  </si>
  <si>
    <t>Belt Encoder Tracking Sensor</t>
  </si>
  <si>
    <t>Encoder</t>
  </si>
  <si>
    <t>ASI K45</t>
  </si>
  <si>
    <t>IO´s</t>
  </si>
  <si>
    <t>Cables</t>
  </si>
  <si>
    <t>Specification</t>
  </si>
  <si>
    <t>Installation of cables defined in "BoQ-E" to be quoted in aforementioned positions</t>
  </si>
  <si>
    <t>Cable Trays, Piping, Conduits</t>
  </si>
  <si>
    <t>Installation of cable trays, piping and conduits defined in "BoQ-E" to be quoted in aforementioned positions</t>
  </si>
  <si>
    <t>Company Name:</t>
  </si>
  <si>
    <t>Date:</t>
  </si>
  <si>
    <t>Table B: Equipment Rental Rates</t>
  </si>
  <si>
    <t>Pricing</t>
  </si>
  <si>
    <t>Owned/Rented</t>
  </si>
  <si>
    <r>
      <t>Equipment</t>
    </r>
    <r>
      <rPr>
        <b/>
        <vertAlign val="superscript"/>
        <sz val="11"/>
        <color theme="1"/>
        <rFont val="Arial"/>
        <family val="2"/>
      </rPr>
      <t xml:space="preserve"> (*)</t>
    </r>
  </si>
  <si>
    <t>Capacity</t>
  </si>
  <si>
    <t>Number</t>
  </si>
  <si>
    <t>Weekly
Rate</t>
  </si>
  <si>
    <t>Duration
(Weeks)</t>
  </si>
  <si>
    <t>Total Price</t>
  </si>
  <si>
    <t>Forklifts / E-Stapler (2,0 To)</t>
  </si>
  <si>
    <t>2,0 to.</t>
  </si>
  <si>
    <t xml:space="preserve">Forklifts / E-Stapler (3,5 To) </t>
  </si>
  <si>
    <t>3,5 to.</t>
  </si>
  <si>
    <t xml:space="preserve">Forklifts / E-Stapler (5,0 To) </t>
  </si>
  <si>
    <t>5,0 to.</t>
  </si>
  <si>
    <t>Telescopic Forklifts / Manitou (5,0 To)</t>
  </si>
  <si>
    <t>Working Platforms / E-Arbeitsbühne klein</t>
  </si>
  <si>
    <t>Working Platforms / E-Arbeitsbühne groß</t>
  </si>
  <si>
    <t>Office Container / Onsite Office Trailers</t>
  </si>
  <si>
    <t>Team Containers</t>
  </si>
  <si>
    <t>Tool Container / Onsite Storage Trailers</t>
  </si>
  <si>
    <t>Locker Rooms / Umkleide-Container</t>
  </si>
  <si>
    <t>Waste Container / Dumpsters</t>
  </si>
  <si>
    <t>Transport and Handling of Equipment</t>
  </si>
  <si>
    <t>*Sample equipment listed. Bidders to add/modify as needed to ensure comprehensive list and rates are included.</t>
  </si>
  <si>
    <t>Printed Name and Title</t>
  </si>
  <si>
    <t>Date</t>
  </si>
  <si>
    <t>Table C: Labour Rates for extra Work</t>
  </si>
  <si>
    <t>Trade of Craft (*)</t>
  </si>
  <si>
    <t>Standard Working
Times (**)</t>
  </si>
  <si>
    <t>Overtime (Time/Half)</t>
  </si>
  <si>
    <t>Night Shift (addon)</t>
  </si>
  <si>
    <t>Weekends (addon)</t>
  </si>
  <si>
    <t>Project Manager</t>
  </si>
  <si>
    <t>Projektleiter</t>
  </si>
  <si>
    <t>Site Manager</t>
  </si>
  <si>
    <t xml:space="preserve">Bauleiter </t>
  </si>
  <si>
    <t>Senior Mechanics
(experienced skilled worker)</t>
  </si>
  <si>
    <t>Obermonteur Mechanik
(erfahrener Facharbeiter)</t>
  </si>
  <si>
    <t>Mechanics
(skilled worker)</t>
  </si>
  <si>
    <t>Mechaniker
(Facharbeiter)</t>
  </si>
  <si>
    <t>Senior Electrician
(experienced skilled worker)</t>
  </si>
  <si>
    <t>Obermonteur Elektrik
(erfahrener Facharbeiter)</t>
  </si>
  <si>
    <t>Electrician
(skilled worker)</t>
  </si>
  <si>
    <t>Elektriker
(Facharbeiter)</t>
  </si>
  <si>
    <t>Helper
(semi-skilled worker)</t>
  </si>
  <si>
    <t>Helfer
(angelernter Arbeiter)</t>
  </si>
  <si>
    <r>
      <rPr>
        <b/>
        <vertAlign val="superscript"/>
        <sz val="11"/>
        <rFont val="Arial"/>
        <family val="2"/>
      </rPr>
      <t xml:space="preserve">(*) </t>
    </r>
    <r>
      <rPr>
        <b/>
        <sz val="11"/>
        <rFont val="Arial"/>
        <family val="2"/>
      </rPr>
      <t>Sample trade/roles listed. Bidders to add/modify as needed to ensure comprehensive list and rates are included.</t>
    </r>
  </si>
  <si>
    <t xml:space="preserve">   Definition of standard roles given in "Standard-Project_Qualifications_M-E-Inst_V2.0.0.pdf"</t>
  </si>
  <si>
    <r>
      <rPr>
        <b/>
        <vertAlign val="superscript"/>
        <sz val="11"/>
        <rFont val="Arial"/>
        <family val="2"/>
      </rPr>
      <t xml:space="preserve">(**) </t>
    </r>
    <r>
      <rPr>
        <b/>
        <sz val="11"/>
        <rFont val="Arial"/>
        <family val="2"/>
      </rPr>
      <t>Definition of standard working times given in Annex "Statement of Work (SOW)"</t>
    </r>
  </si>
  <si>
    <t>Table D: Travelling, Accomodation and Expenses</t>
  </si>
  <si>
    <t>Comment</t>
  </si>
  <si>
    <r>
      <t>Categories</t>
    </r>
    <r>
      <rPr>
        <b/>
        <vertAlign val="superscript"/>
        <sz val="11"/>
        <color theme="1"/>
        <rFont val="Arial"/>
        <family val="2"/>
      </rPr>
      <t xml:space="preserve"> (*)</t>
    </r>
  </si>
  <si>
    <t>Duration, Frequency</t>
  </si>
  <si>
    <t>Unit Rate</t>
  </si>
  <si>
    <t>Travelling</t>
  </si>
  <si>
    <t>Accomodation</t>
  </si>
  <si>
    <t>Local Car Rental</t>
  </si>
  <si>
    <t>Parking at the Site</t>
  </si>
  <si>
    <t>Shuttle Costs to Jobsite</t>
  </si>
  <si>
    <t>*Sample travelling, accomodation and expenses costs listed. Bidders to add/modify as needed to ensure comprehensive list and rates are included.</t>
  </si>
  <si>
    <t>Length of the conveyor lines (complete)</t>
  </si>
  <si>
    <t>Quantity of Drives</t>
  </si>
  <si>
    <t>Single price</t>
  </si>
  <si>
    <t>Total price</t>
  </si>
  <si>
    <t>No.</t>
  </si>
  <si>
    <t>Components</t>
  </si>
  <si>
    <t>Supplier part</t>
  </si>
  <si>
    <t>Quantity</t>
  </si>
  <si>
    <t>Price
Installation</t>
  </si>
  <si>
    <t>1</t>
  </si>
  <si>
    <t>1.01</t>
  </si>
  <si>
    <t>piece</t>
  </si>
  <si>
    <t>1.02</t>
  </si>
  <si>
    <t>1.03</t>
  </si>
  <si>
    <t>1.04</t>
  </si>
  <si>
    <t>1.05</t>
  </si>
  <si>
    <t>1.06</t>
  </si>
  <si>
    <t>1.07</t>
  </si>
  <si>
    <t>1.08</t>
  </si>
  <si>
    <t>1.09</t>
  </si>
  <si>
    <t>1.10</t>
  </si>
  <si>
    <t>2</t>
  </si>
  <si>
    <t>Belt-Conveyor</t>
  </si>
  <si>
    <t>2.01</t>
  </si>
  <si>
    <t>2.02</t>
  </si>
  <si>
    <t>BHSD001</t>
  </si>
  <si>
    <t>2.03</t>
  </si>
  <si>
    <t>Belt Pier Conveyor</t>
  </si>
  <si>
    <t>2.04</t>
  </si>
  <si>
    <t>BHDC001</t>
  </si>
  <si>
    <t>2.05</t>
  </si>
  <si>
    <t>2.06</t>
  </si>
  <si>
    <t>2.07</t>
  </si>
  <si>
    <t>2.08</t>
  </si>
  <si>
    <t>2.09</t>
  </si>
  <si>
    <t>BTNC001</t>
  </si>
  <si>
    <t>2.10</t>
  </si>
  <si>
    <t>BVMU001</t>
  </si>
  <si>
    <t>BOHD001</t>
  </si>
  <si>
    <t>3</t>
  </si>
  <si>
    <t>3.01</t>
  </si>
  <si>
    <t>3.02</t>
  </si>
  <si>
    <t>TTLS001</t>
  </si>
  <si>
    <t>3.03</t>
  </si>
  <si>
    <t>3.04</t>
  </si>
  <si>
    <t>TCRV001</t>
  </si>
  <si>
    <t>3.05</t>
  </si>
  <si>
    <t>3.06</t>
  </si>
  <si>
    <t>TMRG001</t>
  </si>
  <si>
    <t>3.07</t>
  </si>
  <si>
    <t>3.08</t>
  </si>
  <si>
    <t>3.09</t>
  </si>
  <si>
    <t>3.10</t>
  </si>
  <si>
    <t>Tray Stacker</t>
  </si>
  <si>
    <t>4</t>
  </si>
  <si>
    <t>Control Stations</t>
  </si>
  <si>
    <t>4.01</t>
  </si>
  <si>
    <t>4.02</t>
  </si>
  <si>
    <t>4.03</t>
  </si>
  <si>
    <t>4.04</t>
  </si>
  <si>
    <t>4.05</t>
  </si>
  <si>
    <t>4.06</t>
  </si>
  <si>
    <t>4.07</t>
  </si>
  <si>
    <t>4.08</t>
  </si>
  <si>
    <t>4.09</t>
  </si>
  <si>
    <t>4.10</t>
  </si>
  <si>
    <t>5</t>
  </si>
  <si>
    <t>Light Beacons and Horn</t>
  </si>
  <si>
    <t>5.01</t>
  </si>
  <si>
    <t>5.02</t>
  </si>
  <si>
    <t>5.03</t>
  </si>
  <si>
    <t>5.04</t>
  </si>
  <si>
    <t>5.05</t>
  </si>
  <si>
    <t>5.06</t>
  </si>
  <si>
    <t>5.07</t>
  </si>
  <si>
    <t>5.08</t>
  </si>
  <si>
    <t>5.09</t>
  </si>
  <si>
    <t>6</t>
  </si>
  <si>
    <t>Panels</t>
  </si>
  <si>
    <t>6.01</t>
  </si>
  <si>
    <t>6.02</t>
  </si>
  <si>
    <t>6.03</t>
  </si>
  <si>
    <t>6.04</t>
  </si>
  <si>
    <t>6.05</t>
  </si>
  <si>
    <t>6.06</t>
  </si>
  <si>
    <t>6.07</t>
  </si>
  <si>
    <t>6.08</t>
  </si>
  <si>
    <t>6.09</t>
  </si>
  <si>
    <t>6.10</t>
  </si>
  <si>
    <t>7</t>
  </si>
  <si>
    <t>7.01</t>
  </si>
  <si>
    <t>7.02</t>
  </si>
  <si>
    <t>7.03</t>
  </si>
  <si>
    <t>7.04</t>
  </si>
  <si>
    <t>7.05</t>
  </si>
  <si>
    <t>7.06</t>
  </si>
  <si>
    <t>7.07</t>
  </si>
  <si>
    <t>7.08</t>
  </si>
  <si>
    <t>7.09</t>
  </si>
  <si>
    <t>7.10</t>
  </si>
  <si>
    <t>8</t>
  </si>
  <si>
    <t>8.01</t>
  </si>
  <si>
    <t>8.02</t>
  </si>
  <si>
    <t>8.03</t>
  </si>
  <si>
    <t>8.04</t>
  </si>
  <si>
    <t>8.05</t>
  </si>
  <si>
    <t>8.06</t>
  </si>
  <si>
    <t>8.07</t>
  </si>
  <si>
    <t>8.08</t>
  </si>
  <si>
    <t>8.09</t>
  </si>
  <si>
    <t>8.10</t>
  </si>
  <si>
    <t>9</t>
  </si>
  <si>
    <t>9.01</t>
  </si>
  <si>
    <t>meter</t>
  </si>
  <si>
    <t>9.02</t>
  </si>
  <si>
    <t>9.03</t>
  </si>
  <si>
    <t>9.04</t>
  </si>
  <si>
    <t>9.05</t>
  </si>
  <si>
    <t>9.06</t>
  </si>
  <si>
    <t>9.07</t>
  </si>
  <si>
    <t>9.08</t>
  </si>
  <si>
    <t>9.09</t>
  </si>
  <si>
    <t>9.10</t>
  </si>
  <si>
    <t>10</t>
  </si>
  <si>
    <t>10.1</t>
  </si>
  <si>
    <t>10.2</t>
  </si>
  <si>
    <t>10.3</t>
  </si>
  <si>
    <t>10.4</t>
  </si>
  <si>
    <t>10.5</t>
  </si>
  <si>
    <t>Static Commissioning Level 1</t>
  </si>
  <si>
    <t xml:space="preserve">Power Cable 4x120mm² + Earth Cable 1x 120mm² </t>
  </si>
  <si>
    <t xml:space="preserve">Power Cable 3x185mm² + Earth Cable </t>
  </si>
  <si>
    <t xml:space="preserve">Cable 4G0,34 mm² </t>
  </si>
  <si>
    <t xml:space="preserve">Cable 5G0,75 mm² </t>
  </si>
  <si>
    <t xml:space="preserve">Cable 7G0,75 mm² </t>
  </si>
  <si>
    <t xml:space="preserve">Cable 7G0,5 mm² </t>
  </si>
  <si>
    <t xml:space="preserve">Cable 7G1,5 mm² </t>
  </si>
  <si>
    <t xml:space="preserve">Cable 18G1,0 mm² </t>
  </si>
  <si>
    <t xml:space="preserve">Cable 5G1,5 mm² </t>
  </si>
  <si>
    <t xml:space="preserve">Cable 2G1,5 mm² </t>
  </si>
  <si>
    <t>Cable 3G1,5 mm²</t>
  </si>
  <si>
    <t>Cable 3G4 mm²</t>
  </si>
  <si>
    <t xml:space="preserve">Cable 3G2,5 mm²  </t>
  </si>
  <si>
    <t>Cable 4G6 mm²</t>
  </si>
  <si>
    <t>Cable 5G16 mm²</t>
  </si>
  <si>
    <t xml:space="preserve">Cable 5G35 mm²  </t>
  </si>
  <si>
    <t>Cable-AS-Interface Cable Black</t>
  </si>
  <si>
    <t>Cable for PROFI NET DP SIMATIC NET</t>
  </si>
  <si>
    <t>Profinet Cable Type B FRNC</t>
  </si>
  <si>
    <t>Fiber Optic Cable FRNC</t>
  </si>
  <si>
    <t>Pre-Manufactured Cables</t>
  </si>
  <si>
    <t>Subtotals</t>
  </si>
  <si>
    <t>Total</t>
  </si>
  <si>
    <t>Installation Material</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</si>
  <si>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</si>
  <si>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</si>
  <si>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</si>
  <si>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</si>
  <si>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</si>
  <si>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</si>
  <si>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</si>
  <si>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</si>
  <si>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</si>
  <si>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</si>
  <si>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</si>
  <si>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</si>
  <si>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</si>
  <si>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</si>
  <si>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</si>
  <si>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</si>
  <si>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</si>
  <si>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</si>
  <si>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</si>
  <si>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</si>
  <si>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</si>
  <si>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</si>
  <si>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</si>
  <si>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</si>
  <si>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</si>
  <si>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</si>
  <si>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</si>
  <si>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</si>
  <si>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</si>
  <si>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</si>
  <si>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</si>
  <si>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</si>
  <si>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</si>
  <si>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</si>
  <si>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</si>
  <si>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</si>
  <si>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</si>
  <si>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</si>
  <si>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</si>
  <si>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</si>
  <si>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Set</t>
  </si>
  <si>
    <t>5.10</t>
  </si>
  <si>
    <t>8.11</t>
  </si>
  <si>
    <t>8.12</t>
  </si>
  <si>
    <t>8.13</t>
  </si>
  <si>
    <t>8.14</t>
  </si>
  <si>
    <t>8.15</t>
  </si>
  <si>
    <t>Outfit Name / Description</t>
  </si>
  <si>
    <t>Installation Labour</t>
  </si>
  <si>
    <t>Price
Inst. Material</t>
  </si>
  <si>
    <t>Sensors / Actuators</t>
  </si>
  <si>
    <t>Main Panels</t>
  </si>
  <si>
    <t>El. Inst. Subcontractor:</t>
  </si>
  <si>
    <t>Emergency System</t>
  </si>
  <si>
    <t>8.16</t>
  </si>
  <si>
    <t>8.17</t>
  </si>
  <si>
    <t>8.18</t>
  </si>
  <si>
    <t>8.19</t>
  </si>
  <si>
    <t>8.20</t>
  </si>
  <si>
    <t>Static Commissioning</t>
  </si>
  <si>
    <t>Belt Lift</t>
  </si>
  <si>
    <t>Belt S/C - Lift</t>
  </si>
  <si>
    <t>Verti-Sorter  -1200</t>
  </si>
  <si>
    <t>High Speed Diverter</t>
  </si>
  <si>
    <t xml:space="preserve">Plough Divert </t>
  </si>
  <si>
    <t>Belt Tilter</t>
  </si>
  <si>
    <t>Tray SmartTilter</t>
  </si>
  <si>
    <t>Tray Line Stacker</t>
  </si>
  <si>
    <t>Tray VSU/VMU</t>
  </si>
  <si>
    <t>Tray Lift</t>
  </si>
  <si>
    <t>Tray S/C - Lift</t>
  </si>
  <si>
    <t>EB063</t>
  </si>
  <si>
    <t>EP006</t>
  </si>
  <si>
    <t>EP004</t>
  </si>
  <si>
    <t>LB2014</t>
  </si>
  <si>
    <t>LB2114</t>
  </si>
  <si>
    <t>LP120</t>
  </si>
  <si>
    <t>LP220</t>
  </si>
  <si>
    <t>4.11</t>
  </si>
  <si>
    <t>4.12</t>
  </si>
  <si>
    <t>4.13</t>
  </si>
  <si>
    <t>4.14</t>
  </si>
  <si>
    <t>4.15</t>
  </si>
  <si>
    <t>4.16</t>
  </si>
  <si>
    <t>4.17</t>
  </si>
  <si>
    <t>4.18</t>
  </si>
  <si>
    <t>4.19</t>
  </si>
  <si>
    <t>4.20</t>
  </si>
  <si>
    <t>7.11</t>
  </si>
  <si>
    <t>7.12</t>
  </si>
  <si>
    <t>7.13</t>
  </si>
  <si>
    <t>7.14</t>
  </si>
  <si>
    <t>7.15</t>
  </si>
  <si>
    <t>7.16</t>
  </si>
  <si>
    <t>7.17</t>
  </si>
  <si>
    <t>7.18</t>
  </si>
  <si>
    <t>7.19</t>
  </si>
  <si>
    <t>7.20</t>
  </si>
  <si>
    <t>8.21</t>
  </si>
  <si>
    <t>8.22</t>
  </si>
  <si>
    <t>8.23</t>
  </si>
  <si>
    <t>8.24</t>
  </si>
  <si>
    <t>8.25</t>
  </si>
  <si>
    <t>8.26</t>
  </si>
  <si>
    <t>8.27</t>
  </si>
  <si>
    <t>8.28</t>
  </si>
  <si>
    <t>8.29</t>
  </si>
  <si>
    <t>8.30</t>
  </si>
  <si>
    <t>Check-In Take Away</t>
  </si>
  <si>
    <t>Belt Turn (Curve)</t>
  </si>
  <si>
    <t>Belt Incline Conveyor</t>
  </si>
  <si>
    <t>Belt Decline Conveyor</t>
  </si>
  <si>
    <t>Belt Load Conveyor</t>
  </si>
  <si>
    <t>X-Ray L1</t>
  </si>
  <si>
    <t>X-Ray L3</t>
  </si>
  <si>
    <t>Customs-Workstation</t>
  </si>
  <si>
    <t>ATR Diagnostic RTD 400</t>
  </si>
  <si>
    <t>Height/Length Check</t>
  </si>
  <si>
    <t>Width Check</t>
  </si>
  <si>
    <t>BICC001</t>
  </si>
  <si>
    <t>BDCC001</t>
  </si>
  <si>
    <t>BSTT002</t>
  </si>
  <si>
    <t>Check In Control Station (project specific)</t>
  </si>
  <si>
    <t>Reference ID to Qty_all_Devices Belt</t>
  </si>
  <si>
    <t>PBCI</t>
  </si>
  <si>
    <t>CS1</t>
  </si>
  <si>
    <t>CS2</t>
  </si>
  <si>
    <t>CS3</t>
  </si>
  <si>
    <t>CS4</t>
  </si>
  <si>
    <t>CS5</t>
  </si>
  <si>
    <t>TL1</t>
  </si>
  <si>
    <t>TL2</t>
  </si>
  <si>
    <t>TL3</t>
  </si>
  <si>
    <t>TL4</t>
  </si>
  <si>
    <t>TL5</t>
  </si>
  <si>
    <t>PFCLP</t>
  </si>
  <si>
    <t>PFCPDP</t>
  </si>
  <si>
    <t>Check-In I/O Box for 4 Counters (from CAN)</t>
  </si>
  <si>
    <t xml:space="preserve">CB001 </t>
  </si>
  <si>
    <t>BtL</t>
  </si>
  <si>
    <t>BtS/C</t>
  </si>
  <si>
    <t>BtVSU</t>
  </si>
  <si>
    <t>BtHD</t>
  </si>
  <si>
    <t>BtPD</t>
  </si>
  <si>
    <t>BtST</t>
  </si>
  <si>
    <t>EP E-Stop PLC Cabinet  S7-1500F(H)</t>
  </si>
  <si>
    <t>EP E-Stop PLC Cabinet  S7-1500F</t>
  </si>
  <si>
    <t>EB E-Stop I/O Box</t>
  </si>
  <si>
    <t>Emergency Stop Push Button</t>
  </si>
  <si>
    <t>Emergency Stop Push Button Check-in</t>
  </si>
  <si>
    <t>Emergency Stop Push Button Race Track</t>
  </si>
  <si>
    <t>E-Stop Pull Wire Switch</t>
  </si>
  <si>
    <t>ESCI</t>
  </si>
  <si>
    <t>ESRT</t>
  </si>
  <si>
    <t>ESP</t>
  </si>
  <si>
    <t>Photocell with reflector</t>
  </si>
  <si>
    <t>Photoelectric Sensor</t>
  </si>
  <si>
    <t>Send/Receive Photocell</t>
  </si>
  <si>
    <t xml:space="preserve">Light Curtain </t>
  </si>
  <si>
    <t>Proximity Switch 30mm</t>
  </si>
  <si>
    <t>Proximity Switch 18mm</t>
  </si>
  <si>
    <t>Limit Switch</t>
  </si>
  <si>
    <t>Safety Fence Limit Switch</t>
  </si>
  <si>
    <t>Foot Switch CI</t>
  </si>
  <si>
    <t>Tracking Puls Generator</t>
  </si>
  <si>
    <t>IMPACT67 Pro PN DIO8</t>
  </si>
  <si>
    <t>GL10</t>
  </si>
  <si>
    <t>WTB26P</t>
  </si>
  <si>
    <t>GSE10</t>
  </si>
  <si>
    <t>ELG3</t>
  </si>
  <si>
    <t>Prox Ø 30</t>
  </si>
  <si>
    <t>Prox Ø 18</t>
  </si>
  <si>
    <t>LS</t>
  </si>
  <si>
    <t>SF</t>
  </si>
  <si>
    <t>FS</t>
  </si>
  <si>
    <t>PG</t>
  </si>
  <si>
    <t>I/O PN</t>
  </si>
  <si>
    <t>6.11</t>
  </si>
  <si>
    <t>6.12</t>
  </si>
  <si>
    <t>6.13</t>
  </si>
  <si>
    <t>6.14</t>
  </si>
  <si>
    <t>0.34 x (2x2) Copper</t>
  </si>
  <si>
    <t>18x1.5</t>
  </si>
  <si>
    <t>1x120E</t>
  </si>
  <si>
    <t>1x25E</t>
  </si>
  <si>
    <t>1x95</t>
  </si>
  <si>
    <t>1x95E</t>
  </si>
  <si>
    <t>2x1.5</t>
  </si>
  <si>
    <t>2x1.5 AS-i (BLACK)</t>
  </si>
  <si>
    <t>3x2.5</t>
  </si>
  <si>
    <t>3x4</t>
  </si>
  <si>
    <t>4x1.5</t>
  </si>
  <si>
    <t>4x185</t>
  </si>
  <si>
    <t>4x25</t>
  </si>
  <si>
    <t>5x1.5</t>
  </si>
  <si>
    <t>5x10</t>
  </si>
  <si>
    <t>5x16</t>
  </si>
  <si>
    <t>5x25</t>
  </si>
  <si>
    <t>5x6</t>
  </si>
  <si>
    <t>7x1.5</t>
  </si>
  <si>
    <t xml:space="preserve">FO FRNC Cable (50/125/OM2) </t>
  </si>
  <si>
    <t>Tray Turn Active</t>
  </si>
  <si>
    <t>Tray Merge Conveyor</t>
  </si>
  <si>
    <t>Tray Divert Conveyor</t>
  </si>
  <si>
    <t>Tray Right Angel</t>
  </si>
  <si>
    <t>Tray Maintenance Station</t>
  </si>
  <si>
    <t>Tray Manual Encoding Station</t>
  </si>
  <si>
    <t>Tray High Speed Straight</t>
  </si>
  <si>
    <t>Top Load Tray</t>
  </si>
  <si>
    <t>Chute with tracking</t>
  </si>
  <si>
    <t xml:space="preserve">Tray Read St. (addit.) </t>
  </si>
  <si>
    <t>TDDV001 / TIMG001</t>
  </si>
  <si>
    <t>TSTR001 / TSRV001</t>
  </si>
  <si>
    <t>TSMT001</t>
  </si>
  <si>
    <t>TSTT002</t>
  </si>
  <si>
    <t>TLST001</t>
  </si>
  <si>
    <t>TMSC001</t>
  </si>
  <si>
    <t>THSC001</t>
  </si>
  <si>
    <t>TrL</t>
  </si>
  <si>
    <t>TrS/C</t>
  </si>
  <si>
    <t>TrST</t>
  </si>
  <si>
    <t>CP001</t>
  </si>
  <si>
    <t>Check-In Distr. &amp; Starter &amp; PLC Cabinet (from CAN, 2 per CI Island))</t>
  </si>
  <si>
    <t>200 Cover for Adjustable Vertical Elbow</t>
  </si>
  <si>
    <t>200 EXTENSION HORIZONTAL T-PIECE COVER</t>
  </si>
  <si>
    <t>200 FLEXIBLE HORIZONTAL ELBOW COVER</t>
  </si>
  <si>
    <t>200 HEAVY DUTY CABLE TRAY COVER</t>
  </si>
  <si>
    <t>200 mm MOUNTING PLATE FOR BARRIER STRIP</t>
  </si>
  <si>
    <t>200 VERTICAL INSIDE ELBOW 45° COVER</t>
  </si>
  <si>
    <t>200 VERTICAL OUTSIDE ELBOW 45° COVER</t>
  </si>
  <si>
    <t>200x85 EXTENSION HORIZONTAL T-PIECE</t>
  </si>
  <si>
    <t>200x85 Flexible Adjustable Vertical Elbow</t>
  </si>
  <si>
    <t>200x85 FLEXIBLE HORIZONTAL ELBOW</t>
  </si>
  <si>
    <t>200x85 HEAVY DUTY CABLE TRAY</t>
  </si>
  <si>
    <t>200x85 VERTICAL INSIDE ELBOW 45°</t>
  </si>
  <si>
    <t>200x85 VERTICAL OUTSIDE ELBOW 45°</t>
  </si>
  <si>
    <t xml:space="preserve">300 Cover for Adjustable Vertical Elbow </t>
  </si>
  <si>
    <t>300 EXTENSION HORIZONTAL T-PIECE COVER</t>
  </si>
  <si>
    <t>300 FLEXIBLE HORIZONTAL ELBOW COVER</t>
  </si>
  <si>
    <t>300 HEAVY DUTY CABLE TRAY COVER</t>
  </si>
  <si>
    <t>300 mm MOUNTING PLATE FOR BARRIER STRIP</t>
  </si>
  <si>
    <t>300 VERTICAL INSIDE ELBOW 45° COVER</t>
  </si>
  <si>
    <t>300 VERTICAL OUTSIDE ELBOW 45° COVER</t>
  </si>
  <si>
    <t>300x85 EXTENSION HORIZONTAL T-PIECE</t>
  </si>
  <si>
    <t>300x85 Flexible Adjustable Vertical Elbow</t>
  </si>
  <si>
    <t>300x85 FLEXIBLE HORIZONTAL ELBOW</t>
  </si>
  <si>
    <t>300x85 HEAVY DUTY CABLE TRAY</t>
  </si>
  <si>
    <t>300x85 VERTICAL INSIDE ELBOW 45°</t>
  </si>
  <si>
    <t>300x85 VERTICAL OUTSIDE ELBOW 45°</t>
  </si>
  <si>
    <t>400 Cover for Adjustable Vertical Elbow</t>
  </si>
  <si>
    <t>400 EXTENSION HORIZONTAL T-PIECE COVER</t>
  </si>
  <si>
    <t>400 FLEXIBLE HORIZONTAL ELBOW COVER</t>
  </si>
  <si>
    <t>400 HEAVY DUTY CABLE TRAY COVER</t>
  </si>
  <si>
    <t>400 mm MOUNTING PLATE FOR BARRIER STRIP</t>
  </si>
  <si>
    <t>400x85 EXTENSION HORIZONTAL T-PIECE</t>
  </si>
  <si>
    <t>400x85 Flexible Adjustable Vertical Elbow</t>
  </si>
  <si>
    <t>400x85 FLEXIBLE HORIZONTAL ELBOW</t>
  </si>
  <si>
    <t>400x85 HEAVY DUTY CABLE TRAY</t>
  </si>
  <si>
    <t>600 Cover for Adjustable Vertical Elbow</t>
  </si>
  <si>
    <t>600 EXTENSION HORIZONTAL T-PIECE COVER</t>
  </si>
  <si>
    <t>600 FLEXIBLE HORIZONTAL ELBOW COVER</t>
  </si>
  <si>
    <t>600 HEAVY DUTY CABLE TRAY COVER</t>
  </si>
  <si>
    <t>600 mm MOUNTING PLATE FOR BARRIER STRIP</t>
  </si>
  <si>
    <t>600x85 EXTENSION HORIZONTAL T-PIECE</t>
  </si>
  <si>
    <t>600x85 Flexible Adjustable Vertical Elbow</t>
  </si>
  <si>
    <t>600x85 FLEXIBLE HORIZONTAL ELBOW</t>
  </si>
  <si>
    <t>600x85 HEAVY DUTY CABLE TRAY</t>
  </si>
  <si>
    <t>ADJUSTABLE SPLICE PLATE 85</t>
  </si>
  <si>
    <t>BARRIER STRIP 85</t>
  </si>
  <si>
    <t>BEAM CLAMP</t>
  </si>
  <si>
    <t>Blind End 85.200</t>
  </si>
  <si>
    <t>Blind End 85.300</t>
  </si>
  <si>
    <t>C-RAIL (200mm LENGTH)</t>
  </si>
  <si>
    <t>C-RAIL (400mm LENGTH)</t>
  </si>
  <si>
    <t>C-RAIL (600mm LENGTH)</t>
  </si>
  <si>
    <t>FDB FUNNEL</t>
  </si>
  <si>
    <t>SPLICE PLATE FOR BARRIER STRIP</t>
  </si>
  <si>
    <t>U shaped single splice plate 200 with nuts and bolts</t>
  </si>
  <si>
    <t>U shaped single splice plate 300 with nuts and bolts</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</si>
  <si>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</si>
  <si>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</si>
  <si>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</si>
  <si>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</si>
  <si>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</si>
  <si>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</si>
  <si>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</si>
  <si>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</si>
  <si>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</si>
  <si>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</si>
  <si>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</si>
  <si>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</si>
  <si>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</si>
  <si>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</si>
  <si>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</si>
  <si>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</si>
  <si>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</si>
  <si>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</si>
  <si>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</si>
  <si>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</si>
  <si>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</si>
  <si>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</si>
  <si>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</si>
  <si>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</si>
  <si>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</si>
  <si>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</si>
  <si>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</si>
  <si>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</si>
  <si>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</si>
  <si>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</si>
  <si>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</si>
  <si>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</si>
  <si>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</si>
  <si>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</si>
  <si>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</si>
  <si>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</si>
  <si>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</si>
  <si>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</si>
  <si>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</si>
  <si>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</si>
  <si>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Sensor Cable 3m</t>
  </si>
  <si>
    <t>Sensor Cable 5m</t>
  </si>
  <si>
    <t>Sensor Cable 10m</t>
  </si>
  <si>
    <t>Servo Cable, 2m</t>
  </si>
  <si>
    <t>Servo Cable, 3m</t>
  </si>
  <si>
    <t>Servo Cable, 5m</t>
  </si>
  <si>
    <t>Power Cable, 1,5m</t>
  </si>
  <si>
    <t>Power Cable, 2m</t>
  </si>
  <si>
    <t>Power Cable, 3m</t>
  </si>
  <si>
    <t>Power Cable, 5m</t>
  </si>
  <si>
    <t>4x 185 XLPE -  e.g. Lapp Ölflex 110H</t>
  </si>
  <si>
    <t>1x 120 XLPE -  e.g. Lapp Ölflex 110H</t>
  </si>
  <si>
    <t>1x 95 XLPE -  e.g. Lapp Ölflex 110H</t>
  </si>
  <si>
    <t>1x 240 XLPE -  e.g. Lapp Ölflex 110H</t>
  </si>
  <si>
    <t>1x 185 XLPE -  e.g. Lapp Ölflex 110H</t>
  </si>
  <si>
    <t>1x 150 XLPE -  e.g. Lapp Ölflex 110H</t>
  </si>
  <si>
    <t>1x 50 XLPE -  e.g. Lapp Ölflex 110H</t>
  </si>
  <si>
    <t>1x 225 XLPE -  e.g. Lapp Ölflex 110H</t>
  </si>
  <si>
    <t>5x 120 XLPE  - e.g.Lapp Ölflex 110H</t>
  </si>
  <si>
    <t>7x 1,5 XLPE  - e.g.Lapp Ölflex 110H</t>
  </si>
  <si>
    <t>18x 1,0 XLPE  - e.g.Lapp Ölflex 110H</t>
  </si>
  <si>
    <t>5x 1,5 XLPE  - e.g.Lapp Ölflex 110H</t>
  </si>
  <si>
    <t>2x 1,5 XLPE  - e.g.Lapp Ölflex 110H</t>
  </si>
  <si>
    <t>3X 1,5 YY -  e.g. Lapp Ölflex 110H</t>
  </si>
  <si>
    <t>4X 0,34 Sensor cable -  e.g. Lapp Ölflex 110H</t>
  </si>
  <si>
    <t>5X 0,75 YY -  e.g. Lapp Ölflex 110H</t>
  </si>
  <si>
    <t>7X 0,75 YY -  e.g. Lapp Ölflex 110H</t>
  </si>
  <si>
    <t>7X 0,5 YY -  e.g. Lapp Ölflex 110H</t>
  </si>
  <si>
    <t>3X 4,0 YY -  e.g. Lapp Ölflex 110H</t>
  </si>
  <si>
    <t>3X 2,5 YY -  e.g. Lapp Ölflex 110H</t>
  </si>
  <si>
    <t>4X 6,0 YY -  e.g. Lapp Ölflex 110H</t>
  </si>
  <si>
    <t>Cable 5G10 mm²</t>
  </si>
  <si>
    <t>Cable 4G25 mm²</t>
  </si>
  <si>
    <t xml:space="preserve">Cable 1G25 mm² </t>
  </si>
  <si>
    <t xml:space="preserve">Cable 1G95E mm² </t>
  </si>
  <si>
    <t xml:space="preserve">Cable 1G95 mm² </t>
  </si>
  <si>
    <t xml:space="preserve">Cable 1G120 mm² </t>
  </si>
  <si>
    <t xml:space="preserve">Cable 1G150 mm² </t>
  </si>
  <si>
    <t xml:space="preserve">Cable 1G185 mm² </t>
  </si>
  <si>
    <t xml:space="preserve">Cable 1G240 mm² </t>
  </si>
  <si>
    <t xml:space="preserve">Cable 1G50 mm² </t>
  </si>
  <si>
    <t>5X 10 XLPE -  e.g. Lapp Ölflex 110H</t>
  </si>
  <si>
    <t>5X 16 XLPE -  e.g. Lapp Ölflex 110H</t>
  </si>
  <si>
    <t>5X 35 XLPE -  e.g. Lapp Ölflex 110H</t>
  </si>
  <si>
    <t>4X 25 XLPE -  e.g. Lapp Ölflex 110H</t>
  </si>
  <si>
    <t>2x 1,5 mm² - AS-Interface Cable BLACK</t>
  </si>
  <si>
    <t>6 mm² Earth Cable straps 20cm</t>
  </si>
  <si>
    <t>Earth straps - length about 20cm</t>
  </si>
  <si>
    <t>1x 10mm²  - Earth Cable</t>
  </si>
  <si>
    <t>1x 25mm²  - Earth Cable</t>
  </si>
  <si>
    <t>Unitronic copper Bus cable - 6XV1830-0LH10</t>
  </si>
  <si>
    <t>Earth Cable 10 mm² beside the conveyor lines</t>
  </si>
  <si>
    <t>Earth Cable 25 mm² beside the conveyor lines</t>
  </si>
  <si>
    <t>2x2x0,34 mm² - Profinet Fiber Optic Cable</t>
  </si>
  <si>
    <t xml:space="preserve">Fiber Optic FRNC Cable (50/125/OM2) </t>
  </si>
  <si>
    <t>Supply &amp; Install.</t>
  </si>
  <si>
    <t>Installation only!</t>
  </si>
  <si>
    <t>Cost Break Down (CBD) - Electrical Installation</t>
  </si>
  <si>
    <t>6.15</t>
  </si>
  <si>
    <t>6.16</t>
  </si>
  <si>
    <t>6.17</t>
  </si>
  <si>
    <t>6.18</t>
  </si>
  <si>
    <t>6.19</t>
  </si>
  <si>
    <t>6.20</t>
  </si>
  <si>
    <t>May 31, 2024</t>
  </si>
  <si>
    <t>Table A: Electrical Installation of Baggage Handling System - Labour Breakdown</t>
  </si>
  <si>
    <t>pieces</t>
  </si>
  <si>
    <t xml:space="preserve">TL1: Tower Lamp 1x </t>
  </si>
  <si>
    <t>TL2: Tower Lamp 1x + Horn</t>
  </si>
  <si>
    <t>TL3: Tower Lamp 2x + Horn</t>
  </si>
  <si>
    <t>TL4: Tower Lamp 3x + Horn</t>
  </si>
  <si>
    <t>TL5: Tower Lamp 4x + Horn</t>
  </si>
  <si>
    <t>Refer to Requirements from Specification.</t>
  </si>
  <si>
    <t>CS1: JAM Control Station (e.g. CS31)</t>
  </si>
  <si>
    <t>CS2: Control Station 2 operating units (e.g. CS30)</t>
  </si>
  <si>
    <t>CS3: Control Station 4 operating units (e.g. CS34)</t>
  </si>
  <si>
    <t>CS4: Control Station 6 operating units (e.g. CS16)</t>
  </si>
  <si>
    <t>CS5: Touch panel CS96 (Incheon specific)</t>
  </si>
  <si>
    <t>Compensation (Calc. per LP, e.g. TTS, EBS)</t>
  </si>
  <si>
    <t>Compensation (Calc. per PDP)</t>
  </si>
  <si>
    <t>Hybrid Cabinet LP&amp;PM (LM) S7-15xxF</t>
  </si>
  <si>
    <t>Hybrid Cabinet LP&amp;PM (LM) S7-15xxH/F</t>
  </si>
  <si>
    <t>LB lokale Profinet Box</t>
  </si>
  <si>
    <t>LB lokale Profinet Box (with F-DI/DO)</t>
  </si>
  <si>
    <t>E-Stop PLC Cabinet (EP) S7-15xx F</t>
  </si>
  <si>
    <t>E-Stop PLC Cabinet (EP) S7-15xx H/F</t>
  </si>
  <si>
    <t>E-Stop I/O Box (EB)</t>
  </si>
  <si>
    <t>Sloped Sliding Nut M8</t>
  </si>
  <si>
    <t>Mushroom Head Bolt M8</t>
  </si>
  <si>
    <t xml:space="preserve">Round Head Bolt </t>
  </si>
  <si>
    <t>Bracket 1000mm,heavy duty,f.overhead hangers HT/HI,HDGAF</t>
  </si>
  <si>
    <t>Bracket 500mm,heavy duty,f.overhead hangers HT/HI,HDGAF</t>
  </si>
  <si>
    <t>Bracket 700mm,heavy duty,f.overhead hangers HT/HI,HDGAF</t>
  </si>
  <si>
    <t>Cable Ladder, 100x400mm, t=2mm, L=3m, HDGAF</t>
  </si>
  <si>
    <t>Cable Ladder, 100x600mm, t=2mm, L=3m, HDGAF</t>
  </si>
  <si>
    <t>Cable Ladder, 100x900mm, t=2mm, L=3m, HDGAF</t>
  </si>
  <si>
    <t>Hold down clamp, HDGAF</t>
  </si>
  <si>
    <t>Horizontal elbow 45°, 100x400mm, HDGAF</t>
  </si>
  <si>
    <t>Horizontal elbow 45°, 100x900mm, HDGAF</t>
  </si>
  <si>
    <t>Horizontal elbow 45°,100x600mm, HDGAF</t>
  </si>
  <si>
    <t>Horizontal Tee, 100x400mm, HDGAF</t>
  </si>
  <si>
    <t>Horizontal Tee, 100x900mm, HDGAF</t>
  </si>
  <si>
    <t>Horizontal Tee,100x600mm, HDGAF</t>
  </si>
  <si>
    <t>Overhead hanger I-profile, HDGAF</t>
  </si>
  <si>
    <t>Straight section connector U 100, 2 pieces required per joint, HDGAF</t>
  </si>
  <si>
    <t>Unequal Tee 600 x 400 x 600 mm</t>
  </si>
  <si>
    <t>Unequal Tee 600 x 900 x 600 mm</t>
  </si>
  <si>
    <t>Unequal Tee 900 x 400 x 900 mm</t>
  </si>
  <si>
    <t>Unequal Tee 900 x 600 x 900 mm</t>
  </si>
  <si>
    <t>Vertical elbow 45°, HDGAF</t>
  </si>
  <si>
    <t>Vertical outside elbow 45°, 100x600mm, HDGAF</t>
  </si>
  <si>
    <t>Vertical outside elbow 45°, 100x900mm, HDGAF</t>
  </si>
  <si>
    <t>Vertical outside elbow 45°,100x400mm, HDGAF</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</si>
  <si>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</si>
  <si>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</si>
  <si>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</si>
  <si>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</si>
  <si>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</si>
  <si>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</si>
  <si>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</si>
  <si>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</si>
  <si>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</si>
  <si>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</si>
  <si>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</si>
  <si>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</si>
  <si>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</si>
  <si>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</si>
  <si>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</si>
  <si>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</si>
  <si>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</si>
  <si>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</si>
  <si>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</si>
  <si>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</si>
  <si>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</si>
  <si>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</si>
  <si>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</si>
  <si>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</si>
  <si>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9.36</t>
  </si>
  <si>
    <t>9.37</t>
  </si>
  <si>
    <t>9.38</t>
  </si>
  <si>
    <t>9.39</t>
  </si>
  <si>
    <t>9.40</t>
  </si>
  <si>
    <t>9.41</t>
  </si>
  <si>
    <t>9.42</t>
  </si>
  <si>
    <t>9.43</t>
  </si>
  <si>
    <t>9.44</t>
  </si>
  <si>
    <t>9.45</t>
  </si>
  <si>
    <t>9.46</t>
  </si>
  <si>
    <t>9.47</t>
  </si>
  <si>
    <t>9.48</t>
  </si>
  <si>
    <t>9.49</t>
  </si>
  <si>
    <t>9.50</t>
  </si>
  <si>
    <t xml:space="preserve">Tray Tilter / Tilter plus </t>
  </si>
  <si>
    <t>Tray Simple Stacker</t>
  </si>
  <si>
    <t>Tray S/C-Conveyor</t>
  </si>
  <si>
    <t>TrSMT</t>
  </si>
  <si>
    <t>TrSS</t>
  </si>
  <si>
    <t>TrLS</t>
  </si>
  <si>
    <t>TrVSU</t>
  </si>
  <si>
    <t>1x 25 XLPE -  e.g. Lapp Ölflex 110H</t>
  </si>
  <si>
    <t>Cable's Containment - Ladder</t>
  </si>
  <si>
    <t>Cable's Containment - Trunking</t>
  </si>
  <si>
    <t>Panel Type Description</t>
  </si>
  <si>
    <t>Total Efforts</t>
  </si>
  <si>
    <t>Expenses: Travelling, Accomodation etc.</t>
  </si>
  <si>
    <t>Price for Installation Material, incl. Accessories for Cable Trays, Consumables - Belt</t>
  </si>
  <si>
    <t>Price for Installation Material, incl. Accessories for Cable Trays, Consumables - ICS</t>
  </si>
  <si>
    <t>Date of Offer</t>
  </si>
  <si>
    <t>May 31, 2023</t>
  </si>
  <si>
    <t>Date of Proposal:</t>
  </si>
  <si>
    <t>MM.JJJJ - MM.JJJJ</t>
  </si>
  <si>
    <t>Specified period for E-Installation:</t>
  </si>
  <si>
    <t>Siemens Logistics</t>
  </si>
  <si>
    <t>Price for Electrical Installation (Labour) of Baggage Handling System - Belt</t>
  </si>
  <si>
    <t>Price for Electrical Installation (Labour) of Baggage Handling System - ICS</t>
  </si>
  <si>
    <t>Column for internal References</t>
  </si>
  <si>
    <t>Fixed firm price, all included</t>
  </si>
  <si>
    <r>
      <rPr>
        <b/>
        <u/>
        <sz val="11"/>
        <color rgb="FF0070C0"/>
        <rFont val="Arial"/>
        <family val="2"/>
      </rPr>
      <t>Note:</t>
    </r>
    <r>
      <rPr>
        <b/>
        <sz val="11"/>
        <color rgb="FF0070C0"/>
        <rFont val="Arial"/>
        <family val="2"/>
      </rPr>
      <t xml:space="preserve"> It is understood that efforts and prices given below includes all work, expenses and incidental costs necessary to perform, complete and satisfactory fulfill in a customary and workmanlike manner the work in accordance with the Statement of Work. It is understood that efforts and prices given below take into account all the constraints for the performance of the work in accordance with the Statement of Work.</t>
    </r>
  </si>
  <si>
    <t>Siemens Logistics input</t>
  </si>
  <si>
    <t>ICS-Conveyor</t>
  </si>
  <si>
    <t>Reference ID to Qty_all_Devices ICS</t>
  </si>
  <si>
    <t>CAVE200</t>
  </si>
  <si>
    <t>EHTPC200</t>
  </si>
  <si>
    <t>FHEC200</t>
  </si>
  <si>
    <t>HDCTC200</t>
  </si>
  <si>
    <t>MPBS200</t>
  </si>
  <si>
    <t>VIE45C200</t>
  </si>
  <si>
    <t>VOE45200</t>
  </si>
  <si>
    <t>EHTP200x85</t>
  </si>
  <si>
    <t>FAVE200x85</t>
  </si>
  <si>
    <t>FHE200x85</t>
  </si>
  <si>
    <t>HDCT200x85</t>
  </si>
  <si>
    <t>VIE45200x85</t>
  </si>
  <si>
    <t>VOE45200x85</t>
  </si>
  <si>
    <t>CAVE300</t>
  </si>
  <si>
    <t>EHTPC300</t>
  </si>
  <si>
    <t>FHEC300</t>
  </si>
  <si>
    <t>HDCTC300</t>
  </si>
  <si>
    <t>MPBS300</t>
  </si>
  <si>
    <t>VIE45C300</t>
  </si>
  <si>
    <t>VOE45C300</t>
  </si>
  <si>
    <t>EHTP300x85</t>
  </si>
  <si>
    <t>FAVE300x85</t>
  </si>
  <si>
    <t>FHE300x85</t>
  </si>
  <si>
    <t>HDCT300x85</t>
  </si>
  <si>
    <t>VIE45300x85</t>
  </si>
  <si>
    <t>VOE45300x85</t>
  </si>
  <si>
    <t>CAVE400</t>
  </si>
  <si>
    <t>EHTPC400</t>
  </si>
  <si>
    <t>FHEC400</t>
  </si>
  <si>
    <t>HDCTC400</t>
  </si>
  <si>
    <t>MPBS400</t>
  </si>
  <si>
    <t>EHTP400x85</t>
  </si>
  <si>
    <t>FAVE400x85</t>
  </si>
  <si>
    <t>FHE400x85</t>
  </si>
  <si>
    <t>HDCT400x85</t>
  </si>
  <si>
    <t>CAVE600</t>
  </si>
  <si>
    <t>EHTPC600</t>
  </si>
  <si>
    <t>FHEC600</t>
  </si>
  <si>
    <t>HDCTC600</t>
  </si>
  <si>
    <t>MPBS600</t>
  </si>
  <si>
    <t>EHTP600x85</t>
  </si>
  <si>
    <t>FAVE600x85</t>
  </si>
  <si>
    <t>FHE600x85</t>
  </si>
  <si>
    <t>HDCT600x85</t>
  </si>
  <si>
    <t>ASP85</t>
  </si>
  <si>
    <t>BS85</t>
  </si>
  <si>
    <t>BC</t>
  </si>
  <si>
    <t>BE85200</t>
  </si>
  <si>
    <t>BE85300</t>
  </si>
  <si>
    <t>CR200</t>
  </si>
  <si>
    <t>CR400</t>
  </si>
  <si>
    <t>CR600</t>
  </si>
  <si>
    <t>FDBF</t>
  </si>
  <si>
    <t>MHBM8</t>
  </si>
  <si>
    <t>RHB</t>
  </si>
  <si>
    <t>SSNM8</t>
  </si>
  <si>
    <t>SPBS</t>
  </si>
  <si>
    <t>USSSP200</t>
  </si>
  <si>
    <t>USSSP300</t>
  </si>
  <si>
    <t>Br1000</t>
  </si>
  <si>
    <t>Br500</t>
  </si>
  <si>
    <t>Br700</t>
  </si>
  <si>
    <t>CL100x400</t>
  </si>
  <si>
    <t>CL100x600</t>
  </si>
  <si>
    <t>CL100x900</t>
  </si>
  <si>
    <t>HDC</t>
  </si>
  <si>
    <t>HE45100x400</t>
  </si>
  <si>
    <t>HE45100x900</t>
  </si>
  <si>
    <t>HE45100x600</t>
  </si>
  <si>
    <t>HT100x400</t>
  </si>
  <si>
    <t>HT100x900</t>
  </si>
  <si>
    <t>HT100x600</t>
  </si>
  <si>
    <t>OHIP</t>
  </si>
  <si>
    <t>SSCU100</t>
  </si>
  <si>
    <t>UT600x400x600</t>
  </si>
  <si>
    <t>UT600x900x600</t>
  </si>
  <si>
    <t>UT900x400x900</t>
  </si>
  <si>
    <t>UT900x600x900</t>
  </si>
  <si>
    <t>VE45</t>
  </si>
  <si>
    <t>VOE45100x600</t>
  </si>
  <si>
    <t>VOE45100x900</t>
  </si>
  <si>
    <t>VOE45100x400</t>
  </si>
  <si>
    <t>SrC2</t>
  </si>
  <si>
    <t>SrC3</t>
  </si>
  <si>
    <t>SrC5</t>
  </si>
  <si>
    <t>PC15</t>
  </si>
  <si>
    <t>PC2</t>
  </si>
  <si>
    <t>PC3</t>
  </si>
  <si>
    <t>PC5</t>
  </si>
  <si>
    <t>SnsC3</t>
  </si>
  <si>
    <t>SnsC5</t>
  </si>
  <si>
    <t>SnsC10</t>
  </si>
  <si>
    <t>Reference ID to "PLC_Material_Costs" in 'Material_PN_ICS" sheet</t>
  </si>
  <si>
    <t>Reference ID to "PLC_Material_Costs" in 'Material_PN_Belt" sheet</t>
  </si>
  <si>
    <t>11</t>
  </si>
  <si>
    <t>Check-In Weighing</t>
  </si>
  <si>
    <t>Check-In Labelling</t>
  </si>
  <si>
    <t>Bnnnxxx</t>
  </si>
  <si>
    <t>Check-In Dispatch</t>
  </si>
  <si>
    <t xml:space="preserve">SBD AutoCheck-In </t>
  </si>
  <si>
    <t>Belt Metering</t>
  </si>
  <si>
    <t>Belt Straight</t>
  </si>
  <si>
    <t>Belt Merge/Divert</t>
  </si>
  <si>
    <t>BMGC001; BDDV001</t>
  </si>
  <si>
    <t>High Speed Diverter (HSD/HDU)</t>
  </si>
  <si>
    <t>Belt Tilter Plus</t>
  </si>
  <si>
    <t>Verti-Sorter - one Arm</t>
  </si>
  <si>
    <t>Verti-Merge - one Arm</t>
  </si>
  <si>
    <t>Verti-Sorter - three Arm</t>
  </si>
  <si>
    <t>Carousel Arrival 2 Drives</t>
  </si>
  <si>
    <t>Carousel Departure 2 Drives</t>
  </si>
  <si>
    <t>Roller Conv./Turn</t>
  </si>
  <si>
    <t>Belt Pusher</t>
  </si>
  <si>
    <t>Belt Vario Flip</t>
  </si>
  <si>
    <t>???? Spare Conveyor ????</t>
  </si>
  <si>
    <t>Belt Manual Encoding Station</t>
  </si>
  <si>
    <t>Laser 360° LCB750/10</t>
  </si>
  <si>
    <t>Laser 360° LCB750/12</t>
  </si>
  <si>
    <t>BSCR002</t>
  </si>
  <si>
    <t>Laser 360° LCB750/14</t>
  </si>
  <si>
    <t>BSCR003</t>
  </si>
  <si>
    <t>RFID Add-on</t>
  </si>
  <si>
    <t>RFID Standalone System</t>
  </si>
  <si>
    <t>ALIS Hybrid System ATR+RFID</t>
  </si>
  <si>
    <t>Tray Metering Conveyor</t>
  </si>
  <si>
    <t>Tray Straight Conveyor</t>
  </si>
  <si>
    <t>Tray Incline/Decline</t>
  </si>
  <si>
    <t>TICL001 / TDCL001</t>
  </si>
  <si>
    <t>Tray Tilter</t>
  </si>
  <si>
    <t>Tnnnxxx</t>
  </si>
  <si>
    <t>Tray Empty Check</t>
  </si>
  <si>
    <t>Plough (Single Arm) Divert</t>
  </si>
  <si>
    <t>ALIS CAM: Add-on  8 x cameras</t>
  </si>
  <si>
    <t>Volume Scanner ALIS DIM</t>
  </si>
  <si>
    <t>Tray Tilter Plus</t>
  </si>
  <si>
    <t>Tray Verti-Sorter - one Arm</t>
  </si>
  <si>
    <t>Tray Step Through</t>
  </si>
  <si>
    <t xml:space="preserve">Tray Roller Inspection (addit.)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</si>
</sst>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quot;€&quot;* #,##0.00_);_(&quot;€&quot;* \(#,##0.00\);_(&quot;€&quot;* &quot;-&quot;??_);_(@_)"/>
    <numFmt numFmtId="165" formatCode="#,##0\ [$mm]"/>
    <numFmt numFmtId="166" formatCode="0.0"/>
    <numFmt numFmtId="167" formatCode="0\ &quot;pcs.&quot;"/>
    <numFmt numFmtId="168" formatCode="#,##0\ [$mtr.]"/>
    <numFmt numFmtId="169" formatCode="#,##0\ [$pcs.]"/>
    <numFmt numFmtId="170" formatCode="#,##0.0\ [$mtr.]"/>
    <numFmt numFmtId="171" formatCode="#,##0\ [$CAD]"/>
    <numFmt numFmtId="172" formatCode="#,##0\ [$wks.]"/>
    <numFmt numFmtId="173" formatCode="[$1.]#0"/>
    <numFmt numFmtId="174" formatCode="[$2.]#0"/>
    <numFmt numFmtId="175" formatCode="[$3.]#0"/>
    <numFmt numFmtId="176" formatCode="[$4.]#0"/>
    <numFmt numFmtId="177" formatCode="[$5.]#0"/>
    <numFmt numFmtId="178" formatCode="[$6.]#0"/>
    <numFmt numFmtId="179" formatCode="#,##0\ [$cars]"/>
    <numFmt numFmtId="180" formatCode="#,##0\ [$times]"/>
    <numFmt numFmtId="181" formatCode="#,##0\ [$persons]"/>
    <numFmt numFmtId="182" formatCode="#,##0\ [$weeks]"/>
    <numFmt numFmtId="183" formatCode="#,##0\ [$EUR]"/>
    <numFmt numFmtId="184" formatCode="#,##0.00\ [$EUR]"/>
    <numFmt numFmtId="185" formatCode="#,##0\ [$hrs.]"/>
    <numFmt numFmtId="186" formatCode="#,##0.0\ [$hrs.]"/>
    <numFmt numFmtId="187" formatCode="#,##0_;&quot;€&quot;"/>
    <numFmt numFmtId="188" formatCode="0&quot; pieces&quot;"/>
    <numFmt numFmtId="189" formatCode="0&quot; m&quot;"/>
    <numFmt numFmtId="190" formatCode="yyyy\-mm\-dd;@"/>
    <numFmt numFmtId="191" formatCode="#,##0.00\ &quot;€&quot;"/>
    <numFmt numFmtId="192" formatCode="_-* #,##0.00\ [$€-407]_-;\-* #,##0.00\ [$€-407]_-;_-* &quot;-&quot;??\ [$€-407]_-;_-@_-"/>
    <numFmt numFmtId="193" formatCode="@&quot; - Belt System&quot;"/>
    <numFmt numFmtId="194" formatCode="@&quot; - ICS System&quot;"/>
  </numFmts>
  <fonts count="50" x14ac:knownFonts="1">
    <font>
      <sz val="11"/>
      <color theme="1"/>
      <name val="Calibri"/>
      <family val="2"/>
      <scheme val="minor"/>
    </font>
    <font>
      <sz val="11"/>
      <color theme="1"/>
      <name val="Arial"/>
      <family val="2"/>
    </font>
    <font>
      <sz val="11"/>
      <name val="Arial"/>
      <family val="2"/>
    </font>
    <font>
      <b/>
      <sz val="11"/>
      <color theme="1"/>
      <name val="Arial"/>
      <family val="2"/>
    </font>
    <font>
      <b/>
      <sz val="11"/>
      <name val="Arial"/>
      <family val="2"/>
    </font>
    <font>
      <sz val="11"/>
      <color rgb="FF000000"/>
      <name val="Arial"/>
      <family val="2"/>
    </font>
    <font>
      <b/>
      <sz val="11"/>
      <color theme="1"/>
      <name val="Calibri"/>
      <family val="2"/>
      <scheme val="minor"/>
    </font>
    <font>
      <sz val="10"/>
      <name val="Arial"/>
      <family val="2"/>
    </font>
    <font>
      <b/>
      <sz val="14"/>
      <color theme="1"/>
      <name val="Arial"/>
      <family val="2"/>
    </font>
    <font>
      <b/>
      <sz val="12"/>
      <color theme="1"/>
      <name val="Arial"/>
      <family val="2"/>
    </font>
    <font>
      <sz val="11"/>
      <color theme="1"/>
      <name val="Calibri"/>
      <family val="2"/>
      <scheme val="minor"/>
    </font>
    <font>
      <sz val="11"/>
      <color rgb="FF0070C0"/>
      <name val="Calibri"/>
      <family val="2"/>
      <scheme val="minor"/>
    </font>
    <font>
      <sz val="11"/>
      <color rgb="FF0070C0"/>
      <name val="Arial"/>
      <family val="2"/>
    </font>
    <font>
      <b/>
      <vertAlign val="superscript"/>
      <sz val="11"/>
      <name val="Arial"/>
      <family val="2"/>
    </font>
    <font>
      <b/>
      <vertAlign val="superscript"/>
      <sz val="11"/>
      <color theme="1"/>
      <name val="Arial"/>
      <family val="2"/>
    </font>
    <font>
      <sz val="11"/>
      <color theme="0" tint="-0.499984740745262"/>
      <name val="Arial"/>
      <family val="2"/>
    </font>
    <font>
      <sz val="11"/>
      <color rgb="FFFF0000"/>
      <name val="Arial"/>
      <family val="2"/>
    </font>
    <font>
      <b/>
      <sz val="18"/>
      <color theme="1"/>
      <name val="Calibri"/>
      <family val="2"/>
      <scheme val="minor"/>
    </font>
    <font>
      <sz val="9"/>
      <color theme="1"/>
      <name val="Calibri"/>
      <family val="2"/>
      <scheme val="minor"/>
    </font>
    <font>
      <sz val="9"/>
      <color rgb="FF000000"/>
      <name val="Calibri"/>
      <family val="2"/>
    </font>
    <font>
      <b/>
      <sz val="11"/>
      <color indexed="8"/>
      <name val="Arial"/>
      <family val="2"/>
    </font>
    <font>
      <b/>
      <sz val="26"/>
      <name val="Arial"/>
      <family val="2"/>
    </font>
    <font>
      <b/>
      <sz val="12"/>
      <name val="Arial"/>
      <family val="2"/>
    </font>
    <font>
      <b/>
      <sz val="14"/>
      <color indexed="47"/>
      <name val="Arial"/>
      <family val="2"/>
    </font>
    <font>
      <b/>
      <sz val="14"/>
      <name val="Arial"/>
      <family val="2"/>
    </font>
    <font>
      <sz val="11"/>
      <color indexed="8"/>
      <name val="Arial"/>
      <family val="2"/>
    </font>
    <font>
      <strike/>
      <sz val="11"/>
      <name val="Arial"/>
      <family val="2"/>
    </font>
    <font>
      <sz val="11"/>
      <color theme="0" tint="-0.14999847407452621"/>
      <name val="Arial"/>
      <family val="2"/>
    </font>
    <font>
      <sz val="9"/>
      <color indexed="81"/>
      <name val="Segoe UI"/>
      <family val="2"/>
    </font>
    <font>
      <b/>
      <sz val="9"/>
      <color indexed="81"/>
      <name val="Segoe UI"/>
      <family val="2"/>
    </font>
    <font>
      <sz val="11"/>
      <color theme="0"/>
      <name val="Calibri"/>
      <family val="2"/>
      <scheme val="minor"/>
    </font>
    <font>
      <b/>
      <sz val="18"/>
      <color theme="0"/>
      <name val="Calibri"/>
      <family val="2"/>
      <scheme val="minor"/>
    </font>
    <font>
      <sz val="8"/>
      <name val="Calibri"/>
      <family val="2"/>
      <scheme val="minor"/>
    </font>
    <font>
      <sz val="10"/>
      <name val="MS Sans Serif"/>
      <family val="2"/>
    </font>
    <font>
      <sz val="11"/>
      <name val="Calibri"/>
      <family val="2"/>
      <scheme val="minor"/>
    </font>
    <font>
      <sz val="14"/>
      <name val="Arial"/>
      <family val="2"/>
    </font>
    <font>
      <sz val="14"/>
      <color indexed="8"/>
      <name val="Arial"/>
      <family val="2"/>
    </font>
    <font>
      <b/>
      <sz val="16"/>
      <name val="Arial"/>
      <family val="2"/>
    </font>
    <font>
      <b/>
      <sz val="11"/>
      <color indexed="81"/>
      <name val="Arial"/>
      <family val="2"/>
    </font>
    <font>
      <sz val="11"/>
      <color indexed="81"/>
      <name val="Arial"/>
      <family val="2"/>
    </font>
    <font>
      <b/>
      <sz val="26"/>
      <color theme="0"/>
      <name val="Arial"/>
      <family val="2"/>
    </font>
    <font>
      <b/>
      <sz val="11"/>
      <color rgb="FF0070C0"/>
      <name val="Arial"/>
      <family val="2"/>
    </font>
    <font>
      <b/>
      <u/>
      <sz val="11"/>
      <color rgb="FF0070C0"/>
      <name val="Arial"/>
      <family val="2"/>
    </font>
    <font>
      <b/>
      <sz val="11"/>
      <color rgb="FF000000"/>
      <name val="Arial"/>
      <family val="2"/>
    </font>
    <font>
      <sz val="9"/>
      <color theme="1"/>
      <name val="Arial"/>
      <family val="2"/>
    </font>
    <font>
      <sz val="9"/>
      <color rgb="FF000000"/>
      <name val="Arial"/>
      <family val="2"/>
    </font>
    <font>
      <b/>
      <sz val="9"/>
      <color rgb="FF000000"/>
      <name val="Arial"/>
      <family val="2"/>
    </font>
    <font>
      <sz val="10"/>
      <color theme="1"/>
      <name val="Arial"/>
      <family val="2"/>
    </font>
    <font>
      <b/>
      <sz val="9"/>
      <color indexed="81"/>
      <name val="Tahoma"/>
      <family val="2"/>
    </font>
    <font>
      <sz val="9"/>
      <color indexed="81"/>
      <name val="Tahoma"/>
      <family val="2"/>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009999"/>
        <bgColor indexed="64"/>
      </patternFill>
    </fill>
    <fill>
      <patternFill patternType="solid">
        <fgColor theme="9" tint="0.59999389629810485"/>
        <bgColor rgb="FF000000"/>
      </patternFill>
    </fill>
    <fill>
      <patternFill patternType="solid">
        <fgColor theme="9" tint="0.59999389629810485"/>
        <bgColor indexed="64"/>
      </patternFill>
    </fill>
    <fill>
      <patternFill patternType="solid">
        <fgColor indexed="41"/>
        <bgColor indexed="64"/>
      </patternFill>
    </fill>
    <fill>
      <patternFill patternType="solid">
        <fgColor indexed="47"/>
        <bgColor indexed="64"/>
      </patternFill>
    </fill>
    <fill>
      <patternFill patternType="solid">
        <fgColor indexed="11"/>
        <bgColor indexed="64"/>
      </patternFill>
    </fill>
    <fill>
      <patternFill patternType="solid">
        <fgColor indexed="43"/>
        <bgColor indexed="64"/>
      </patternFill>
    </fill>
    <fill>
      <patternFill patternType="solid">
        <fgColor indexed="44"/>
        <bgColor indexed="64"/>
      </patternFill>
    </fill>
    <fill>
      <patternFill patternType="solid">
        <fgColor theme="5" tint="0.59999389629810485"/>
        <bgColor indexed="64"/>
      </patternFill>
    </fill>
    <fill>
      <patternFill patternType="solid">
        <fgColor rgb="FF00B0F0"/>
        <bgColor indexed="64"/>
      </patternFill>
    </fill>
    <fill>
      <patternFill patternType="solid">
        <fgColor rgb="FFCCFFFF"/>
        <bgColor indexed="64"/>
      </patternFill>
    </fill>
    <fill>
      <patternFill patternType="solid">
        <fgColor rgb="FF00B0F0"/>
        <bgColor rgb="FF000000"/>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999999"/>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10"/>
      </left>
      <right style="thin">
        <color indexed="64"/>
      </right>
      <top/>
      <bottom style="thin">
        <color indexed="64"/>
      </bottom>
      <diagonal/>
    </border>
    <border>
      <left style="thin">
        <color indexed="64"/>
      </left>
      <right style="thick">
        <color indexed="10"/>
      </right>
      <top/>
      <bottom style="thin">
        <color indexed="64"/>
      </bottom>
      <diagonal/>
    </border>
    <border>
      <left style="medium">
        <color indexed="64"/>
      </left>
      <right style="medium">
        <color indexed="64"/>
      </right>
      <top/>
      <bottom/>
      <diagonal/>
    </border>
    <border>
      <left style="thin">
        <color indexed="64"/>
      </left>
      <right style="double">
        <color indexed="64"/>
      </right>
      <top style="thin">
        <color indexed="64"/>
      </top>
      <bottom style="thin">
        <color indexed="64"/>
      </bottom>
      <diagonal/>
    </border>
    <border>
      <left style="thin">
        <color indexed="64"/>
      </left>
      <right style="thick">
        <color indexed="10"/>
      </right>
      <top style="thin">
        <color indexed="64"/>
      </top>
      <bottom style="thin">
        <color indexed="64"/>
      </bottom>
      <diagonal/>
    </border>
    <border>
      <left style="thick">
        <color indexed="10"/>
      </left>
      <right/>
      <top style="thin">
        <color indexed="64"/>
      </top>
      <bottom style="thin">
        <color indexed="64"/>
      </bottom>
      <diagonal/>
    </border>
    <border>
      <left style="thick">
        <color indexed="10"/>
      </left>
      <right style="thin">
        <color indexed="64"/>
      </right>
      <top style="thin">
        <color indexed="64"/>
      </top>
      <bottom style="thin">
        <color indexed="64"/>
      </bottom>
      <diagonal/>
    </border>
    <border>
      <left style="thick">
        <color indexed="10"/>
      </left>
      <right/>
      <top/>
      <bottom style="thin">
        <color indexed="64"/>
      </bottom>
      <diagonal/>
    </border>
    <border diagonalUp="1" diagonalDown="1">
      <left style="thick">
        <color indexed="10"/>
      </left>
      <right style="thin">
        <color indexed="64"/>
      </right>
      <top style="thin">
        <color indexed="64"/>
      </top>
      <bottom style="thin">
        <color indexed="64"/>
      </bottom>
      <diagonal style="thin">
        <color indexed="8"/>
      </diagonal>
    </border>
    <border>
      <left/>
      <right style="thin">
        <color indexed="64"/>
      </right>
      <top style="thin">
        <color indexed="64"/>
      </top>
      <bottom style="medium">
        <color indexed="64"/>
      </bottom>
      <diagonal/>
    </border>
    <border>
      <left style="thin">
        <color indexed="64"/>
      </left>
      <right style="thick">
        <color indexed="10"/>
      </right>
      <top style="thin">
        <color indexed="64"/>
      </top>
      <bottom style="medium">
        <color indexed="64"/>
      </bottom>
      <diagonal/>
    </border>
    <border>
      <left style="thick">
        <color indexed="10"/>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top style="medium">
        <color indexed="64"/>
      </top>
      <bottom style="medium">
        <color indexed="64"/>
      </bottom>
      <diagonal/>
    </border>
    <border>
      <left/>
      <right style="thick">
        <color indexed="10"/>
      </right>
      <top style="medium">
        <color indexed="64"/>
      </top>
      <bottom style="medium">
        <color indexed="64"/>
      </bottom>
      <diagonal/>
    </border>
    <border>
      <left style="thick">
        <color indexed="10"/>
      </left>
      <right style="thin">
        <color indexed="64"/>
      </right>
      <top style="medium">
        <color indexed="64"/>
      </top>
      <bottom style="medium">
        <color indexed="64"/>
      </bottom>
      <diagonal/>
    </border>
    <border>
      <left style="thin">
        <color indexed="64"/>
      </left>
      <right style="thick">
        <color indexed="10"/>
      </right>
      <top style="medium">
        <color indexed="64"/>
      </top>
      <bottom style="medium">
        <color indexed="64"/>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style="thin">
        <color indexed="64"/>
      </left>
      <right style="medium">
        <color indexed="64"/>
      </right>
      <top/>
      <bottom/>
      <diagonal/>
    </border>
    <border>
      <left/>
      <right style="double">
        <color indexed="64"/>
      </right>
      <top style="thin">
        <color indexed="64"/>
      </top>
      <bottom style="thin">
        <color indexed="64"/>
      </bottom>
      <diagonal/>
    </border>
    <border>
      <left style="thin">
        <color indexed="64"/>
      </left>
      <right/>
      <top/>
      <bottom style="hair">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8">
    <xf numFmtId="0" fontId="0" fillId="0" borderId="0"/>
    <xf numFmtId="0" fontId="2" fillId="0" borderId="0"/>
    <xf numFmtId="0" fontId="7" fillId="0" borderId="0"/>
    <xf numFmtId="164" fontId="10" fillId="0" borderId="0" applyFont="0" applyFill="0" applyBorder="0" applyAlignment="0" applyProtection="0"/>
    <xf numFmtId="0" fontId="2" fillId="0" borderId="0"/>
    <xf numFmtId="0" fontId="2" fillId="0" borderId="0"/>
    <xf numFmtId="0" fontId="33" fillId="0" borderId="0"/>
    <xf numFmtId="0" fontId="33" fillId="0" borderId="0"/>
  </cellStyleXfs>
  <cellXfs count="481">
    <xf numFmtId="0" fontId="0" fillId="0" borderId="0" xfId="0"/>
    <xf numFmtId="0" fontId="1" fillId="0" borderId="0" xfId="0" applyFont="1" applyAlignment="1">
      <alignment horizontal="left" vertical="center"/>
    </xf>
    <xf numFmtId="0" fontId="1" fillId="0" borderId="0" xfId="0" applyFont="1" applyAlignment="1">
      <alignment vertical="center"/>
    </xf>
    <xf numFmtId="165" fontId="1" fillId="0" borderId="0" xfId="0" applyNumberFormat="1" applyFont="1" applyAlignment="1">
      <alignment horizontal="right" vertical="center" indent="1"/>
    </xf>
    <xf numFmtId="49" fontId="2" fillId="0" borderId="0" xfId="1" applyNumberFormat="1" applyAlignment="1">
      <alignment vertical="center"/>
    </xf>
    <xf numFmtId="166" fontId="1" fillId="0" borderId="0" xfId="0" applyNumberFormat="1" applyFont="1" applyAlignment="1">
      <alignment horizontal="center" vertical="center"/>
    </xf>
    <xf numFmtId="49" fontId="2" fillId="3" borderId="4" xfId="1" applyNumberFormat="1" applyFill="1" applyBorder="1" applyAlignment="1">
      <alignment vertical="center"/>
    </xf>
    <xf numFmtId="165" fontId="2" fillId="3" borderId="3" xfId="1" applyNumberFormat="1" applyFill="1" applyBorder="1" applyAlignment="1">
      <alignment horizontal="right" vertical="center" wrapText="1" indent="1"/>
    </xf>
    <xf numFmtId="0" fontId="1" fillId="0" borderId="0" xfId="0" applyFont="1" applyAlignment="1">
      <alignment horizontal="left" vertical="center" indent="1"/>
    </xf>
    <xf numFmtId="0" fontId="1" fillId="0" borderId="0" xfId="0" applyFont="1" applyAlignment="1">
      <alignment horizontal="right" vertical="center" indent="1"/>
    </xf>
    <xf numFmtId="0" fontId="2" fillId="3" borderId="2" xfId="1" applyFill="1" applyBorder="1" applyAlignment="1">
      <alignment horizontal="right" vertical="center" indent="1"/>
    </xf>
    <xf numFmtId="0" fontId="4" fillId="0" borderId="0" xfId="1" applyFont="1" applyAlignment="1">
      <alignment horizontal="right" vertical="center" indent="1"/>
    </xf>
    <xf numFmtId="0" fontId="1" fillId="0" borderId="0" xfId="0" quotePrefix="1" applyFont="1" applyAlignment="1">
      <alignment horizontal="right" vertical="center" indent="1"/>
    </xf>
    <xf numFmtId="0" fontId="3" fillId="0" borderId="0" xfId="0" applyFont="1" applyAlignment="1">
      <alignment horizontal="left" vertical="center" indent="1"/>
    </xf>
    <xf numFmtId="0" fontId="5" fillId="0" borderId="4" xfId="0" applyFont="1" applyBorder="1" applyAlignment="1">
      <alignment vertical="center"/>
    </xf>
    <xf numFmtId="165" fontId="2" fillId="3" borderId="4" xfId="1" applyNumberFormat="1" applyFill="1" applyBorder="1" applyAlignment="1">
      <alignment horizontal="right" vertical="center" wrapText="1" indent="1"/>
    </xf>
    <xf numFmtId="168" fontId="5" fillId="0" borderId="3" xfId="0" applyNumberFormat="1" applyFont="1" applyBorder="1" applyAlignment="1">
      <alignment horizontal="right" vertical="center" indent="1"/>
    </xf>
    <xf numFmtId="165" fontId="2" fillId="3" borderId="2" xfId="1" applyNumberFormat="1" applyFill="1" applyBorder="1" applyAlignment="1">
      <alignment horizontal="right" vertical="center" wrapText="1" indent="1"/>
    </xf>
    <xf numFmtId="0" fontId="1" fillId="0" borderId="3" xfId="0" applyFont="1" applyBorder="1" applyAlignment="1">
      <alignment horizontal="left" vertical="center" indent="1"/>
    </xf>
    <xf numFmtId="169" fontId="5" fillId="0" borderId="1" xfId="0" applyNumberFormat="1" applyFont="1" applyBorder="1" applyAlignment="1">
      <alignment horizontal="right" vertical="center" indent="1"/>
    </xf>
    <xf numFmtId="170" fontId="5" fillId="0" borderId="3" xfId="0" applyNumberFormat="1" applyFont="1" applyBorder="1" applyAlignment="1">
      <alignment horizontal="right" vertical="center" indent="1"/>
    </xf>
    <xf numFmtId="0" fontId="0" fillId="0" borderId="5" xfId="0" applyBorder="1"/>
    <xf numFmtId="0" fontId="3" fillId="0" borderId="0" xfId="0" applyFont="1" applyAlignment="1">
      <alignment vertical="center"/>
    </xf>
    <xf numFmtId="0" fontId="1" fillId="0" borderId="0" xfId="0" applyFont="1"/>
    <xf numFmtId="0" fontId="1" fillId="0" borderId="12" xfId="0" applyFont="1" applyBorder="1" applyAlignment="1">
      <alignment horizontal="center" vertical="center" wrapText="1"/>
    </xf>
    <xf numFmtId="0" fontId="1" fillId="0" borderId="11" xfId="0" applyFont="1" applyBorder="1" applyAlignment="1">
      <alignment horizontal="justify" vertical="center" wrapText="1"/>
    </xf>
    <xf numFmtId="0" fontId="1" fillId="0" borderId="11" xfId="0" applyFont="1" applyBorder="1" applyAlignment="1">
      <alignment vertical="center" wrapText="1"/>
    </xf>
    <xf numFmtId="0" fontId="1" fillId="0" borderId="12" xfId="0" applyFont="1" applyBorder="1" applyAlignment="1">
      <alignment horizontal="justify" vertical="center" wrapText="1"/>
    </xf>
    <xf numFmtId="0" fontId="4" fillId="0" borderId="0" xfId="0" applyFont="1"/>
    <xf numFmtId="0" fontId="1" fillId="0" borderId="0" xfId="0" applyFont="1" applyAlignment="1">
      <alignment horizontal="right"/>
    </xf>
    <xf numFmtId="0" fontId="3" fillId="0" borderId="6" xfId="0" applyFont="1" applyBorder="1" applyAlignment="1">
      <alignment horizontal="left"/>
    </xf>
    <xf numFmtId="0" fontId="1" fillId="0" borderId="0" xfId="0" applyFont="1" applyAlignment="1">
      <alignment horizontal="left"/>
    </xf>
    <xf numFmtId="0" fontId="3" fillId="0" borderId="6" xfId="0" applyFont="1" applyBorder="1" applyAlignment="1" applyProtection="1">
      <alignment horizontal="left"/>
      <protection locked="0"/>
    </xf>
    <xf numFmtId="0" fontId="1" fillId="0" borderId="6" xfId="0" applyFont="1" applyBorder="1" applyProtection="1">
      <protection locked="0"/>
    </xf>
    <xf numFmtId="0" fontId="3" fillId="0" borderId="11" xfId="0" applyFont="1" applyBorder="1" applyAlignment="1">
      <alignment horizontal="center" vertical="center" wrapText="1"/>
    </xf>
    <xf numFmtId="167" fontId="1" fillId="3" borderId="3" xfId="1" applyNumberFormat="1" applyFont="1" applyFill="1" applyBorder="1" applyAlignment="1">
      <alignment horizontal="left" vertical="center" wrapText="1" indent="1"/>
    </xf>
    <xf numFmtId="49" fontId="1" fillId="0" borderId="0" xfId="1" applyNumberFormat="1" applyFont="1" applyAlignment="1">
      <alignment horizontal="left" vertical="center" indent="1"/>
    </xf>
    <xf numFmtId="165" fontId="12" fillId="0" borderId="0" xfId="0" applyNumberFormat="1" applyFont="1" applyAlignment="1">
      <alignment horizontal="right" vertical="center" indent="1"/>
    </xf>
    <xf numFmtId="171" fontId="1" fillId="0" borderId="0" xfId="0" applyNumberFormat="1" applyFont="1" applyAlignment="1">
      <alignment horizontal="right"/>
    </xf>
    <xf numFmtId="171" fontId="1" fillId="0" borderId="0" xfId="0" applyNumberFormat="1" applyFont="1"/>
    <xf numFmtId="171" fontId="0" fillId="0" borderId="0" xfId="0" applyNumberFormat="1"/>
    <xf numFmtId="171" fontId="3" fillId="0" borderId="6" xfId="0" applyNumberFormat="1" applyFont="1" applyBorder="1" applyAlignment="1" applyProtection="1">
      <alignment horizontal="left"/>
      <protection locked="0"/>
    </xf>
    <xf numFmtId="171" fontId="1" fillId="0" borderId="6" xfId="0" applyNumberFormat="1" applyFont="1" applyBorder="1" applyProtection="1">
      <protection locked="0"/>
    </xf>
    <xf numFmtId="171" fontId="9" fillId="0" borderId="12" xfId="0" applyNumberFormat="1" applyFont="1" applyBorder="1" applyAlignment="1">
      <alignment horizontal="right" vertical="center" wrapText="1" indent="1"/>
    </xf>
    <xf numFmtId="173" fontId="1" fillId="0" borderId="2" xfId="0" quotePrefix="1" applyNumberFormat="1" applyFont="1" applyBorder="1" applyAlignment="1">
      <alignment horizontal="right" vertical="center" indent="1"/>
    </xf>
    <xf numFmtId="174" fontId="1" fillId="0" borderId="2" xfId="0" quotePrefix="1" applyNumberFormat="1" applyFont="1" applyBorder="1" applyAlignment="1">
      <alignment horizontal="right" vertical="center" indent="1"/>
    </xf>
    <xf numFmtId="175" fontId="1" fillId="0" borderId="2" xfId="0" quotePrefix="1" applyNumberFormat="1" applyFont="1" applyBorder="1" applyAlignment="1">
      <alignment horizontal="right" vertical="center" indent="1"/>
    </xf>
    <xf numFmtId="176" fontId="1" fillId="0" borderId="2" xfId="0" quotePrefix="1" applyNumberFormat="1" applyFont="1" applyBorder="1" applyAlignment="1">
      <alignment horizontal="right" vertical="center" indent="1"/>
    </xf>
    <xf numFmtId="177" fontId="1" fillId="0" borderId="2" xfId="0" quotePrefix="1" applyNumberFormat="1" applyFont="1" applyBorder="1" applyAlignment="1">
      <alignment horizontal="right" vertical="center" indent="1"/>
    </xf>
    <xf numFmtId="178" fontId="1" fillId="0" borderId="2" xfId="0" quotePrefix="1" applyNumberFormat="1" applyFont="1" applyBorder="1" applyAlignment="1">
      <alignment horizontal="right" vertical="center" indent="1"/>
    </xf>
    <xf numFmtId="0" fontId="1" fillId="0" borderId="11" xfId="0" applyFont="1" applyBorder="1" applyAlignment="1">
      <alignment horizontal="left" vertical="center" wrapText="1"/>
    </xf>
    <xf numFmtId="0" fontId="9" fillId="5" borderId="7"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1" fillId="5" borderId="16" xfId="0" applyFont="1" applyFill="1" applyBorder="1" applyAlignment="1">
      <alignment horizontal="justify" vertical="center" wrapText="1"/>
    </xf>
    <xf numFmtId="0" fontId="1" fillId="5" borderId="12" xfId="0" applyFont="1" applyFill="1" applyBorder="1" applyAlignment="1">
      <alignment horizontal="justify" vertical="center" wrapText="1"/>
    </xf>
    <xf numFmtId="0" fontId="3" fillId="0" borderId="12" xfId="0" applyFont="1" applyBorder="1" applyAlignment="1">
      <alignment horizontal="center" vertical="center" wrapText="1"/>
    </xf>
    <xf numFmtId="183" fontId="1" fillId="0" borderId="0" xfId="0" applyNumberFormat="1" applyFont="1"/>
    <xf numFmtId="183" fontId="3" fillId="0" borderId="12" xfId="0" applyNumberFormat="1" applyFont="1" applyBorder="1" applyAlignment="1">
      <alignment horizontal="center" vertical="center" wrapText="1"/>
    </xf>
    <xf numFmtId="183" fontId="1" fillId="0" borderId="12" xfId="0" applyNumberFormat="1" applyFont="1" applyBorder="1" applyAlignment="1">
      <alignment horizontal="center" vertical="center" wrapText="1"/>
    </xf>
    <xf numFmtId="183" fontId="0" fillId="0" borderId="0" xfId="0" applyNumberFormat="1"/>
    <xf numFmtId="183" fontId="3" fillId="0" borderId="6" xfId="0" applyNumberFormat="1" applyFont="1" applyBorder="1" applyAlignment="1" applyProtection="1">
      <alignment horizontal="left"/>
      <protection locked="0"/>
    </xf>
    <xf numFmtId="183" fontId="1" fillId="0" borderId="0" xfId="0" applyNumberFormat="1" applyFont="1" applyAlignment="1">
      <alignment horizontal="right"/>
    </xf>
    <xf numFmtId="184" fontId="1" fillId="0" borderId="0" xfId="0" applyNumberFormat="1" applyFont="1" applyAlignment="1">
      <alignment horizontal="right"/>
    </xf>
    <xf numFmtId="184" fontId="1" fillId="0" borderId="0" xfId="0" applyNumberFormat="1" applyFont="1"/>
    <xf numFmtId="184" fontId="9" fillId="0" borderId="12" xfId="0" applyNumberFormat="1" applyFont="1" applyBorder="1" applyAlignment="1">
      <alignment horizontal="right" vertical="center" wrapText="1" indent="1"/>
    </xf>
    <xf numFmtId="184" fontId="0" fillId="0" borderId="0" xfId="0" applyNumberFormat="1"/>
    <xf numFmtId="184" fontId="1" fillId="0" borderId="0" xfId="0" applyNumberFormat="1" applyFont="1" applyAlignment="1">
      <alignment horizontal="left"/>
    </xf>
    <xf numFmtId="184" fontId="3" fillId="0" borderId="6" xfId="0" applyNumberFormat="1" applyFont="1" applyBorder="1" applyAlignment="1" applyProtection="1">
      <alignment horizontal="left"/>
      <protection locked="0"/>
    </xf>
    <xf numFmtId="183" fontId="1" fillId="0" borderId="0" xfId="0" applyNumberFormat="1" applyFont="1" applyAlignment="1">
      <alignment horizontal="right" vertical="center" indent="1"/>
    </xf>
    <xf numFmtId="183" fontId="1" fillId="4" borderId="17" xfId="0" applyNumberFormat="1" applyFont="1" applyFill="1" applyBorder="1" applyAlignment="1">
      <alignment horizontal="right" vertical="center" wrapText="1" indent="1"/>
    </xf>
    <xf numFmtId="183" fontId="2" fillId="0" borderId="0" xfId="1" applyNumberFormat="1" applyAlignment="1">
      <alignment horizontal="right" vertical="center" indent="1"/>
    </xf>
    <xf numFmtId="0" fontId="1" fillId="0" borderId="4" xfId="0" applyFont="1" applyBorder="1" applyAlignment="1">
      <alignment vertical="center"/>
    </xf>
    <xf numFmtId="0" fontId="4" fillId="0" borderId="0" xfId="0" applyFont="1" applyAlignment="1">
      <alignment horizontal="left"/>
    </xf>
    <xf numFmtId="0" fontId="8" fillId="0" borderId="0" xfId="0" applyFont="1" applyAlignment="1">
      <alignment vertical="center"/>
    </xf>
    <xf numFmtId="0" fontId="15" fillId="0" borderId="0" xfId="0" applyFont="1" applyAlignment="1">
      <alignment horizontal="center" vertical="center"/>
    </xf>
    <xf numFmtId="49" fontId="15" fillId="0" borderId="0" xfId="1" applyNumberFormat="1" applyFont="1" applyAlignment="1">
      <alignment horizontal="center" vertical="center"/>
    </xf>
    <xf numFmtId="0" fontId="1" fillId="0" borderId="0" xfId="0" applyFont="1" applyAlignment="1">
      <alignment horizontal="center" vertical="center"/>
    </xf>
    <xf numFmtId="0" fontId="1" fillId="3" borderId="2" xfId="1" applyFont="1" applyFill="1" applyBorder="1" applyAlignment="1">
      <alignment horizontal="right" vertical="center" indent="1"/>
    </xf>
    <xf numFmtId="49" fontId="1" fillId="3" borderId="4" xfId="1" applyNumberFormat="1" applyFont="1" applyFill="1" applyBorder="1" applyAlignment="1">
      <alignment vertical="center"/>
    </xf>
    <xf numFmtId="165" fontId="1" fillId="3" borderId="2" xfId="1" applyNumberFormat="1" applyFont="1" applyFill="1" applyBorder="1" applyAlignment="1">
      <alignment horizontal="right" vertical="center" wrapText="1" indent="1"/>
    </xf>
    <xf numFmtId="165" fontId="1" fillId="3" borderId="4" xfId="1" applyNumberFormat="1" applyFont="1" applyFill="1" applyBorder="1" applyAlignment="1">
      <alignment horizontal="right" vertical="center" wrapText="1" indent="1"/>
    </xf>
    <xf numFmtId="165" fontId="1" fillId="3" borderId="3" xfId="1" applyNumberFormat="1" applyFont="1" applyFill="1" applyBorder="1" applyAlignment="1">
      <alignment horizontal="right" vertical="center" wrapText="1" indent="1"/>
    </xf>
    <xf numFmtId="186" fontId="1" fillId="2" borderId="1" xfId="0" applyNumberFormat="1" applyFont="1" applyFill="1" applyBorder="1" applyAlignment="1">
      <alignment horizontal="right" vertical="center" indent="1"/>
    </xf>
    <xf numFmtId="0" fontId="1" fillId="0" borderId="0" xfId="0" applyFont="1" applyAlignment="1">
      <alignment horizontal="center"/>
    </xf>
    <xf numFmtId="0" fontId="9" fillId="0" borderId="0" xfId="0" applyFont="1" applyAlignment="1">
      <alignment horizontal="center"/>
    </xf>
    <xf numFmtId="183" fontId="1" fillId="0" borderId="0" xfId="0" applyNumberFormat="1" applyFont="1" applyAlignment="1">
      <alignment horizontal="left"/>
    </xf>
    <xf numFmtId="0" fontId="12" fillId="0" borderId="0" xfId="0" applyFont="1"/>
    <xf numFmtId="0" fontId="3" fillId="0" borderId="0" xfId="0" applyFont="1" applyAlignment="1">
      <alignment horizontal="left"/>
    </xf>
    <xf numFmtId="0" fontId="1" fillId="0" borderId="0" xfId="0" applyFont="1" applyAlignment="1">
      <alignment wrapText="1"/>
    </xf>
    <xf numFmtId="0" fontId="12" fillId="0" borderId="0" xfId="0" applyFont="1" applyAlignment="1">
      <alignment wrapText="1"/>
    </xf>
    <xf numFmtId="0" fontId="11" fillId="0" borderId="0" xfId="0" applyFont="1"/>
    <xf numFmtId="0" fontId="3" fillId="0" borderId="0" xfId="0" applyFont="1" applyAlignment="1">
      <alignment horizontal="right"/>
    </xf>
    <xf numFmtId="183" fontId="9" fillId="0" borderId="0" xfId="3" applyNumberFormat="1" applyFont="1" applyBorder="1" applyAlignment="1" applyProtection="1">
      <alignment horizontal="right" vertical="center" wrapText="1"/>
    </xf>
    <xf numFmtId="0" fontId="3" fillId="0" borderId="0" xfId="0" applyFont="1" applyAlignment="1">
      <alignment horizontal="left" vertical="center"/>
    </xf>
    <xf numFmtId="0" fontId="3" fillId="0" borderId="13" xfId="0" applyFont="1" applyBorder="1" applyAlignment="1">
      <alignment horizontal="center" vertical="center" wrapText="1"/>
    </xf>
    <xf numFmtId="0" fontId="0" fillId="0" borderId="0" xfId="0" applyAlignment="1">
      <alignment horizontal="center"/>
    </xf>
    <xf numFmtId="183" fontId="0" fillId="0" borderId="0" xfId="0" applyNumberFormat="1" applyAlignment="1">
      <alignment horizontal="left"/>
    </xf>
    <xf numFmtId="0" fontId="1" fillId="0" borderId="0" xfId="0" applyFont="1" applyAlignment="1">
      <alignment vertical="top"/>
    </xf>
    <xf numFmtId="183" fontId="1" fillId="0" borderId="6" xfId="0" applyNumberFormat="1" applyFont="1" applyBorder="1"/>
    <xf numFmtId="0" fontId="16" fillId="0" borderId="18" xfId="0" applyFont="1" applyBorder="1" applyAlignment="1">
      <alignment horizontal="left" vertical="center" indent="1"/>
    </xf>
    <xf numFmtId="0" fontId="16" fillId="0" borderId="0" xfId="0" applyFont="1" applyAlignment="1">
      <alignment horizontal="left" vertical="center" indent="1"/>
    </xf>
    <xf numFmtId="0" fontId="17" fillId="0" borderId="0" xfId="0" applyFont="1" applyAlignment="1">
      <alignment vertical="center"/>
    </xf>
    <xf numFmtId="0" fontId="18" fillId="0" borderId="0" xfId="0" applyFont="1"/>
    <xf numFmtId="0" fontId="18" fillId="0" borderId="14" xfId="0" applyFont="1" applyBorder="1"/>
    <xf numFmtId="0" fontId="18" fillId="0" borderId="15" xfId="0" applyFont="1" applyBorder="1"/>
    <xf numFmtId="0" fontId="18" fillId="0" borderId="20" xfId="0" applyFont="1" applyBorder="1"/>
    <xf numFmtId="0" fontId="18" fillId="0" borderId="16" xfId="0" applyFont="1" applyBorder="1"/>
    <xf numFmtId="0" fontId="19" fillId="0" borderId="6" xfId="0" applyFont="1" applyBorder="1" applyAlignment="1" applyProtection="1">
      <alignment horizontal="left" vertical="center"/>
      <protection locked="0"/>
    </xf>
    <xf numFmtId="0" fontId="19" fillId="0" borderId="6" xfId="0" applyFont="1" applyBorder="1" applyAlignment="1">
      <alignment horizontal="center"/>
    </xf>
    <xf numFmtId="0" fontId="18" fillId="0" borderId="6" xfId="0" applyFont="1" applyBorder="1"/>
    <xf numFmtId="0" fontId="18" fillId="0" borderId="12" xfId="0" applyFont="1" applyBorder="1"/>
    <xf numFmtId="0" fontId="20" fillId="6" borderId="1" xfId="5" applyFont="1" applyFill="1" applyBorder="1" applyAlignment="1">
      <alignment horizontal="left"/>
    </xf>
    <xf numFmtId="0" fontId="20" fillId="11" borderId="1" xfId="5" applyFont="1" applyFill="1" applyBorder="1" applyAlignment="1">
      <alignment horizontal="left"/>
    </xf>
    <xf numFmtId="49" fontId="2" fillId="0" borderId="0" xfId="5" applyNumberFormat="1" applyAlignment="1">
      <alignment horizontal="center"/>
    </xf>
    <xf numFmtId="0" fontId="2" fillId="0" borderId="0" xfId="5" applyAlignment="1">
      <alignment horizontal="left"/>
    </xf>
    <xf numFmtId="1" fontId="2" fillId="0" borderId="0" xfId="5" applyNumberFormat="1" applyAlignment="1">
      <alignment horizontal="left"/>
    </xf>
    <xf numFmtId="0" fontId="2" fillId="0" borderId="0" xfId="5"/>
    <xf numFmtId="187" fontId="2" fillId="0" borderId="0" xfId="5" applyNumberFormat="1"/>
    <xf numFmtId="187" fontId="2" fillId="0" borderId="0" xfId="5" applyNumberFormat="1" applyAlignment="1">
      <alignment horizontal="center"/>
    </xf>
    <xf numFmtId="0" fontId="2" fillId="0" borderId="0" xfId="5" applyAlignment="1">
      <alignment horizontal="left" vertical="center"/>
    </xf>
    <xf numFmtId="1" fontId="2" fillId="0" borderId="0" xfId="5" applyNumberFormat="1" applyAlignment="1">
      <alignment horizontal="left" vertical="center"/>
    </xf>
    <xf numFmtId="0" fontId="2" fillId="0" borderId="0" xfId="5" applyAlignment="1">
      <alignment vertical="center"/>
    </xf>
    <xf numFmtId="0" fontId="22" fillId="0" borderId="0" xfId="5" applyFont="1" applyAlignment="1">
      <alignment vertical="center"/>
    </xf>
    <xf numFmtId="187" fontId="23" fillId="0" borderId="0" xfId="5" applyNumberFormat="1" applyFont="1" applyAlignment="1">
      <alignment vertical="center"/>
    </xf>
    <xf numFmtId="0" fontId="2" fillId="0" borderId="1" xfId="5" applyBorder="1" applyAlignment="1">
      <alignment horizontal="left" vertical="center"/>
    </xf>
    <xf numFmtId="0" fontId="2" fillId="0" borderId="22" xfId="5" applyBorder="1" applyAlignment="1">
      <alignment horizontal="left" vertical="center"/>
    </xf>
    <xf numFmtId="190" fontId="22" fillId="13" borderId="24" xfId="5" applyNumberFormat="1" applyFont="1" applyFill="1" applyBorder="1" applyAlignment="1">
      <alignment horizontal="center" vertical="center"/>
    </xf>
    <xf numFmtId="190" fontId="22" fillId="13" borderId="25" xfId="5" applyNumberFormat="1" applyFont="1" applyFill="1" applyBorder="1" applyAlignment="1">
      <alignment horizontal="center" vertical="center"/>
    </xf>
    <xf numFmtId="0" fontId="4" fillId="0" borderId="0" xfId="5" applyFont="1" applyAlignment="1">
      <alignment horizontal="center"/>
    </xf>
    <xf numFmtId="0" fontId="4" fillId="11" borderId="1" xfId="5" applyFont="1" applyFill="1" applyBorder="1" applyAlignment="1">
      <alignment wrapText="1"/>
    </xf>
    <xf numFmtId="0" fontId="2" fillId="11" borderId="3" xfId="5" applyFill="1" applyBorder="1" applyAlignment="1">
      <alignment horizontal="center"/>
    </xf>
    <xf numFmtId="0" fontId="2" fillId="11" borderId="30" xfId="5" applyFill="1" applyBorder="1" applyAlignment="1">
      <alignment horizontal="center"/>
    </xf>
    <xf numFmtId="187" fontId="4" fillId="11" borderId="31" xfId="5" applyNumberFormat="1" applyFont="1" applyFill="1" applyBorder="1" applyAlignment="1">
      <alignment horizontal="center"/>
    </xf>
    <xf numFmtId="187" fontId="4" fillId="11" borderId="2" xfId="5" applyNumberFormat="1" applyFont="1" applyFill="1" applyBorder="1" applyAlignment="1">
      <alignment horizontal="center"/>
    </xf>
    <xf numFmtId="0" fontId="0" fillId="0" borderId="1" xfId="0" applyBorder="1" applyAlignment="1">
      <alignment wrapText="1"/>
    </xf>
    <xf numFmtId="0" fontId="2" fillId="0" borderId="1" xfId="0" applyFont="1" applyBorder="1" applyAlignment="1">
      <alignment wrapText="1"/>
    </xf>
    <xf numFmtId="1" fontId="0" fillId="0" borderId="29" xfId="0" applyNumberFormat="1" applyBorder="1" applyAlignment="1">
      <alignment wrapText="1"/>
    </xf>
    <xf numFmtId="0" fontId="25" fillId="0" borderId="30" xfId="5" applyFont="1" applyBorder="1" applyAlignment="1">
      <alignment horizontal="center"/>
    </xf>
    <xf numFmtId="191" fontId="2" fillId="0" borderId="32" xfId="5" applyNumberFormat="1" applyBorder="1" applyAlignment="1">
      <alignment horizontal="right"/>
    </xf>
    <xf numFmtId="0" fontId="4" fillId="6" borderId="1" xfId="5" applyFont="1" applyFill="1" applyBorder="1" applyAlignment="1">
      <alignment wrapText="1"/>
    </xf>
    <xf numFmtId="1" fontId="20" fillId="6" borderId="29" xfId="5" applyNumberFormat="1" applyFont="1" applyFill="1" applyBorder="1" applyAlignment="1">
      <alignment horizontal="left"/>
    </xf>
    <xf numFmtId="0" fontId="25" fillId="6" borderId="3" xfId="5" applyFont="1" applyFill="1" applyBorder="1" applyAlignment="1">
      <alignment horizontal="center"/>
    </xf>
    <xf numFmtId="0" fontId="25" fillId="6" borderId="30" xfId="5" applyFont="1" applyFill="1" applyBorder="1" applyAlignment="1">
      <alignment horizontal="center"/>
    </xf>
    <xf numFmtId="187" fontId="4" fillId="6" borderId="31" xfId="5" applyNumberFormat="1" applyFont="1" applyFill="1" applyBorder="1" applyAlignment="1">
      <alignment horizontal="center"/>
    </xf>
    <xf numFmtId="187" fontId="4" fillId="6" borderId="2" xfId="5" applyNumberFormat="1" applyFont="1" applyFill="1" applyBorder="1" applyAlignment="1">
      <alignment horizontal="center"/>
    </xf>
    <xf numFmtId="191" fontId="4" fillId="6" borderId="32" xfId="5" applyNumberFormat="1" applyFont="1" applyFill="1" applyBorder="1" applyAlignment="1">
      <alignment horizontal="right"/>
    </xf>
    <xf numFmtId="1" fontId="20" fillId="11" borderId="29" xfId="5" applyNumberFormat="1" applyFont="1" applyFill="1" applyBorder="1" applyAlignment="1">
      <alignment horizontal="left"/>
    </xf>
    <xf numFmtId="191" fontId="4" fillId="11" borderId="32" xfId="5" applyNumberFormat="1" applyFont="1" applyFill="1" applyBorder="1" applyAlignment="1">
      <alignment horizontal="right"/>
    </xf>
    <xf numFmtId="0" fontId="2" fillId="0" borderId="1" xfId="0" applyFont="1" applyBorder="1"/>
    <xf numFmtId="1" fontId="2" fillId="0" borderId="3" xfId="0" applyNumberFormat="1" applyFont="1" applyBorder="1" applyAlignment="1">
      <alignment horizontal="center"/>
    </xf>
    <xf numFmtId="0" fontId="2" fillId="0" borderId="3" xfId="0" applyFont="1" applyBorder="1" applyAlignment="1">
      <alignment horizontal="center"/>
    </xf>
    <xf numFmtId="192" fontId="26" fillId="15" borderId="34" xfId="5" applyNumberFormat="1" applyFont="1" applyFill="1" applyBorder="1" applyAlignment="1">
      <alignment horizontal="center"/>
    </xf>
    <xf numFmtId="0" fontId="25" fillId="0" borderId="1" xfId="5" applyFont="1" applyBorder="1" applyAlignment="1">
      <alignment horizontal="left"/>
    </xf>
    <xf numFmtId="0" fontId="25" fillId="0" borderId="3" xfId="5" applyFont="1" applyBorder="1" applyAlignment="1">
      <alignment horizontal="center"/>
    </xf>
    <xf numFmtId="0" fontId="25" fillId="12" borderId="1" xfId="5" applyFont="1" applyFill="1" applyBorder="1" applyAlignment="1">
      <alignment horizontal="left"/>
    </xf>
    <xf numFmtId="1" fontId="25" fillId="12" borderId="29" xfId="5" applyNumberFormat="1" applyFont="1" applyFill="1" applyBorder="1" applyAlignment="1">
      <alignment horizontal="left"/>
    </xf>
    <xf numFmtId="0" fontId="25" fillId="12" borderId="3" xfId="5" applyFont="1" applyFill="1" applyBorder="1" applyAlignment="1">
      <alignment horizontal="center"/>
    </xf>
    <xf numFmtId="0" fontId="25" fillId="12" borderId="30" xfId="5" applyFont="1" applyFill="1" applyBorder="1" applyAlignment="1">
      <alignment horizontal="center"/>
    </xf>
    <xf numFmtId="187" fontId="2" fillId="12" borderId="32" xfId="5" applyNumberFormat="1" applyFill="1" applyBorder="1"/>
    <xf numFmtId="187" fontId="2" fillId="12" borderId="2" xfId="5" applyNumberFormat="1" applyFill="1" applyBorder="1"/>
    <xf numFmtId="187" fontId="2" fillId="12" borderId="32" xfId="5" applyNumberFormat="1" applyFill="1" applyBorder="1" applyAlignment="1">
      <alignment horizontal="center"/>
    </xf>
    <xf numFmtId="1" fontId="25" fillId="0" borderId="29" xfId="5" applyNumberFormat="1" applyFont="1" applyBorder="1" applyAlignment="1">
      <alignment horizontal="left"/>
    </xf>
    <xf numFmtId="187" fontId="2" fillId="0" borderId="32" xfId="5" applyNumberFormat="1" applyBorder="1"/>
    <xf numFmtId="187" fontId="2" fillId="0" borderId="2" xfId="5" applyNumberFormat="1" applyBorder="1"/>
    <xf numFmtId="0" fontId="2" fillId="0" borderId="0" xfId="5" applyAlignment="1">
      <alignment wrapText="1"/>
    </xf>
    <xf numFmtId="0" fontId="0" fillId="0" borderId="0" xfId="0" applyAlignment="1">
      <alignment wrapText="1"/>
    </xf>
    <xf numFmtId="167" fontId="27" fillId="0" borderId="0" xfId="1" applyNumberFormat="1" applyFont="1" applyAlignment="1">
      <alignment horizontal="center" vertical="center" wrapText="1"/>
    </xf>
    <xf numFmtId="0" fontId="1" fillId="0" borderId="3" xfId="0" quotePrefix="1" applyFont="1" applyBorder="1" applyAlignment="1">
      <alignment horizontal="left" vertical="center" indent="1"/>
    </xf>
    <xf numFmtId="0" fontId="1" fillId="2" borderId="3" xfId="0" applyFont="1" applyFill="1" applyBorder="1" applyAlignment="1">
      <alignment horizontal="left" vertical="center" indent="1"/>
    </xf>
    <xf numFmtId="175" fontId="1" fillId="0" borderId="4" xfId="0" quotePrefix="1" applyNumberFormat="1" applyFont="1" applyBorder="1" applyAlignment="1">
      <alignment horizontal="right" vertical="center" indent="1"/>
    </xf>
    <xf numFmtId="0" fontId="1" fillId="0" borderId="4" xfId="0" applyFont="1" applyBorder="1" applyAlignment="1">
      <alignment horizontal="left" vertical="center" indent="1"/>
    </xf>
    <xf numFmtId="169" fontId="5" fillId="0" borderId="4" xfId="0" applyNumberFormat="1" applyFont="1" applyBorder="1" applyAlignment="1">
      <alignment horizontal="right" vertical="center" indent="1"/>
    </xf>
    <xf numFmtId="168" fontId="5" fillId="0" borderId="4" xfId="0" applyNumberFormat="1" applyFont="1" applyBorder="1" applyAlignment="1">
      <alignment horizontal="right" vertical="center" indent="1"/>
    </xf>
    <xf numFmtId="170" fontId="5" fillId="0" borderId="4" xfId="0" applyNumberFormat="1" applyFont="1" applyBorder="1" applyAlignment="1">
      <alignment horizontal="right" vertical="center" indent="1"/>
    </xf>
    <xf numFmtId="186" fontId="1" fillId="0" borderId="4" xfId="0" applyNumberFormat="1" applyFont="1" applyBorder="1" applyAlignment="1">
      <alignment horizontal="right" vertical="center" indent="1"/>
    </xf>
    <xf numFmtId="0" fontId="11" fillId="0" borderId="0" xfId="0" applyFont="1" applyAlignment="1">
      <alignment horizontal="left" vertical="center" wrapText="1"/>
    </xf>
    <xf numFmtId="0" fontId="5" fillId="2" borderId="4" xfId="0" applyFont="1" applyFill="1" applyBorder="1" applyAlignment="1">
      <alignment vertical="center"/>
    </xf>
    <xf numFmtId="0" fontId="0" fillId="0" borderId="1" xfId="0" applyBorder="1" applyAlignment="1">
      <alignment horizontal="left" wrapText="1" indent="1"/>
    </xf>
    <xf numFmtId="0" fontId="2" fillId="0" borderId="1" xfId="0" applyFont="1" applyBorder="1" applyAlignment="1">
      <alignment horizontal="left" wrapText="1" indent="1"/>
    </xf>
    <xf numFmtId="0" fontId="2" fillId="0" borderId="1" xfId="5" applyBorder="1" applyAlignment="1">
      <alignment horizontal="center" vertical="top" wrapText="1"/>
    </xf>
    <xf numFmtId="0" fontId="2" fillId="0" borderId="22" xfId="5" applyBorder="1" applyAlignment="1">
      <alignment horizontal="center" vertical="top" wrapText="1"/>
    </xf>
    <xf numFmtId="0" fontId="4" fillId="11" borderId="1" xfId="5" applyFont="1" applyFill="1" applyBorder="1" applyAlignment="1">
      <alignment horizontal="center"/>
    </xf>
    <xf numFmtId="0" fontId="2" fillId="0" borderId="1" xfId="0" applyFont="1" applyBorder="1" applyAlignment="1">
      <alignment horizontal="center" wrapText="1"/>
    </xf>
    <xf numFmtId="0" fontId="4" fillId="6" borderId="1" xfId="5" applyFont="1" applyFill="1" applyBorder="1" applyAlignment="1">
      <alignment horizontal="center"/>
    </xf>
    <xf numFmtId="0" fontId="2" fillId="0" borderId="1" xfId="5" applyBorder="1" applyAlignment="1">
      <alignment horizontal="center"/>
    </xf>
    <xf numFmtId="0" fontId="2" fillId="12" borderId="1" xfId="5" applyFill="1" applyBorder="1" applyAlignment="1">
      <alignment horizontal="center"/>
    </xf>
    <xf numFmtId="0" fontId="2" fillId="0" borderId="0" xfId="5" applyAlignment="1">
      <alignment horizontal="center"/>
    </xf>
    <xf numFmtId="0" fontId="4" fillId="11" borderId="17" xfId="5" applyFont="1" applyFill="1" applyBorder="1" applyAlignment="1">
      <alignment horizontal="center"/>
    </xf>
    <xf numFmtId="0" fontId="20" fillId="11" borderId="17" xfId="5" applyFont="1" applyFill="1" applyBorder="1" applyAlignment="1">
      <alignment horizontal="left"/>
    </xf>
    <xf numFmtId="1" fontId="20" fillId="11" borderId="40" xfId="5" applyNumberFormat="1" applyFont="1" applyFill="1" applyBorder="1" applyAlignment="1">
      <alignment horizontal="left"/>
    </xf>
    <xf numFmtId="0" fontId="2" fillId="11" borderId="41" xfId="5" applyFill="1" applyBorder="1" applyAlignment="1">
      <alignment horizontal="center"/>
    </xf>
    <xf numFmtId="0" fontId="2" fillId="11" borderId="27" xfId="5" applyFill="1" applyBorder="1" applyAlignment="1">
      <alignment horizontal="center"/>
    </xf>
    <xf numFmtId="187" fontId="4" fillId="11" borderId="33" xfId="5" applyNumberFormat="1" applyFont="1" applyFill="1" applyBorder="1" applyAlignment="1">
      <alignment horizontal="center"/>
    </xf>
    <xf numFmtId="187" fontId="4" fillId="11" borderId="42" xfId="5" applyNumberFormat="1" applyFont="1" applyFill="1" applyBorder="1" applyAlignment="1">
      <alignment horizontal="center"/>
    </xf>
    <xf numFmtId="191" fontId="4" fillId="11" borderId="26" xfId="5" applyNumberFormat="1" applyFont="1" applyFill="1" applyBorder="1" applyAlignment="1">
      <alignment horizontal="right"/>
    </xf>
    <xf numFmtId="49" fontId="4" fillId="0" borderId="23" xfId="5" applyNumberFormat="1" applyFont="1" applyBorder="1" applyAlignment="1">
      <alignment horizontal="center"/>
    </xf>
    <xf numFmtId="0" fontId="4" fillId="0" borderId="24" xfId="5" applyFont="1" applyBorder="1" applyAlignment="1">
      <alignment horizontal="center" wrapText="1"/>
    </xf>
    <xf numFmtId="0" fontId="4" fillId="0" borderId="24" xfId="5" applyFont="1" applyBorder="1" applyAlignment="1">
      <alignment horizontal="center"/>
    </xf>
    <xf numFmtId="187" fontId="4" fillId="0" borderId="43" xfId="5" applyNumberFormat="1" applyFont="1" applyBorder="1" applyAlignment="1">
      <alignment horizontal="center" wrapText="1"/>
    </xf>
    <xf numFmtId="187" fontId="4" fillId="0" borderId="44" xfId="5" applyNumberFormat="1" applyFont="1" applyBorder="1" applyAlignment="1">
      <alignment horizontal="center" wrapText="1"/>
    </xf>
    <xf numFmtId="187" fontId="4" fillId="0" borderId="47" xfId="5" applyNumberFormat="1" applyFont="1" applyBorder="1" applyAlignment="1">
      <alignment horizontal="center" wrapText="1"/>
    </xf>
    <xf numFmtId="187" fontId="4" fillId="0" borderId="48" xfId="5" applyNumberFormat="1" applyFont="1" applyBorder="1" applyAlignment="1">
      <alignment horizontal="center" wrapText="1"/>
    </xf>
    <xf numFmtId="187" fontId="4" fillId="0" borderId="25" xfId="5" applyNumberFormat="1" applyFont="1" applyBorder="1" applyAlignment="1">
      <alignment horizontal="center" wrapText="1"/>
    </xf>
    <xf numFmtId="1" fontId="22" fillId="13" borderId="44" xfId="5" applyNumberFormat="1" applyFont="1" applyFill="1" applyBorder="1" applyAlignment="1">
      <alignment horizontal="center" vertical="center"/>
    </xf>
    <xf numFmtId="1" fontId="2" fillId="0" borderId="2" xfId="5" applyNumberFormat="1" applyBorder="1" applyAlignment="1">
      <alignment horizontal="left" vertical="center"/>
    </xf>
    <xf numFmtId="1" fontId="2" fillId="0" borderId="49" xfId="5" applyNumberFormat="1" applyBorder="1" applyAlignment="1">
      <alignment horizontal="left" vertical="center"/>
    </xf>
    <xf numFmtId="187" fontId="23" fillId="0" borderId="39" xfId="5" applyNumberFormat="1" applyFont="1" applyBorder="1" applyAlignment="1">
      <alignment vertical="center"/>
    </xf>
    <xf numFmtId="0" fontId="22" fillId="0" borderId="39" xfId="5" applyFont="1" applyBorder="1" applyAlignment="1">
      <alignment vertical="center"/>
    </xf>
    <xf numFmtId="0" fontId="22" fillId="0" borderId="53" xfId="5" applyFont="1" applyBorder="1" applyAlignment="1">
      <alignment vertical="center"/>
    </xf>
    <xf numFmtId="0" fontId="4" fillId="12" borderId="1" xfId="5" applyFont="1" applyFill="1" applyBorder="1" applyAlignment="1">
      <alignment horizontal="left"/>
    </xf>
    <xf numFmtId="191" fontId="4" fillId="11" borderId="58" xfId="5" applyNumberFormat="1" applyFont="1" applyFill="1" applyBorder="1" applyAlignment="1">
      <alignment horizontal="right"/>
    </xf>
    <xf numFmtId="49" fontId="2" fillId="0" borderId="54" xfId="5" applyNumberFormat="1" applyBorder="1" applyAlignment="1">
      <alignment horizontal="center"/>
    </xf>
    <xf numFmtId="191" fontId="2" fillId="0" borderId="55" xfId="5" applyNumberFormat="1" applyBorder="1" applyAlignment="1">
      <alignment horizontal="right"/>
    </xf>
    <xf numFmtId="49" fontId="4" fillId="6" borderId="54" xfId="5" applyNumberFormat="1" applyFont="1" applyFill="1" applyBorder="1" applyAlignment="1">
      <alignment horizontal="center"/>
    </xf>
    <xf numFmtId="191" fontId="4" fillId="6" borderId="55" xfId="5" applyNumberFormat="1" applyFont="1" applyFill="1" applyBorder="1" applyAlignment="1">
      <alignment horizontal="right"/>
    </xf>
    <xf numFmtId="191" fontId="4" fillId="11" borderId="55" xfId="5" applyNumberFormat="1" applyFont="1" applyFill="1" applyBorder="1" applyAlignment="1">
      <alignment horizontal="right"/>
    </xf>
    <xf numFmtId="49" fontId="4" fillId="12" borderId="59" xfId="5" applyNumberFormat="1" applyFont="1" applyFill="1" applyBorder="1" applyAlignment="1">
      <alignment horizontal="left"/>
    </xf>
    <xf numFmtId="187" fontId="2" fillId="12" borderId="55" xfId="5" applyNumberFormat="1" applyFill="1" applyBorder="1" applyAlignment="1">
      <alignment horizontal="center"/>
    </xf>
    <xf numFmtId="0" fontId="4" fillId="0" borderId="54" xfId="5" applyFont="1" applyBorder="1" applyAlignment="1">
      <alignment horizontal="center"/>
    </xf>
    <xf numFmtId="1" fontId="7" fillId="0" borderId="3" xfId="0" applyNumberFormat="1" applyFont="1" applyBorder="1" applyAlignment="1">
      <alignment horizontal="center"/>
    </xf>
    <xf numFmtId="0" fontId="10" fillId="0" borderId="1" xfId="0" applyFont="1" applyBorder="1" applyAlignment="1">
      <alignment wrapText="1"/>
    </xf>
    <xf numFmtId="0" fontId="34" fillId="0" borderId="1" xfId="0" applyFont="1" applyBorder="1" applyAlignment="1">
      <alignment horizontal="center" wrapText="1"/>
    </xf>
    <xf numFmtId="0" fontId="10" fillId="0" borderId="1" xfId="0" applyFont="1" applyBorder="1" applyAlignment="1">
      <alignment horizontal="left" wrapText="1" indent="1"/>
    </xf>
    <xf numFmtId="0" fontId="7" fillId="0" borderId="1" xfId="7" applyFont="1" applyBorder="1"/>
    <xf numFmtId="0" fontId="2" fillId="6" borderId="0" xfId="5" applyFill="1"/>
    <xf numFmtId="0" fontId="1" fillId="0" borderId="1" xfId="0" applyFont="1" applyBorder="1"/>
    <xf numFmtId="1" fontId="0" fillId="0" borderId="1" xfId="0" applyNumberFormat="1" applyBorder="1" applyAlignment="1">
      <alignment wrapText="1"/>
    </xf>
    <xf numFmtId="0" fontId="2" fillId="0" borderId="1" xfId="5" applyBorder="1" applyAlignment="1">
      <alignment horizontal="left"/>
    </xf>
    <xf numFmtId="1" fontId="2" fillId="0" borderId="1" xfId="5" applyNumberFormat="1" applyBorder="1" applyAlignment="1">
      <alignment horizontal="left"/>
    </xf>
    <xf numFmtId="0" fontId="2" fillId="0" borderId="1" xfId="5" applyBorder="1"/>
    <xf numFmtId="0" fontId="20" fillId="0" borderId="1" xfId="5" applyFont="1" applyBorder="1" applyAlignment="1">
      <alignment horizontal="left"/>
    </xf>
    <xf numFmtId="1" fontId="20" fillId="0" borderId="1" xfId="5" applyNumberFormat="1" applyFont="1" applyBorder="1" applyAlignment="1">
      <alignment horizontal="left"/>
    </xf>
    <xf numFmtId="0" fontId="7" fillId="0" borderId="1" xfId="7" applyFont="1" applyBorder="1" applyAlignment="1">
      <alignment horizontal="left" indent="1"/>
    </xf>
    <xf numFmtId="0" fontId="6" fillId="0" borderId="1" xfId="0" applyFont="1" applyBorder="1" applyAlignment="1">
      <alignment wrapText="1"/>
    </xf>
    <xf numFmtId="0" fontId="22" fillId="13" borderId="43" xfId="5" applyFont="1" applyFill="1" applyBorder="1" applyAlignment="1">
      <alignment horizontal="center" vertical="center" wrapText="1"/>
    </xf>
    <xf numFmtId="0" fontId="4" fillId="0" borderId="3" xfId="5" applyFont="1" applyBorder="1" applyAlignment="1">
      <alignment vertical="top" wrapText="1"/>
    </xf>
    <xf numFmtId="0" fontId="4" fillId="0" borderId="63" xfId="5" applyFont="1" applyBorder="1" applyAlignment="1">
      <alignment vertical="top" wrapText="1"/>
    </xf>
    <xf numFmtId="49" fontId="2" fillId="0" borderId="10" xfId="5" applyNumberFormat="1" applyBorder="1" applyAlignment="1">
      <alignment horizontal="center"/>
    </xf>
    <xf numFmtId="49" fontId="2" fillId="0" borderId="11" xfId="5" applyNumberFormat="1" applyBorder="1" applyAlignment="1">
      <alignment horizontal="center"/>
    </xf>
    <xf numFmtId="49" fontId="34" fillId="0" borderId="1" xfId="6" applyNumberFormat="1" applyFont="1" applyBorder="1" applyAlignment="1" applyProtection="1">
      <alignment horizontal="center" vertical="center"/>
      <protection locked="0"/>
    </xf>
    <xf numFmtId="49" fontId="4" fillId="11" borderId="54" xfId="5" applyNumberFormat="1" applyFont="1" applyFill="1" applyBorder="1" applyAlignment="1">
      <alignment horizontal="center" vertical="center"/>
    </xf>
    <xf numFmtId="0" fontId="4" fillId="11" borderId="1" xfId="5" applyFont="1" applyFill="1" applyBorder="1" applyAlignment="1">
      <alignment vertical="center" wrapText="1"/>
    </xf>
    <xf numFmtId="0" fontId="4" fillId="11" borderId="1" xfId="5" applyFont="1" applyFill="1" applyBorder="1" applyAlignment="1">
      <alignment horizontal="center" vertical="center"/>
    </xf>
    <xf numFmtId="0" fontId="20" fillId="11" borderId="1" xfId="5" applyFont="1" applyFill="1" applyBorder="1" applyAlignment="1">
      <alignment horizontal="left" vertical="center"/>
    </xf>
    <xf numFmtId="1" fontId="20" fillId="11" borderId="29" xfId="5" applyNumberFormat="1" applyFont="1" applyFill="1" applyBorder="1" applyAlignment="1">
      <alignment horizontal="left" vertical="center"/>
    </xf>
    <xf numFmtId="0" fontId="2" fillId="11" borderId="3" xfId="5" applyFill="1" applyBorder="1" applyAlignment="1">
      <alignment horizontal="center" vertical="center"/>
    </xf>
    <xf numFmtId="0" fontId="2" fillId="11" borderId="30" xfId="5" applyFill="1" applyBorder="1" applyAlignment="1">
      <alignment horizontal="center" vertical="center"/>
    </xf>
    <xf numFmtId="187" fontId="4" fillId="11" borderId="31" xfId="5" applyNumberFormat="1" applyFont="1" applyFill="1" applyBorder="1" applyAlignment="1">
      <alignment horizontal="center" vertical="center"/>
    </xf>
    <xf numFmtId="187" fontId="4" fillId="11" borderId="2" xfId="5" applyNumberFormat="1" applyFont="1" applyFill="1" applyBorder="1" applyAlignment="1">
      <alignment horizontal="center" vertical="center"/>
    </xf>
    <xf numFmtId="191" fontId="4" fillId="11" borderId="32" xfId="5" applyNumberFormat="1" applyFont="1" applyFill="1" applyBorder="1" applyAlignment="1">
      <alignment horizontal="right" vertical="center"/>
    </xf>
    <xf numFmtId="191" fontId="4" fillId="11" borderId="55" xfId="5" applyNumberFormat="1" applyFont="1" applyFill="1" applyBorder="1" applyAlignment="1">
      <alignment horizontal="right" vertical="center"/>
    </xf>
    <xf numFmtId="0" fontId="2" fillId="0" borderId="1" xfId="0" applyFont="1" applyBorder="1" applyAlignment="1">
      <alignment horizontal="center" vertical="center" wrapText="1"/>
    </xf>
    <xf numFmtId="0" fontId="2" fillId="0" borderId="1" xfId="0" applyFont="1" applyBorder="1" applyAlignment="1">
      <alignment vertical="center"/>
    </xf>
    <xf numFmtId="1" fontId="0" fillId="0" borderId="29" xfId="0" applyNumberFormat="1" applyBorder="1" applyAlignment="1">
      <alignment vertical="center" wrapText="1"/>
    </xf>
    <xf numFmtId="0" fontId="25" fillId="0" borderId="30" xfId="5" applyFont="1" applyBorder="1" applyAlignment="1">
      <alignment horizontal="center" vertical="center"/>
    </xf>
    <xf numFmtId="191" fontId="2" fillId="0" borderId="32" xfId="5" applyNumberFormat="1" applyBorder="1" applyAlignment="1">
      <alignment horizontal="right" vertical="center"/>
    </xf>
    <xf numFmtId="191" fontId="2" fillId="0" borderId="55" xfId="5" applyNumberFormat="1" applyBorder="1" applyAlignment="1">
      <alignment horizontal="right" vertical="center"/>
    </xf>
    <xf numFmtId="0" fontId="2" fillId="0" borderId="1" xfId="0" applyFont="1" applyBorder="1" applyAlignment="1">
      <alignment horizontal="left" wrapText="1"/>
    </xf>
    <xf numFmtId="0" fontId="0" fillId="2" borderId="1" xfId="0" applyFill="1" applyBorder="1" applyAlignment="1">
      <alignment horizontal="left" wrapText="1" indent="1"/>
    </xf>
    <xf numFmtId="0" fontId="7" fillId="0" borderId="3" xfId="0" applyFont="1" applyBorder="1" applyAlignment="1">
      <alignment horizontal="center"/>
    </xf>
    <xf numFmtId="0" fontId="7" fillId="6" borderId="3" xfId="0" applyFont="1" applyFill="1" applyBorder="1" applyAlignment="1">
      <alignment horizontal="center"/>
    </xf>
    <xf numFmtId="1" fontId="2" fillId="6" borderId="1" xfId="0" applyNumberFormat="1" applyFont="1" applyFill="1" applyBorder="1" applyAlignment="1">
      <alignment horizontal="center"/>
    </xf>
    <xf numFmtId="1" fontId="7" fillId="6" borderId="3" xfId="0" applyNumberFormat="1" applyFont="1" applyFill="1" applyBorder="1" applyAlignment="1">
      <alignment horizontal="center"/>
    </xf>
    <xf numFmtId="1" fontId="7" fillId="6" borderId="1" xfId="0" applyNumberFormat="1" applyFont="1" applyFill="1" applyBorder="1" applyAlignment="1">
      <alignment horizontal="center"/>
    </xf>
    <xf numFmtId="0" fontId="34" fillId="0" borderId="1" xfId="6" applyFont="1" applyBorder="1" applyAlignment="1" applyProtection="1">
      <alignment horizontal="left" vertical="center"/>
      <protection locked="0"/>
    </xf>
    <xf numFmtId="0" fontId="24" fillId="7" borderId="60" xfId="5" applyFont="1" applyFill="1" applyBorder="1" applyAlignment="1">
      <alignment vertical="top" wrapText="1"/>
    </xf>
    <xf numFmtId="0" fontId="24" fillId="7" borderId="38" xfId="5" applyFont="1" applyFill="1" applyBorder="1" applyAlignment="1">
      <alignment vertical="top" wrapText="1"/>
    </xf>
    <xf numFmtId="0" fontId="35" fillId="7" borderId="38" xfId="5" applyFont="1" applyFill="1" applyBorder="1" applyAlignment="1">
      <alignment horizontal="center"/>
    </xf>
    <xf numFmtId="0" fontId="36" fillId="7" borderId="38" xfId="5" applyFont="1" applyFill="1" applyBorder="1" applyAlignment="1">
      <alignment horizontal="left"/>
    </xf>
    <xf numFmtId="1" fontId="36" fillId="7" borderId="61" xfId="5" applyNumberFormat="1" applyFont="1" applyFill="1" applyBorder="1" applyAlignment="1">
      <alignment horizontal="left"/>
    </xf>
    <xf numFmtId="0" fontId="36" fillId="7" borderId="35" xfId="5" applyFont="1" applyFill="1" applyBorder="1" applyAlignment="1">
      <alignment horizontal="center"/>
    </xf>
    <xf numFmtId="0" fontId="36" fillId="7" borderId="36" xfId="5" applyFont="1" applyFill="1" applyBorder="1" applyAlignment="1">
      <alignment horizontal="center"/>
    </xf>
    <xf numFmtId="187" fontId="35" fillId="7" borderId="37" xfId="5" applyNumberFormat="1" applyFont="1" applyFill="1" applyBorder="1"/>
    <xf numFmtId="187" fontId="35" fillId="7" borderId="56" xfId="5" applyNumberFormat="1" applyFont="1" applyFill="1" applyBorder="1"/>
    <xf numFmtId="192" fontId="35" fillId="7" borderId="37" xfId="5" applyNumberFormat="1" applyFont="1" applyFill="1" applyBorder="1" applyAlignment="1">
      <alignment horizontal="center"/>
    </xf>
    <xf numFmtId="192" fontId="35" fillId="7" borderId="62" xfId="5" applyNumberFormat="1" applyFont="1" applyFill="1" applyBorder="1" applyAlignment="1">
      <alignment horizontal="center"/>
    </xf>
    <xf numFmtId="49" fontId="4" fillId="0" borderId="54" xfId="5" applyNumberFormat="1" applyFont="1" applyBorder="1" applyAlignment="1">
      <alignment horizontal="left" vertical="top" wrapText="1"/>
    </xf>
    <xf numFmtId="189" fontId="9" fillId="6" borderId="65" xfId="5" applyNumberFormat="1" applyFont="1" applyFill="1" applyBorder="1" applyAlignment="1">
      <alignment horizontal="center" vertical="center"/>
    </xf>
    <xf numFmtId="49" fontId="4" fillId="0" borderId="60" xfId="5" applyNumberFormat="1" applyFont="1" applyBorder="1" applyAlignment="1">
      <alignment horizontal="left" vertical="top" wrapText="1"/>
    </xf>
    <xf numFmtId="188" fontId="9" fillId="6" borderId="62" xfId="5" applyNumberFormat="1" applyFont="1" applyFill="1" applyBorder="1" applyAlignment="1">
      <alignment horizontal="center" vertical="center"/>
    </xf>
    <xf numFmtId="1" fontId="2" fillId="6" borderId="3" xfId="0" applyNumberFormat="1" applyFont="1" applyFill="1" applyBorder="1" applyAlignment="1">
      <alignment horizontal="center"/>
    </xf>
    <xf numFmtId="0" fontId="2" fillId="6" borderId="3" xfId="0" applyFont="1" applyFill="1" applyBorder="1" applyAlignment="1">
      <alignment horizontal="center"/>
    </xf>
    <xf numFmtId="0" fontId="2" fillId="6" borderId="3" xfId="0" applyFont="1" applyFill="1" applyBorder="1" applyAlignment="1">
      <alignment horizontal="center" vertical="center"/>
    </xf>
    <xf numFmtId="0" fontId="0" fillId="7" borderId="1" xfId="0" applyFill="1" applyBorder="1" applyAlignment="1">
      <alignment wrapText="1"/>
    </xf>
    <xf numFmtId="0" fontId="2" fillId="0" borderId="1" xfId="7" applyFont="1" applyBorder="1"/>
    <xf numFmtId="0" fontId="1" fillId="7" borderId="1" xfId="0" applyFont="1" applyFill="1" applyBorder="1" applyAlignment="1">
      <alignment wrapText="1"/>
    </xf>
    <xf numFmtId="0" fontId="2" fillId="0" borderId="2" xfId="0" applyFont="1" applyBorder="1" applyAlignment="1">
      <alignment horizontal="center" wrapText="1"/>
    </xf>
    <xf numFmtId="1" fontId="0" fillId="0" borderId="66" xfId="0" applyNumberFormat="1" applyBorder="1" applyAlignment="1">
      <alignment wrapText="1"/>
    </xf>
    <xf numFmtId="0" fontId="1" fillId="7" borderId="1" xfId="0" applyFont="1" applyFill="1" applyBorder="1"/>
    <xf numFmtId="0" fontId="2" fillId="7" borderId="1" xfId="5" applyFill="1" applyBorder="1"/>
    <xf numFmtId="1" fontId="0" fillId="0" borderId="4" xfId="0" applyNumberFormat="1" applyBorder="1" applyAlignment="1">
      <alignment wrapText="1"/>
    </xf>
    <xf numFmtId="0" fontId="10" fillId="0" borderId="1" xfId="0" applyFont="1" applyBorder="1" applyAlignment="1">
      <alignment horizontal="center" wrapText="1"/>
    </xf>
    <xf numFmtId="0" fontId="1" fillId="0" borderId="1" xfId="0" applyFont="1" applyBorder="1" applyAlignment="1">
      <alignment horizontal="left" wrapText="1" indent="1"/>
    </xf>
    <xf numFmtId="49" fontId="34" fillId="2" borderId="1" xfId="6" applyNumberFormat="1" applyFont="1" applyFill="1" applyBorder="1" applyAlignment="1" applyProtection="1">
      <alignment horizontal="center" vertical="center"/>
      <protection locked="0"/>
    </xf>
    <xf numFmtId="183" fontId="1" fillId="16" borderId="13" xfId="3" applyNumberFormat="1" applyFont="1" applyFill="1" applyBorder="1" applyAlignment="1" applyProtection="1">
      <alignment horizontal="right" vertical="center" indent="1"/>
    </xf>
    <xf numFmtId="185" fontId="1" fillId="16" borderId="13" xfId="3" applyNumberFormat="1" applyFont="1" applyFill="1" applyBorder="1" applyAlignment="1" applyProtection="1">
      <alignment horizontal="right" vertical="center" indent="1"/>
    </xf>
    <xf numFmtId="183" fontId="1" fillId="16" borderId="11" xfId="3" applyNumberFormat="1" applyFont="1" applyFill="1" applyBorder="1" applyAlignment="1" applyProtection="1">
      <alignment horizontal="right" vertical="center" indent="1"/>
    </xf>
    <xf numFmtId="14" fontId="4" fillId="16" borderId="55" xfId="5" applyNumberFormat="1" applyFont="1" applyFill="1" applyBorder="1" applyAlignment="1">
      <alignment horizontal="center" vertical="top" wrapText="1"/>
    </xf>
    <xf numFmtId="0" fontId="0" fillId="0" borderId="1" xfId="0" applyBorder="1"/>
    <xf numFmtId="0" fontId="7" fillId="0" borderId="55" xfId="0" applyFont="1" applyBorder="1" applyAlignment="1">
      <alignment wrapText="1"/>
    </xf>
    <xf numFmtId="0" fontId="7" fillId="0" borderId="1" xfId="0" applyFont="1" applyBorder="1"/>
    <xf numFmtId="0" fontId="0" fillId="0" borderId="55" xfId="0" applyBorder="1"/>
    <xf numFmtId="187" fontId="23" fillId="0" borderId="1" xfId="5" applyNumberFormat="1" applyFont="1" applyBorder="1" applyAlignment="1">
      <alignment vertical="center"/>
    </xf>
    <xf numFmtId="0" fontId="22" fillId="0" borderId="1" xfId="5" applyFont="1" applyBorder="1" applyAlignment="1">
      <alignment vertical="center"/>
    </xf>
    <xf numFmtId="0" fontId="22" fillId="0" borderId="55" xfId="5" applyFont="1" applyBorder="1" applyAlignment="1">
      <alignment vertical="center"/>
    </xf>
    <xf numFmtId="183" fontId="1" fillId="16" borderId="12" xfId="0" applyNumberFormat="1" applyFont="1" applyFill="1" applyBorder="1" applyAlignment="1">
      <alignment horizontal="center" vertical="center" wrapText="1"/>
    </xf>
    <xf numFmtId="183" fontId="9" fillId="7" borderId="11" xfId="3" applyNumberFormat="1" applyFont="1" applyFill="1" applyBorder="1" applyAlignment="1" applyProtection="1">
      <alignment horizontal="right" vertical="center" indent="1"/>
    </xf>
    <xf numFmtId="192" fontId="26" fillId="17" borderId="34" xfId="5" applyNumberFormat="1" applyFont="1" applyFill="1" applyBorder="1" applyAlignment="1">
      <alignment horizontal="center"/>
    </xf>
    <xf numFmtId="192" fontId="2" fillId="17" borderId="2" xfId="5" applyNumberFormat="1" applyFill="1" applyBorder="1" applyAlignment="1">
      <alignment horizontal="center"/>
    </xf>
    <xf numFmtId="192" fontId="2" fillId="17" borderId="32" xfId="5" applyNumberFormat="1" applyFill="1" applyBorder="1" applyAlignment="1">
      <alignment horizontal="center"/>
    </xf>
    <xf numFmtId="192" fontId="2" fillId="17" borderId="2" xfId="5" applyNumberFormat="1" applyFill="1" applyBorder="1" applyAlignment="1">
      <alignment horizontal="center" vertical="center"/>
    </xf>
    <xf numFmtId="0" fontId="4" fillId="18" borderId="1" xfId="5" applyFont="1" applyFill="1" applyBorder="1" applyAlignment="1">
      <alignment vertical="center" wrapText="1"/>
    </xf>
    <xf numFmtId="0" fontId="2" fillId="18" borderId="1" xfId="5" applyFill="1" applyBorder="1" applyAlignment="1">
      <alignment horizontal="left"/>
    </xf>
    <xf numFmtId="1" fontId="2" fillId="18" borderId="1" xfId="5" applyNumberFormat="1" applyFill="1" applyBorder="1" applyAlignment="1">
      <alignment horizontal="left"/>
    </xf>
    <xf numFmtId="0" fontId="2" fillId="18" borderId="1" xfId="5" applyFill="1" applyBorder="1"/>
    <xf numFmtId="0" fontId="25" fillId="18" borderId="30" xfId="5" applyFont="1" applyFill="1" applyBorder="1" applyAlignment="1">
      <alignment horizontal="center"/>
    </xf>
    <xf numFmtId="192" fontId="2" fillId="18" borderId="32" xfId="5" applyNumberFormat="1" applyFill="1" applyBorder="1" applyAlignment="1">
      <alignment horizontal="center"/>
    </xf>
    <xf numFmtId="192" fontId="2" fillId="18" borderId="2" xfId="5" applyNumberFormat="1" applyFill="1" applyBorder="1" applyAlignment="1">
      <alignment horizontal="center"/>
    </xf>
    <xf numFmtId="187" fontId="4" fillId="18" borderId="31" xfId="5" applyNumberFormat="1" applyFont="1" applyFill="1" applyBorder="1" applyAlignment="1">
      <alignment horizontal="center"/>
    </xf>
    <xf numFmtId="187" fontId="4" fillId="18" borderId="2" xfId="5" applyNumberFormat="1" applyFont="1" applyFill="1" applyBorder="1" applyAlignment="1">
      <alignment horizontal="center"/>
    </xf>
    <xf numFmtId="191" fontId="4" fillId="18" borderId="32" xfId="5" applyNumberFormat="1" applyFont="1" applyFill="1" applyBorder="1" applyAlignment="1">
      <alignment horizontal="right"/>
    </xf>
    <xf numFmtId="187" fontId="4" fillId="18" borderId="33" xfId="5" applyNumberFormat="1" applyFont="1" applyFill="1" applyBorder="1" applyAlignment="1">
      <alignment horizontal="center"/>
    </xf>
    <xf numFmtId="187" fontId="4" fillId="18" borderId="42" xfId="5" applyNumberFormat="1" applyFont="1" applyFill="1" applyBorder="1" applyAlignment="1">
      <alignment horizontal="center"/>
    </xf>
    <xf numFmtId="191" fontId="4" fillId="18" borderId="26" xfId="5" applyNumberFormat="1" applyFont="1" applyFill="1" applyBorder="1" applyAlignment="1">
      <alignment horizontal="right"/>
    </xf>
    <xf numFmtId="0" fontId="2" fillId="18" borderId="30" xfId="5" applyFill="1" applyBorder="1" applyAlignment="1">
      <alignment horizontal="center"/>
    </xf>
    <xf numFmtId="183" fontId="1" fillId="17" borderId="11" xfId="3" applyNumberFormat="1" applyFont="1" applyFill="1" applyBorder="1" applyAlignment="1" applyProtection="1">
      <alignment horizontal="right" vertical="center" indent="1"/>
    </xf>
    <xf numFmtId="183" fontId="1" fillId="17" borderId="13" xfId="3" applyNumberFormat="1" applyFont="1" applyFill="1" applyBorder="1" applyAlignment="1" applyProtection="1">
      <alignment horizontal="right" vertical="center" indent="1"/>
    </xf>
    <xf numFmtId="169" fontId="1" fillId="17" borderId="12" xfId="0" applyNumberFormat="1" applyFont="1" applyFill="1" applyBorder="1" applyAlignment="1">
      <alignment horizontal="center" vertical="center" wrapText="1"/>
    </xf>
    <xf numFmtId="183" fontId="1" fillId="17" borderId="12" xfId="0" applyNumberFormat="1" applyFont="1" applyFill="1" applyBorder="1" applyAlignment="1">
      <alignment horizontal="center" vertical="center" wrapText="1"/>
    </xf>
    <xf numFmtId="172" fontId="1" fillId="17" borderId="12" xfId="0" applyNumberFormat="1" applyFont="1" applyFill="1" applyBorder="1" applyAlignment="1">
      <alignment horizontal="center" vertical="center" wrapText="1"/>
    </xf>
    <xf numFmtId="0" fontId="1" fillId="17" borderId="12" xfId="0" applyFont="1" applyFill="1" applyBorder="1" applyAlignment="1">
      <alignment horizontal="center" vertical="center" wrapText="1"/>
    </xf>
    <xf numFmtId="0" fontId="1" fillId="17" borderId="11" xfId="0" applyFont="1" applyFill="1" applyBorder="1" applyAlignment="1">
      <alignment horizontal="justify" vertical="center" wrapText="1"/>
    </xf>
    <xf numFmtId="0" fontId="1" fillId="17" borderId="12" xfId="0" applyFont="1" applyFill="1" applyBorder="1" applyAlignment="1">
      <alignment horizontal="justify" vertical="center" wrapText="1"/>
    </xf>
    <xf numFmtId="184" fontId="1" fillId="17" borderId="12" xfId="0" applyNumberFormat="1" applyFont="1" applyFill="1" applyBorder="1" applyAlignment="1">
      <alignment horizontal="right" vertical="center" wrapText="1" indent="1"/>
    </xf>
    <xf numFmtId="9" fontId="1" fillId="17" borderId="12" xfId="0" applyNumberFormat="1" applyFont="1" applyFill="1" applyBorder="1" applyAlignment="1">
      <alignment horizontal="right" vertical="center" wrapText="1" indent="1"/>
    </xf>
    <xf numFmtId="0" fontId="1" fillId="17" borderId="16" xfId="0" applyFont="1" applyFill="1" applyBorder="1" applyAlignment="1">
      <alignment horizontal="justify" vertical="center" wrapText="1"/>
    </xf>
    <xf numFmtId="181" fontId="1" fillId="17" borderId="12" xfId="0" applyNumberFormat="1" applyFont="1" applyFill="1" applyBorder="1" applyAlignment="1">
      <alignment horizontal="center" vertical="center" wrapText="1"/>
    </xf>
    <xf numFmtId="180" fontId="1" fillId="17" borderId="12" xfId="0" applyNumberFormat="1" applyFont="1" applyFill="1" applyBorder="1" applyAlignment="1">
      <alignment horizontal="center" vertical="center" wrapText="1"/>
    </xf>
    <xf numFmtId="182" fontId="1" fillId="17" borderId="12" xfId="0" applyNumberFormat="1" applyFont="1" applyFill="1" applyBorder="1" applyAlignment="1">
      <alignment horizontal="center" vertical="center" wrapText="1"/>
    </xf>
    <xf numFmtId="179" fontId="1" fillId="17" borderId="12" xfId="0" applyNumberFormat="1" applyFont="1" applyFill="1" applyBorder="1" applyAlignment="1">
      <alignment horizontal="center" vertical="center" wrapText="1"/>
    </xf>
    <xf numFmtId="0" fontId="1" fillId="17" borderId="7" xfId="0" applyFont="1" applyFill="1" applyBorder="1" applyAlignment="1">
      <alignment horizontal="justify" vertical="center" wrapText="1"/>
    </xf>
    <xf numFmtId="0" fontId="0" fillId="17" borderId="8" xfId="0" applyFill="1" applyBorder="1" applyAlignment="1">
      <alignment vertical="center" wrapText="1"/>
    </xf>
    <xf numFmtId="184" fontId="3" fillId="16" borderId="6" xfId="0" applyNumberFormat="1" applyFont="1" applyFill="1" applyBorder="1" applyAlignment="1">
      <alignment horizontal="left"/>
    </xf>
    <xf numFmtId="183" fontId="3" fillId="16" borderId="6" xfId="0" applyNumberFormat="1" applyFont="1" applyFill="1" applyBorder="1" applyAlignment="1">
      <alignment horizontal="left"/>
    </xf>
    <xf numFmtId="0" fontId="3" fillId="16" borderId="6" xfId="0" applyFont="1" applyFill="1" applyBorder="1" applyAlignment="1">
      <alignment horizontal="left"/>
    </xf>
    <xf numFmtId="0" fontId="4" fillId="0" borderId="41" xfId="5" applyFont="1" applyBorder="1" applyAlignment="1">
      <alignment vertical="top" wrapText="1"/>
    </xf>
    <xf numFmtId="0" fontId="4" fillId="0" borderId="10" xfId="5" applyFont="1" applyBorder="1" applyAlignment="1">
      <alignment horizontal="center" vertical="center" wrapText="1"/>
    </xf>
    <xf numFmtId="0" fontId="0" fillId="0" borderId="28" xfId="0" applyBorder="1"/>
    <xf numFmtId="0" fontId="2" fillId="0" borderId="28" xfId="5" applyBorder="1"/>
    <xf numFmtId="0" fontId="2" fillId="7" borderId="28" xfId="5" applyFill="1" applyBorder="1"/>
    <xf numFmtId="0" fontId="2" fillId="7" borderId="28" xfId="5" applyFill="1" applyBorder="1" applyAlignment="1">
      <alignment vertical="center"/>
    </xf>
    <xf numFmtId="0" fontId="0" fillId="0" borderId="11" xfId="0" applyBorder="1"/>
    <xf numFmtId="49" fontId="4" fillId="18" borderId="54" xfId="5" applyNumberFormat="1" applyFont="1" applyFill="1" applyBorder="1" applyAlignment="1">
      <alignment horizontal="center" vertical="center"/>
    </xf>
    <xf numFmtId="0" fontId="4" fillId="18" borderId="54" xfId="5" applyFont="1" applyFill="1" applyBorder="1" applyAlignment="1">
      <alignment horizontal="center"/>
    </xf>
    <xf numFmtId="183" fontId="3" fillId="0" borderId="13" xfId="0" applyNumberFormat="1" applyFont="1" applyBorder="1" applyAlignment="1">
      <alignment horizontal="right" vertical="center" wrapText="1" indent="1"/>
    </xf>
    <xf numFmtId="0" fontId="43" fillId="0" borderId="19" xfId="0" applyFont="1" applyBorder="1" applyAlignment="1">
      <alignment vertical="center"/>
    </xf>
    <xf numFmtId="0" fontId="44" fillId="0" borderId="14" xfId="0" applyFont="1" applyBorder="1"/>
    <xf numFmtId="0" fontId="45" fillId="0" borderId="14" xfId="0" applyFont="1" applyBorder="1" applyAlignment="1">
      <alignment vertical="center"/>
    </xf>
    <xf numFmtId="0" fontId="43" fillId="0" borderId="14" xfId="0" applyFont="1" applyBorder="1" applyAlignment="1">
      <alignment vertical="center"/>
    </xf>
    <xf numFmtId="0" fontId="44" fillId="0" borderId="18" xfId="0" applyFont="1" applyBorder="1"/>
    <xf numFmtId="0" fontId="46" fillId="9" borderId="2" xfId="0" applyFont="1" applyFill="1" applyBorder="1" applyAlignment="1" applyProtection="1">
      <alignment horizontal="left" vertical="center"/>
      <protection locked="0"/>
    </xf>
    <xf numFmtId="0" fontId="1" fillId="0" borderId="21" xfId="0" applyFont="1" applyBorder="1"/>
    <xf numFmtId="0" fontId="45" fillId="9" borderId="2" xfId="0" applyFont="1" applyFill="1" applyBorder="1" applyAlignment="1" applyProtection="1">
      <alignment horizontal="left" vertical="center"/>
      <protection locked="0"/>
    </xf>
    <xf numFmtId="0" fontId="45" fillId="19" borderId="2" xfId="0" quotePrefix="1" applyFont="1" applyFill="1" applyBorder="1" applyAlignment="1">
      <alignment horizontal="left" vertical="center"/>
    </xf>
    <xf numFmtId="0" fontId="1" fillId="0" borderId="21" xfId="0" applyFont="1" applyBorder="1" applyAlignment="1">
      <alignment horizontal="center" vertical="center"/>
    </xf>
    <xf numFmtId="0" fontId="44" fillId="0" borderId="0" xfId="0" applyFont="1"/>
    <xf numFmtId="0" fontId="44" fillId="0" borderId="18" xfId="0" applyFont="1" applyBorder="1" applyAlignment="1">
      <alignment horizontal="left" vertical="center"/>
    </xf>
    <xf numFmtId="0" fontId="45" fillId="9" borderId="2" xfId="0" applyFont="1" applyFill="1" applyBorder="1" applyAlignment="1" applyProtection="1">
      <alignment horizontal="left" vertical="center" wrapText="1"/>
      <protection locked="0"/>
    </xf>
    <xf numFmtId="0" fontId="44" fillId="0" borderId="18" xfId="0" applyFont="1" applyBorder="1" applyAlignment="1">
      <alignment vertical="center"/>
    </xf>
    <xf numFmtId="0" fontId="2" fillId="0" borderId="3" xfId="5" applyBorder="1" applyAlignment="1">
      <alignment horizontal="center" vertical="top" wrapText="1"/>
    </xf>
    <xf numFmtId="1" fontId="7" fillId="0" borderId="67" xfId="6" applyNumberFormat="1" applyFont="1" applyBorder="1" applyAlignment="1" applyProtection="1">
      <alignment horizontal="center" vertical="center"/>
      <protection locked="0"/>
    </xf>
    <xf numFmtId="0" fontId="0" fillId="0" borderId="0" xfId="0" applyAlignment="1">
      <alignment horizontal="left" indent="1"/>
    </xf>
    <xf numFmtId="49" fontId="2" fillId="0" borderId="3" xfId="5" applyNumberFormat="1" applyBorder="1" applyAlignment="1">
      <alignment horizontal="center"/>
    </xf>
    <xf numFmtId="49" fontId="4" fillId="6" borderId="3" xfId="5" applyNumberFormat="1" applyFont="1" applyFill="1" applyBorder="1" applyAlignment="1">
      <alignment horizontal="center"/>
    </xf>
    <xf numFmtId="0" fontId="0" fillId="7" borderId="1" xfId="0" applyFill="1" applyBorder="1" applyAlignment="1">
      <alignment horizontal="left" indent="1"/>
    </xf>
    <xf numFmtId="0" fontId="47" fillId="17" borderId="1" xfId="0" applyFont="1" applyFill="1" applyBorder="1"/>
    <xf numFmtId="0" fontId="20" fillId="11" borderId="1" xfId="5" applyFont="1" applyFill="1" applyBorder="1" applyAlignment="1">
      <alignment horizontal="left" wrapText="1"/>
    </xf>
    <xf numFmtId="0" fontId="47" fillId="17" borderId="17" xfId="0" applyFont="1" applyFill="1" applyBorder="1"/>
    <xf numFmtId="0" fontId="4" fillId="18" borderId="1" xfId="5" applyFont="1" applyFill="1" applyBorder="1" applyAlignment="1">
      <alignment wrapText="1"/>
    </xf>
    <xf numFmtId="0" fontId="20" fillId="11" borderId="1" xfId="5" applyFont="1" applyFill="1" applyBorder="1" applyAlignment="1">
      <alignment horizontal="left" vertical="center" wrapText="1"/>
    </xf>
    <xf numFmtId="0" fontId="4" fillId="11" borderId="17" xfId="5" applyFont="1" applyFill="1" applyBorder="1" applyAlignment="1">
      <alignment vertical="center" wrapText="1"/>
    </xf>
    <xf numFmtId="49" fontId="4" fillId="11" borderId="57" xfId="5" applyNumberFormat="1" applyFont="1" applyFill="1" applyBorder="1" applyAlignment="1">
      <alignment horizontal="center" vertical="center"/>
    </xf>
    <xf numFmtId="0" fontId="4" fillId="18" borderId="1" xfId="0" applyFont="1" applyFill="1" applyBorder="1" applyAlignment="1">
      <alignment vertical="center"/>
    </xf>
    <xf numFmtId="49" fontId="4" fillId="18" borderId="3" xfId="5" applyNumberFormat="1" applyFont="1" applyFill="1" applyBorder="1" applyAlignment="1">
      <alignment horizontal="center" vertical="center"/>
    </xf>
    <xf numFmtId="0" fontId="2" fillId="6" borderId="1" xfId="0" applyFont="1" applyFill="1" applyBorder="1" applyAlignment="1">
      <alignment horizontal="center"/>
    </xf>
    <xf numFmtId="0" fontId="25" fillId="6" borderId="1" xfId="5" applyFont="1" applyFill="1" applyBorder="1" applyAlignment="1">
      <alignment horizontal="center"/>
    </xf>
    <xf numFmtId="2" fontId="2" fillId="0" borderId="1" xfId="5" applyNumberFormat="1" applyBorder="1"/>
    <xf numFmtId="2" fontId="25" fillId="6" borderId="3" xfId="5" applyNumberFormat="1" applyFont="1" applyFill="1" applyBorder="1" applyAlignment="1">
      <alignment horizontal="center"/>
    </xf>
    <xf numFmtId="2" fontId="2" fillId="11" borderId="3" xfId="5" applyNumberFormat="1" applyFill="1" applyBorder="1" applyAlignment="1">
      <alignment horizontal="center" vertical="center"/>
    </xf>
    <xf numFmtId="0" fontId="2" fillId="6" borderId="1" xfId="5" applyFill="1" applyBorder="1" applyAlignment="1">
      <alignment horizontal="center" vertical="center"/>
    </xf>
    <xf numFmtId="0" fontId="2" fillId="0" borderId="1" xfId="5" applyBorder="1" applyAlignment="1">
      <alignment horizontal="center" vertical="center"/>
    </xf>
    <xf numFmtId="2" fontId="2" fillId="0" borderId="1" xfId="5" applyNumberFormat="1" applyBorder="1" applyAlignment="1">
      <alignment horizontal="center" vertical="center"/>
    </xf>
    <xf numFmtId="0" fontId="2" fillId="6" borderId="1" xfId="0" applyFont="1" applyFill="1" applyBorder="1" applyAlignment="1">
      <alignment horizontal="center" vertical="center"/>
    </xf>
    <xf numFmtId="0" fontId="25" fillId="6" borderId="1" xfId="5" applyFont="1" applyFill="1" applyBorder="1" applyAlignment="1">
      <alignment horizontal="center" vertical="center"/>
    </xf>
    <xf numFmtId="1" fontId="2" fillId="6" borderId="1" xfId="5" applyNumberFormat="1" applyFill="1" applyBorder="1" applyAlignment="1">
      <alignment horizontal="center" vertical="center"/>
    </xf>
    <xf numFmtId="1" fontId="7" fillId="6" borderId="67" xfId="6" applyNumberFormat="1" applyFont="1" applyFill="1" applyBorder="1" applyAlignment="1" applyProtection="1">
      <alignment horizontal="center" vertical="center"/>
      <protection locked="0"/>
    </xf>
    <xf numFmtId="0" fontId="34" fillId="2" borderId="1" xfId="6" applyFont="1" applyFill="1" applyBorder="1" applyAlignment="1" applyProtection="1">
      <alignment horizontal="left" vertical="center"/>
      <protection locked="0"/>
    </xf>
    <xf numFmtId="190" fontId="22" fillId="13" borderId="8" xfId="5" applyNumberFormat="1" applyFont="1" applyFill="1" applyBorder="1" applyAlignment="1">
      <alignment horizontal="center" vertical="center"/>
    </xf>
    <xf numFmtId="0" fontId="2" fillId="0" borderId="69" xfId="5" applyBorder="1" applyAlignment="1">
      <alignment vertical="center"/>
    </xf>
    <xf numFmtId="0" fontId="2" fillId="0" borderId="70" xfId="5" applyBorder="1" applyAlignment="1">
      <alignment vertical="center"/>
    </xf>
    <xf numFmtId="189" fontId="9" fillId="2" borderId="65" xfId="5" applyNumberFormat="1" applyFont="1" applyFill="1" applyBorder="1" applyAlignment="1">
      <alignment horizontal="center" vertical="center"/>
    </xf>
    <xf numFmtId="188" fontId="9" fillId="2" borderId="62" xfId="5" applyNumberFormat="1" applyFont="1" applyFill="1" applyBorder="1" applyAlignment="1">
      <alignment horizontal="center" vertical="center"/>
    </xf>
    <xf numFmtId="0" fontId="31" fillId="8" borderId="16" xfId="0" applyFont="1" applyFill="1" applyBorder="1" applyAlignment="1">
      <alignment horizontal="center" vertical="center"/>
    </xf>
    <xf numFmtId="0" fontId="30" fillId="0" borderId="6" xfId="0" applyFont="1" applyBorder="1" applyAlignment="1">
      <alignment horizontal="center" vertical="center"/>
    </xf>
    <xf numFmtId="0" fontId="30" fillId="0" borderId="12" xfId="0" applyFont="1" applyBorder="1" applyAlignment="1">
      <alignment horizontal="center" vertical="center"/>
    </xf>
    <xf numFmtId="0" fontId="31" fillId="8" borderId="7" xfId="0" applyFont="1" applyFill="1" applyBorder="1" applyAlignment="1">
      <alignment horizontal="center" vertical="center"/>
    </xf>
    <xf numFmtId="0" fontId="30" fillId="0" borderId="9" xfId="0" applyFont="1" applyBorder="1" applyAlignment="1">
      <alignment horizontal="center" vertical="center"/>
    </xf>
    <xf numFmtId="0" fontId="30" fillId="0" borderId="8" xfId="0" applyFont="1" applyBorder="1" applyAlignment="1">
      <alignment horizontal="center" vertical="center"/>
    </xf>
    <xf numFmtId="0" fontId="45" fillId="19" borderId="2" xfId="0" quotePrefix="1" applyFont="1" applyFill="1" applyBorder="1" applyAlignment="1">
      <alignment horizontal="center" vertical="center"/>
    </xf>
    <xf numFmtId="0" fontId="1" fillId="17" borderId="3" xfId="0" applyFont="1" applyFill="1" applyBorder="1" applyAlignment="1">
      <alignment horizontal="center" vertical="center"/>
    </xf>
    <xf numFmtId="0" fontId="45" fillId="16" borderId="2" xfId="0" applyFont="1" applyFill="1" applyBorder="1" applyAlignment="1">
      <alignment horizontal="center" vertical="center"/>
    </xf>
    <xf numFmtId="0" fontId="1" fillId="16" borderId="3" xfId="0" applyFont="1" applyFill="1" applyBorder="1" applyAlignment="1">
      <alignment horizontal="center" vertical="center"/>
    </xf>
    <xf numFmtId="0" fontId="45" fillId="9" borderId="2" xfId="0" applyFont="1" applyFill="1" applyBorder="1" applyAlignment="1">
      <alignment horizontal="center" vertical="center"/>
    </xf>
    <xf numFmtId="0" fontId="1" fillId="10" borderId="3" xfId="0" applyFont="1" applyFill="1" applyBorder="1" applyAlignment="1">
      <alignment horizontal="center" vertical="center"/>
    </xf>
    <xf numFmtId="0" fontId="41" fillId="0" borderId="7" xfId="0" applyFont="1" applyBorder="1" applyAlignment="1">
      <alignment horizontal="left" vertical="top" wrapText="1"/>
    </xf>
    <xf numFmtId="0" fontId="41" fillId="0" borderId="9" xfId="0" applyFont="1" applyBorder="1" applyAlignment="1">
      <alignment horizontal="left" vertical="top" wrapText="1"/>
    </xf>
    <xf numFmtId="0" fontId="3" fillId="0" borderId="9" xfId="0" applyFont="1" applyBorder="1" applyAlignment="1">
      <alignment vertical="top" wrapText="1"/>
    </xf>
    <xf numFmtId="0" fontId="3" fillId="0" borderId="8" xfId="0" applyFont="1" applyBorder="1" applyAlignment="1">
      <alignment vertical="top" wrapText="1"/>
    </xf>
    <xf numFmtId="0" fontId="1" fillId="0" borderId="7" xfId="0" applyFont="1" applyBorder="1" applyAlignment="1">
      <alignment horizontal="left" vertical="center" wrapText="1"/>
    </xf>
    <xf numFmtId="0" fontId="1" fillId="0" borderId="8" xfId="0" applyFont="1" applyBorder="1" applyAlignment="1">
      <alignment horizontal="left" vertical="center" wrapText="1"/>
    </xf>
    <xf numFmtId="0" fontId="3" fillId="0" borderId="14" xfId="0" applyFont="1" applyBorder="1" applyAlignment="1">
      <alignment horizontal="right" vertical="center" indent="1"/>
    </xf>
    <xf numFmtId="0" fontId="3" fillId="0" borderId="15" xfId="0" applyFont="1" applyBorder="1" applyAlignment="1">
      <alignment horizontal="right" vertical="center" indent="1"/>
    </xf>
    <xf numFmtId="0" fontId="2" fillId="0" borderId="7" xfId="0" applyFont="1" applyBorder="1" applyAlignment="1">
      <alignment horizontal="left" vertical="center" wrapText="1"/>
    </xf>
    <xf numFmtId="0" fontId="2" fillId="0" borderId="8" xfId="0" applyFont="1" applyBorder="1" applyAlignment="1">
      <alignment horizontal="left" vertical="center" wrapText="1"/>
    </xf>
    <xf numFmtId="0" fontId="0" fillId="0" borderId="8" xfId="0" applyBorder="1" applyAlignment="1">
      <alignment horizontal="left" vertical="center" wrapText="1"/>
    </xf>
    <xf numFmtId="0" fontId="1" fillId="0" borderId="6" xfId="0" applyFont="1" applyBorder="1" applyAlignment="1">
      <alignment horizontal="left"/>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1" fillId="0" borderId="7" xfId="0" applyFont="1" applyBorder="1" applyAlignment="1">
      <alignment horizontal="left" vertical="center" wrapText="1"/>
    </xf>
    <xf numFmtId="0" fontId="41" fillId="0" borderId="9" xfId="0" applyFont="1" applyBorder="1" applyAlignment="1">
      <alignment horizontal="left" vertical="center" wrapText="1"/>
    </xf>
    <xf numFmtId="0" fontId="41" fillId="0" borderId="8" xfId="0" applyFont="1" applyBorder="1" applyAlignment="1">
      <alignment horizontal="left" vertical="center" wrapText="1"/>
    </xf>
    <xf numFmtId="183" fontId="3" fillId="4" borderId="2" xfId="0" applyNumberFormat="1" applyFont="1" applyFill="1" applyBorder="1" applyAlignment="1">
      <alignment horizontal="center" vertical="center"/>
    </xf>
    <xf numFmtId="183" fontId="6" fillId="0" borderId="3" xfId="0" applyNumberFormat="1" applyFont="1" applyBorder="1" applyAlignment="1">
      <alignment horizontal="center" vertical="center"/>
    </xf>
    <xf numFmtId="0" fontId="12" fillId="0" borderId="0" xfId="0" applyFont="1" applyAlignment="1">
      <alignment vertical="center" wrapText="1"/>
    </xf>
    <xf numFmtId="0" fontId="0" fillId="0" borderId="0" xfId="0" applyAlignment="1">
      <alignment vertical="center"/>
    </xf>
    <xf numFmtId="0" fontId="22" fillId="12" borderId="45" xfId="5" applyFont="1" applyFill="1" applyBorder="1" applyAlignment="1">
      <alignment horizontal="center" vertical="center"/>
    </xf>
    <xf numFmtId="0" fontId="22" fillId="12" borderId="46" xfId="5" applyFont="1" applyFill="1" applyBorder="1" applyAlignment="1">
      <alignment horizontal="center" vertical="center"/>
    </xf>
    <xf numFmtId="0" fontId="2" fillId="7" borderId="59" xfId="5" applyFill="1" applyBorder="1" applyAlignment="1">
      <alignment horizontal="left" vertical="center"/>
    </xf>
    <xf numFmtId="0" fontId="2" fillId="7" borderId="3" xfId="5" applyFill="1" applyBorder="1" applyAlignment="1">
      <alignment horizontal="left" vertical="center"/>
    </xf>
    <xf numFmtId="0" fontId="2" fillId="7" borderId="68" xfId="5" applyFill="1" applyBorder="1" applyAlignment="1">
      <alignment horizontal="left" vertical="center"/>
    </xf>
    <xf numFmtId="0" fontId="2" fillId="7" borderId="35" xfId="5" applyFill="1" applyBorder="1" applyAlignment="1">
      <alignment horizontal="left" vertical="center"/>
    </xf>
    <xf numFmtId="0" fontId="37" fillId="7" borderId="50" xfId="5" applyFont="1" applyFill="1" applyBorder="1" applyAlignment="1">
      <alignment horizontal="center" vertical="top" wrapText="1"/>
    </xf>
    <xf numFmtId="0" fontId="37" fillId="7" borderId="64" xfId="5" applyFont="1" applyFill="1" applyBorder="1" applyAlignment="1">
      <alignment horizontal="center" vertical="top" wrapText="1"/>
    </xf>
    <xf numFmtId="0" fontId="21" fillId="0" borderId="7" xfId="5" applyFont="1" applyBorder="1" applyAlignment="1">
      <alignment horizontal="center" vertical="center" wrapText="1"/>
    </xf>
    <xf numFmtId="0" fontId="21" fillId="0" borderId="8" xfId="5" applyFont="1" applyBorder="1" applyAlignment="1">
      <alignment horizontal="center" vertical="center" wrapText="1"/>
    </xf>
    <xf numFmtId="187" fontId="24" fillId="14" borderId="7" xfId="5" applyNumberFormat="1" applyFont="1" applyFill="1" applyBorder="1" applyAlignment="1">
      <alignment horizontal="center" vertical="center"/>
    </xf>
    <xf numFmtId="187" fontId="24" fillId="14" borderId="8" xfId="5" applyNumberFormat="1" applyFont="1" applyFill="1" applyBorder="1" applyAlignment="1">
      <alignment horizontal="center" vertical="center"/>
    </xf>
    <xf numFmtId="193" fontId="40" fillId="8" borderId="19" xfId="5" applyNumberFormat="1" applyFont="1" applyFill="1" applyBorder="1" applyAlignment="1">
      <alignment horizontal="center" vertical="center"/>
    </xf>
    <xf numFmtId="193" fontId="40" fillId="8" borderId="14" xfId="5" applyNumberFormat="1" applyFont="1" applyFill="1" applyBorder="1" applyAlignment="1">
      <alignment horizontal="center" vertical="center"/>
    </xf>
    <xf numFmtId="193" fontId="40" fillId="8" borderId="15" xfId="5" applyNumberFormat="1" applyFont="1" applyFill="1" applyBorder="1" applyAlignment="1">
      <alignment horizontal="center" vertical="center"/>
    </xf>
    <xf numFmtId="193" fontId="40" fillId="8" borderId="18" xfId="5" applyNumberFormat="1" applyFont="1" applyFill="1" applyBorder="1" applyAlignment="1">
      <alignment horizontal="center" vertical="center"/>
    </xf>
    <xf numFmtId="193" fontId="40" fillId="8" borderId="0" xfId="5" applyNumberFormat="1" applyFont="1" applyFill="1" applyAlignment="1">
      <alignment horizontal="center" vertical="center"/>
    </xf>
    <xf numFmtId="193" fontId="40" fillId="8" borderId="20" xfId="5" applyNumberFormat="1" applyFont="1" applyFill="1" applyBorder="1" applyAlignment="1">
      <alignment horizontal="center" vertical="center"/>
    </xf>
    <xf numFmtId="193" fontId="40" fillId="8" borderId="16" xfId="5" applyNumberFormat="1" applyFont="1" applyFill="1" applyBorder="1" applyAlignment="1">
      <alignment horizontal="center" vertical="center"/>
    </xf>
    <xf numFmtId="193" fontId="40" fillId="8" borderId="6" xfId="5" applyNumberFormat="1" applyFont="1" applyFill="1" applyBorder="1" applyAlignment="1">
      <alignment horizontal="center" vertical="center"/>
    </xf>
    <xf numFmtId="193" fontId="40" fillId="8" borderId="12" xfId="5" applyNumberFormat="1" applyFont="1" applyFill="1" applyBorder="1" applyAlignment="1">
      <alignment horizontal="center" vertical="center"/>
    </xf>
    <xf numFmtId="0" fontId="22" fillId="7" borderId="50" xfId="5" applyFont="1" applyFill="1" applyBorder="1" applyAlignment="1">
      <alignment horizontal="center" vertical="center"/>
    </xf>
    <xf numFmtId="0" fontId="22" fillId="7" borderId="51" xfId="5" applyFont="1" applyFill="1" applyBorder="1" applyAlignment="1">
      <alignment horizontal="center" vertical="center"/>
    </xf>
    <xf numFmtId="0" fontId="22" fillId="7" borderId="52" xfId="5" applyFont="1" applyFill="1" applyBorder="1" applyAlignment="1">
      <alignment horizontal="center" vertical="center"/>
    </xf>
    <xf numFmtId="0" fontId="2" fillId="7" borderId="54" xfId="5" applyFill="1" applyBorder="1" applyAlignment="1">
      <alignment horizontal="left" vertical="center"/>
    </xf>
    <xf numFmtId="0" fontId="2" fillId="7" borderId="1" xfId="5" applyFill="1" applyBorder="1" applyAlignment="1">
      <alignment horizontal="left" vertical="center"/>
    </xf>
    <xf numFmtId="194" fontId="40" fillId="8" borderId="19" xfId="5" applyNumberFormat="1" applyFont="1" applyFill="1" applyBorder="1" applyAlignment="1">
      <alignment horizontal="center" vertical="center"/>
    </xf>
    <xf numFmtId="194" fontId="40" fillId="8" borderId="14" xfId="5" applyNumberFormat="1" applyFont="1" applyFill="1" applyBorder="1" applyAlignment="1">
      <alignment horizontal="center" vertical="center"/>
    </xf>
    <xf numFmtId="194" fontId="40" fillId="8" borderId="15" xfId="5" applyNumberFormat="1" applyFont="1" applyFill="1" applyBorder="1" applyAlignment="1">
      <alignment horizontal="center" vertical="center"/>
    </xf>
    <xf numFmtId="194" fontId="40" fillId="8" borderId="18" xfId="5" applyNumberFormat="1" applyFont="1" applyFill="1" applyBorder="1" applyAlignment="1">
      <alignment horizontal="center" vertical="center"/>
    </xf>
    <xf numFmtId="194" fontId="40" fillId="8" borderId="0" xfId="5" applyNumberFormat="1" applyFont="1" applyFill="1" applyAlignment="1">
      <alignment horizontal="center" vertical="center"/>
    </xf>
    <xf numFmtId="194" fontId="40" fillId="8" borderId="20" xfId="5" applyNumberFormat="1" applyFont="1" applyFill="1" applyBorder="1" applyAlignment="1">
      <alignment horizontal="center" vertical="center"/>
    </xf>
    <xf numFmtId="194" fontId="40" fillId="8" borderId="16" xfId="5" applyNumberFormat="1" applyFont="1" applyFill="1" applyBorder="1" applyAlignment="1">
      <alignment horizontal="center" vertical="center"/>
    </xf>
    <xf numFmtId="194" fontId="40" fillId="8" borderId="6" xfId="5" applyNumberFormat="1" applyFont="1" applyFill="1" applyBorder="1" applyAlignment="1">
      <alignment horizontal="center" vertical="center"/>
    </xf>
    <xf numFmtId="194" fontId="40" fillId="8" borderId="12" xfId="5" applyNumberFormat="1" applyFont="1" applyFill="1" applyBorder="1" applyAlignment="1">
      <alignment horizontal="center" vertical="center"/>
    </xf>
    <xf numFmtId="0" fontId="8" fillId="0" borderId="6" xfId="0" applyFont="1" applyBorder="1" applyAlignment="1">
      <alignment horizontal="center" vertical="center"/>
    </xf>
    <xf numFmtId="0" fontId="3" fillId="0" borderId="9" xfId="0" applyFont="1" applyBorder="1" applyAlignment="1">
      <alignment horizontal="center" vertical="center" wrapText="1"/>
    </xf>
    <xf numFmtId="0" fontId="3" fillId="0" borderId="10" xfId="0" applyFont="1" applyBorder="1" applyAlignment="1">
      <alignment horizontal="center" vertical="distributed" wrapText="1"/>
    </xf>
    <xf numFmtId="0" fontId="3" fillId="0" borderId="11" xfId="0" applyFont="1" applyBorder="1" applyAlignment="1">
      <alignment horizontal="center" vertical="distributed" wrapText="1"/>
    </xf>
    <xf numFmtId="0" fontId="8" fillId="0" borderId="0" xfId="0" applyFont="1" applyAlignment="1">
      <alignment horizontal="center" vertical="center"/>
    </xf>
    <xf numFmtId="171" fontId="3" fillId="0" borderId="7" xfId="0" applyNumberFormat="1" applyFont="1" applyBorder="1" applyAlignment="1">
      <alignment horizontal="center" vertical="center" wrapText="1"/>
    </xf>
    <xf numFmtId="171" fontId="3" fillId="0" borderId="9" xfId="0" applyNumberFormat="1" applyFont="1" applyBorder="1" applyAlignment="1">
      <alignment horizontal="center" vertical="center" wrapText="1"/>
    </xf>
    <xf numFmtId="171" fontId="3" fillId="0" borderId="8" xfId="0" applyNumberFormat="1" applyFont="1" applyBorder="1" applyAlignment="1">
      <alignment horizontal="center" vertical="center" wrapText="1"/>
    </xf>
    <xf numFmtId="0" fontId="1" fillId="0" borderId="7" xfId="0" applyFont="1" applyBorder="1" applyAlignment="1">
      <alignment horizontal="justify" vertical="center" wrapText="1"/>
    </xf>
    <xf numFmtId="0" fontId="0" fillId="0" borderId="8" xfId="0" applyBorder="1" applyAlignment="1">
      <alignment vertical="center" wrapText="1"/>
    </xf>
    <xf numFmtId="0" fontId="6" fillId="0" borderId="8" xfId="0" applyFont="1" applyBorder="1" applyAlignment="1">
      <alignment horizontal="center" vertical="center" wrapText="1"/>
    </xf>
  </cellXfs>
  <cellStyles count="8">
    <cellStyle name="Currency" xfId="3" builtinId="4"/>
    <cellStyle name="Normal" xfId="0" builtinId="0"/>
    <cellStyle name="Standard 2" xfId="1" xr:uid="{D9A49A17-4502-47DC-A87C-D4520CD30DFC}"/>
    <cellStyle name="Standard 2 2 2 2" xfId="4" xr:uid="{326DA06B-BA14-4774-B4A5-4551D6319141}"/>
    <cellStyle name="Standard 3" xfId="2" xr:uid="{E55D8C41-447E-40ED-9942-28E7513EFA46}"/>
    <cellStyle name="Standard_Gesamtkalkulation Peking V1.0" xfId="7" xr:uid="{DA855E34-9D67-470F-BF56-8F7CB55CEB0B}"/>
    <cellStyle name="Standard_Kalkulation TNT-NL- 071113" xfId="5" xr:uid="{CB2E5D72-55F6-4505-9CAB-8340C1570D58}"/>
    <cellStyle name="Standard_MENGEN.XLS" xfId="6" xr:uid="{C95F0787-5043-41A6-802B-D0C842496594}"/>
  </cellStyles>
  <dxfs count="5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s>
  <tableStyles count="0" defaultTableStyle="TableStyleMedium2" defaultPivotStyle="PivotStyleLight16"/>
  <colors>
    <mruColors>
      <color rgb="FFCCFFFF"/>
      <color rgb="FF0099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3</xdr:col>
      <xdr:colOff>849031</xdr:colOff>
      <xdr:row>0</xdr:row>
      <xdr:rowOff>0</xdr:rowOff>
    </xdr:from>
    <xdr:ext cx="1595117" cy="7514107"/>
    <xdr:sp macro="" textlink="">
      <xdr:nvSpPr>
        <xdr:cNvPr id="2" name="Rechteck 1">
          <a:extLst>
            <a:ext uri="{FF2B5EF4-FFF2-40B4-BE49-F238E27FC236}">
              <a16:creationId xmlns:a16="http://schemas.microsoft.com/office/drawing/2014/main" id="{00000000-0008-0000-0100-000002000000}"/>
            </a:ext>
          </a:extLst>
        </xdr:cNvPr>
        <xdr:cNvSpPr/>
      </xdr:nvSpPr>
      <xdr:spPr>
        <a:xfrm rot="18415262">
          <a:off x="2537736" y="2959495"/>
          <a:ext cx="7514107" cy="1595117"/>
        </a:xfrm>
        <a:prstGeom prst="rect">
          <a:avLst/>
        </a:prstGeom>
        <a:noFill/>
      </xdr:spPr>
      <xdr:txBody>
        <a:bodyPr wrap="square" lIns="91440" tIns="45720" rIns="91440" bIns="45720">
          <a:spAutoFit/>
        </a:bodyPr>
        <a:lstStyle/>
        <a:p>
          <a:pPr algn="ctr"/>
          <a:r>
            <a:rPr lang="de-DE" sz="9600" b="1" cap="none" spc="50">
              <a:ln w="9525" cmpd="sng">
                <a:solidFill>
                  <a:schemeClr val="accent1"/>
                </a:solidFill>
                <a:prstDash val="solid"/>
              </a:ln>
              <a:solidFill>
                <a:srgbClr val="70AD47">
                  <a:tint val="1000"/>
                </a:srgbClr>
              </a:solidFill>
              <a:effectLst>
                <a:glow rad="38100">
                  <a:schemeClr val="accent1">
                    <a:alpha val="40000"/>
                  </a:schemeClr>
                </a:glow>
              </a:effectLst>
            </a:rPr>
            <a:t>Not required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251460</xdr:colOff>
          <xdr:row>4</xdr:row>
          <xdr:rowOff>22860</xdr:rowOff>
        </xdr:from>
        <xdr:to>
          <xdr:col>15</xdr:col>
          <xdr:colOff>30480</xdr:colOff>
          <xdr:row>6</xdr:row>
          <xdr:rowOff>160020</xdr:rowOff>
        </xdr:to>
        <xdr:sp macro="" textlink="">
          <xdr:nvSpPr>
            <xdr:cNvPr id="7221" name="cmd_get_QTY_BELT" hidden="1">
              <a:extLst>
                <a:ext uri="{63B3BB69-23CF-44E3-9099-C40C66FF867C}">
                  <a14:compatExt spid="_x0000_s7221"/>
                </a:ext>
                <a:ext uri="{FF2B5EF4-FFF2-40B4-BE49-F238E27FC236}">
                  <a16:creationId xmlns:a16="http://schemas.microsoft.com/office/drawing/2014/main" id="{00000000-0008-0000-0200-00003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236220</xdr:colOff>
          <xdr:row>1</xdr:row>
          <xdr:rowOff>68580</xdr:rowOff>
        </xdr:from>
        <xdr:to>
          <xdr:col>15</xdr:col>
          <xdr:colOff>22860</xdr:colOff>
          <xdr:row>3</xdr:row>
          <xdr:rowOff>99060</xdr:rowOff>
        </xdr:to>
        <xdr:sp macro="" textlink="">
          <xdr:nvSpPr>
            <xdr:cNvPr id="7254" name="cmd_clear_Belt" hidden="1">
              <a:extLst>
                <a:ext uri="{63B3BB69-23CF-44E3-9099-C40C66FF867C}">
                  <a14:compatExt spid="_x0000_s7254"/>
                </a:ext>
                <a:ext uri="{FF2B5EF4-FFF2-40B4-BE49-F238E27FC236}">
                  <a16:creationId xmlns:a16="http://schemas.microsoft.com/office/drawing/2014/main" id="{00000000-0008-0000-0200-00005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457200</xdr:colOff>
      <xdr:row>1</xdr:row>
      <xdr:rowOff>168275</xdr:rowOff>
    </xdr:to>
    <xdr:pic macro="[1]!Hamburger">
      <xdr:nvPicPr>
        <xdr:cNvPr id="2" name="Ham_MPN_Belt" descr="Hamburger Menu Icon with solid fill">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457200" cy="457200"/>
        </a:xfrm>
        <a:prstGeom prst="rect">
          <a:avLst/>
        </a:prstGeom>
      </xdr:spPr>
    </xdr:pic>
    <xdr:clientData/>
  </xdr:twoCellAnchor>
  <xdr:twoCellAnchor editAs="absolute">
    <xdr:from>
      <xdr:col>0</xdr:col>
      <xdr:colOff>53112</xdr:colOff>
      <xdr:row>1</xdr:row>
      <xdr:rowOff>133753</xdr:rowOff>
    </xdr:from>
    <xdr:to>
      <xdr:col>2</xdr:col>
      <xdr:colOff>172980</xdr:colOff>
      <xdr:row>19</xdr:row>
      <xdr:rowOff>264640</xdr:rowOff>
    </xdr:to>
    <xdr:grpSp>
      <xdr:nvGrpSpPr>
        <xdr:cNvPr id="3" name="Navigation_NEW" hidden="1">
          <a:extLst>
            <a:ext uri="{FF2B5EF4-FFF2-40B4-BE49-F238E27FC236}">
              <a16:creationId xmlns:a16="http://schemas.microsoft.com/office/drawing/2014/main" id="{00000000-0008-0000-0200-000003000000}"/>
            </a:ext>
          </a:extLst>
        </xdr:cNvPr>
        <xdr:cNvGrpSpPr/>
      </xdr:nvGrpSpPr>
      <xdr:grpSpPr>
        <a:xfrm>
          <a:off x="53112" y="425853"/>
          <a:ext cx="3396468" cy="1680287"/>
          <a:chOff x="3972319" y="2842324"/>
          <a:chExt cx="3757747" cy="1635891"/>
        </a:xfrm>
      </xdr:grpSpPr>
      <xdr:sp macro="" textlink="">
        <xdr:nvSpPr>
          <xdr:cNvPr id="4" name="Rectangle 3" hidden="1">
            <a:extLst>
              <a:ext uri="{FF2B5EF4-FFF2-40B4-BE49-F238E27FC236}">
                <a16:creationId xmlns:a16="http://schemas.microsoft.com/office/drawing/2014/main" id="{00000000-0008-0000-0200-000004000000}"/>
              </a:ext>
            </a:extLst>
          </xdr:cNvPr>
          <xdr:cNvSpPr/>
        </xdr:nvSpPr>
        <xdr:spPr>
          <a:xfrm>
            <a:off x="3989557" y="2842324"/>
            <a:ext cx="3740509" cy="1635891"/>
          </a:xfrm>
          <a:prstGeom prst="rect">
            <a:avLst/>
          </a:prstGeom>
          <a:solidFill>
            <a:schemeClr val="bg1">
              <a:lumMod val="8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de-DE" sz="1100"/>
          </a:p>
        </xdr:txBody>
      </xdr:sp>
      <xdr:sp macro="[1]!show_LLC4Files" textlink="">
        <xdr:nvSpPr>
          <xdr:cNvPr id="5" name="Rectangle 4" hidden="1">
            <a:extLst>
              <a:ext uri="{FF2B5EF4-FFF2-40B4-BE49-F238E27FC236}">
                <a16:creationId xmlns:a16="http://schemas.microsoft.com/office/drawing/2014/main" id="{00000000-0008-0000-0200-000005000000}"/>
              </a:ext>
            </a:extLst>
          </xdr:cNvPr>
          <xdr:cNvSpPr/>
        </xdr:nvSpPr>
        <xdr:spPr>
          <a:xfrm>
            <a:off x="4008827" y="2879139"/>
            <a:ext cx="3690991" cy="762924"/>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endParaRPr lang="de-DE" sz="1800">
              <a:solidFill>
                <a:sysClr val="windowText" lastClr="000000"/>
              </a:solidFill>
            </a:endParaRPr>
          </a:p>
        </xdr:txBody>
      </xdr:sp>
      <xdr:sp macro="[1]!GOTOBID" textlink="">
        <xdr:nvSpPr>
          <xdr:cNvPr id="6" name="Rectangle 5" hidden="1">
            <a:extLst>
              <a:ext uri="{FF2B5EF4-FFF2-40B4-BE49-F238E27FC236}">
                <a16:creationId xmlns:a16="http://schemas.microsoft.com/office/drawing/2014/main" id="{00000000-0008-0000-0200-000006000000}"/>
              </a:ext>
            </a:extLst>
          </xdr:cNvPr>
          <xdr:cNvSpPr/>
        </xdr:nvSpPr>
        <xdr:spPr>
          <a:xfrm>
            <a:off x="4013598" y="3673042"/>
            <a:ext cx="3690688" cy="762261"/>
          </a:xfrm>
          <a:prstGeom prst="rect">
            <a:avLst/>
          </a:prstGeom>
          <a:solidFill>
            <a:schemeClr val="accent2">
              <a:lumMod val="75000"/>
            </a:schemeClr>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endParaRPr lang="de-DE" sz="1800"/>
          </a:p>
        </xdr:txBody>
      </xdr:sp>
      <xdr:pic>
        <xdr:nvPicPr>
          <xdr:cNvPr id="7" name="Graphic 6" descr="Document with solid fill" hidden="1">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72319" y="2911376"/>
            <a:ext cx="759562" cy="679179"/>
          </a:xfrm>
          <a:prstGeom prst="rect">
            <a:avLst/>
          </a:prstGeom>
        </xdr:spPr>
      </xdr:pic>
      <xdr:pic>
        <xdr:nvPicPr>
          <xdr:cNvPr id="8" name="Graphic 7" descr="Document with solid fill" hidden="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81845" y="3669712"/>
            <a:ext cx="759562" cy="679178"/>
          </a:xfrm>
          <a:prstGeom prst="rect">
            <a:avLst/>
          </a:prstGeom>
        </xdr:spPr>
      </xdr:pic>
      <xdr:sp macro="[1]!show_LLC4Files" textlink="">
        <xdr:nvSpPr>
          <xdr:cNvPr id="9" name="TextBox 8" hidden="1">
            <a:extLst>
              <a:ext uri="{FF2B5EF4-FFF2-40B4-BE49-F238E27FC236}">
                <a16:creationId xmlns:a16="http://schemas.microsoft.com/office/drawing/2014/main" id="{00000000-0008-0000-0200-000009000000}"/>
              </a:ext>
            </a:extLst>
          </xdr:cNvPr>
          <xdr:cNvSpPr txBox="1"/>
        </xdr:nvSpPr>
        <xdr:spPr>
          <a:xfrm>
            <a:off x="4670914" y="3088298"/>
            <a:ext cx="2572483" cy="368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de-DE" sz="1400">
                <a:solidFill>
                  <a:schemeClr val="dk1"/>
                </a:solidFill>
                <a:effectLst/>
                <a:latin typeface="+mn-lt"/>
                <a:ea typeface="+mn-ea"/>
                <a:cs typeface="+mn-cs"/>
              </a:rPr>
              <a:t>LLC</a:t>
            </a:r>
            <a:r>
              <a:rPr lang="de-DE" sz="1400" baseline="0">
                <a:solidFill>
                  <a:schemeClr val="dk1"/>
                </a:solidFill>
                <a:effectLst/>
                <a:latin typeface="+mn-lt"/>
                <a:ea typeface="+mn-ea"/>
                <a:cs typeface="+mn-cs"/>
              </a:rPr>
              <a:t> Cost Calculation Tool</a:t>
            </a:r>
            <a:endParaRPr lang="de-DE" sz="1400">
              <a:effectLst/>
            </a:endParaRPr>
          </a:p>
          <a:p>
            <a:endParaRPr lang="de-DE" sz="1100"/>
          </a:p>
        </xdr:txBody>
      </xdr:sp>
      <xdr:sp macro="[1]!GOTOBID" textlink="">
        <xdr:nvSpPr>
          <xdr:cNvPr id="10" name="TextBox 9" hidden="1">
            <a:extLst>
              <a:ext uri="{FF2B5EF4-FFF2-40B4-BE49-F238E27FC236}">
                <a16:creationId xmlns:a16="http://schemas.microsoft.com/office/drawing/2014/main" id="{00000000-0008-0000-0200-00000A000000}"/>
              </a:ext>
            </a:extLst>
          </xdr:cNvPr>
          <xdr:cNvSpPr txBox="1"/>
        </xdr:nvSpPr>
        <xdr:spPr>
          <a:xfrm>
            <a:off x="4489938" y="3786189"/>
            <a:ext cx="3135923" cy="539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400">
                <a:solidFill>
                  <a:schemeClr val="dk1"/>
                </a:solidFill>
                <a:effectLst/>
                <a:latin typeface="+mn-lt"/>
                <a:ea typeface="+mn-ea"/>
                <a:cs typeface="+mn-cs"/>
              </a:rPr>
              <a:t>Bid_and_Pricing_Form_Electr.Inst _TEMPLATE</a:t>
            </a:r>
            <a:endParaRPr lang="de-DE" sz="1400">
              <a:effectLst/>
            </a:endParaRPr>
          </a:p>
          <a:p>
            <a:endParaRPr lang="de-DE" sz="1100"/>
          </a:p>
        </xdr:txBody>
      </xdr:sp>
    </xdr:grpSp>
    <xdr:clientData/>
  </xdr:twoCellAnchor>
  <xdr:twoCellAnchor editAs="absolute">
    <xdr:from>
      <xdr:col>2</xdr:col>
      <xdr:colOff>211755</xdr:colOff>
      <xdr:row>1</xdr:row>
      <xdr:rowOff>128874</xdr:rowOff>
    </xdr:from>
    <xdr:to>
      <xdr:col>2</xdr:col>
      <xdr:colOff>2911687</xdr:colOff>
      <xdr:row>6</xdr:row>
      <xdr:rowOff>193124</xdr:rowOff>
    </xdr:to>
    <xdr:grpSp>
      <xdr:nvGrpSpPr>
        <xdr:cNvPr id="11" name="LLC4Files" hidden="1">
          <a:extLst>
            <a:ext uri="{FF2B5EF4-FFF2-40B4-BE49-F238E27FC236}">
              <a16:creationId xmlns:a16="http://schemas.microsoft.com/office/drawing/2014/main" id="{00000000-0008-0000-0200-00000B000000}"/>
            </a:ext>
          </a:extLst>
        </xdr:cNvPr>
        <xdr:cNvGrpSpPr/>
      </xdr:nvGrpSpPr>
      <xdr:grpSpPr>
        <a:xfrm>
          <a:off x="3488355" y="420974"/>
          <a:ext cx="2699932" cy="1156450"/>
          <a:chOff x="7965546" y="3061383"/>
          <a:chExt cx="2661423" cy="1135479"/>
        </a:xfrm>
      </xdr:grpSpPr>
      <xdr:sp macro="" textlink="">
        <xdr:nvSpPr>
          <xdr:cNvPr id="12" name="Rectangle 11" hidden="1">
            <a:extLst>
              <a:ext uri="{FF2B5EF4-FFF2-40B4-BE49-F238E27FC236}">
                <a16:creationId xmlns:a16="http://schemas.microsoft.com/office/drawing/2014/main" id="{00000000-0008-0000-0200-00000C000000}"/>
              </a:ext>
            </a:extLst>
          </xdr:cNvPr>
          <xdr:cNvSpPr/>
        </xdr:nvSpPr>
        <xdr:spPr>
          <a:xfrm>
            <a:off x="7965546" y="3061383"/>
            <a:ext cx="2661423" cy="1135479"/>
          </a:xfrm>
          <a:prstGeom prst="rect">
            <a:avLst/>
          </a:prstGeom>
          <a:solidFill>
            <a:schemeClr val="bg1">
              <a:lumMod val="8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de-DE" sz="1100"/>
          </a:p>
        </xdr:txBody>
      </xdr:sp>
      <xdr:sp macro="[1]!GOTOQty" textlink="">
        <xdr:nvSpPr>
          <xdr:cNvPr id="13" name="Rectangle 12" hidden="1">
            <a:extLst>
              <a:ext uri="{FF2B5EF4-FFF2-40B4-BE49-F238E27FC236}">
                <a16:creationId xmlns:a16="http://schemas.microsoft.com/office/drawing/2014/main" id="{00000000-0008-0000-0200-00000D000000}"/>
              </a:ext>
            </a:extLst>
          </xdr:cNvPr>
          <xdr:cNvSpPr/>
        </xdr:nvSpPr>
        <xdr:spPr>
          <a:xfrm>
            <a:off x="8000060" y="3085064"/>
            <a:ext cx="2574556"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PLC_Material_Qty_TEMPLATE</a:t>
            </a:r>
          </a:p>
        </xdr:txBody>
      </xdr:sp>
      <xdr:sp macro="[1]!GOTOCable" textlink="">
        <xdr:nvSpPr>
          <xdr:cNvPr id="14" name="Rectangle 13" hidden="1">
            <a:extLst>
              <a:ext uri="{FF2B5EF4-FFF2-40B4-BE49-F238E27FC236}">
                <a16:creationId xmlns:a16="http://schemas.microsoft.com/office/drawing/2014/main" id="{00000000-0008-0000-0200-00000E000000}"/>
              </a:ext>
            </a:extLst>
          </xdr:cNvPr>
          <xdr:cNvSpPr/>
        </xdr:nvSpPr>
        <xdr:spPr>
          <a:xfrm>
            <a:off x="8000061" y="3356222"/>
            <a:ext cx="2568293"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Cable_Estimate_TEMPLATE</a:t>
            </a:r>
          </a:p>
        </xdr:txBody>
      </xdr:sp>
      <xdr:sp macro="[1]!GOTOCableContainment" textlink="">
        <xdr:nvSpPr>
          <xdr:cNvPr id="15" name="Rectangle 14" hidden="1">
            <a:extLst>
              <a:ext uri="{FF2B5EF4-FFF2-40B4-BE49-F238E27FC236}">
                <a16:creationId xmlns:a16="http://schemas.microsoft.com/office/drawing/2014/main" id="{00000000-0008-0000-0200-00000F000000}"/>
              </a:ext>
            </a:extLst>
          </xdr:cNvPr>
          <xdr:cNvSpPr/>
        </xdr:nvSpPr>
        <xdr:spPr>
          <a:xfrm>
            <a:off x="8000061" y="3627380"/>
            <a:ext cx="2573819"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Cable_Containment_Estimate_TEMPLATE</a:t>
            </a:r>
          </a:p>
        </xdr:txBody>
      </xdr:sp>
      <xdr:sp macro="[1]!GOTOCost" textlink="">
        <xdr:nvSpPr>
          <xdr:cNvPr id="16" name="Rectangle 15" hidden="1">
            <a:extLst>
              <a:ext uri="{FF2B5EF4-FFF2-40B4-BE49-F238E27FC236}">
                <a16:creationId xmlns:a16="http://schemas.microsoft.com/office/drawing/2014/main" id="{00000000-0008-0000-0200-000010000000}"/>
              </a:ext>
            </a:extLst>
          </xdr:cNvPr>
          <xdr:cNvSpPr/>
        </xdr:nvSpPr>
        <xdr:spPr>
          <a:xfrm>
            <a:off x="8000061" y="3898539"/>
            <a:ext cx="2580015"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PLC_Material_Costs_TEMPLATE</a:t>
            </a:r>
          </a:p>
        </xdr:txBody>
      </xdr:sp>
    </xdr:grpSp>
    <xdr:clientData/>
  </xdr:twoCellAnchor>
  <xdr:twoCellAnchor>
    <xdr:from>
      <xdr:col>15</xdr:col>
      <xdr:colOff>393700</xdr:colOff>
      <xdr:row>2</xdr:row>
      <xdr:rowOff>139700</xdr:rowOff>
    </xdr:from>
    <xdr:to>
      <xdr:col>16</xdr:col>
      <xdr:colOff>607785</xdr:colOff>
      <xdr:row>5</xdr:row>
      <xdr:rowOff>39914</xdr:rowOff>
    </xdr:to>
    <xdr:sp macro="[0]!GOToICSBID" textlink="">
      <xdr:nvSpPr>
        <xdr:cNvPr id="17" name="Arrow1">
          <a:extLst>
            <a:ext uri="{FF2B5EF4-FFF2-40B4-BE49-F238E27FC236}">
              <a16:creationId xmlns:a16="http://schemas.microsoft.com/office/drawing/2014/main" id="{00000000-0008-0000-0200-000011000000}"/>
            </a:ext>
          </a:extLst>
        </xdr:cNvPr>
        <xdr:cNvSpPr/>
      </xdr:nvSpPr>
      <xdr:spPr>
        <a:xfrm>
          <a:off x="19939000" y="622300"/>
          <a:ext cx="1077685" cy="59871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Next Step</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822960</xdr:colOff>
          <xdr:row>1</xdr:row>
          <xdr:rowOff>99060</xdr:rowOff>
        </xdr:from>
        <xdr:to>
          <xdr:col>10</xdr:col>
          <xdr:colOff>259080</xdr:colOff>
          <xdr:row>3</xdr:row>
          <xdr:rowOff>114300</xdr:rowOff>
        </xdr:to>
        <xdr:sp macro="" textlink="">
          <xdr:nvSpPr>
            <xdr:cNvPr id="13313" name="cmd_get_QTY_ICS"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830580</xdr:colOff>
          <xdr:row>0</xdr:row>
          <xdr:rowOff>38100</xdr:rowOff>
        </xdr:from>
        <xdr:to>
          <xdr:col>10</xdr:col>
          <xdr:colOff>236220</xdr:colOff>
          <xdr:row>1</xdr:row>
          <xdr:rowOff>68580</xdr:rowOff>
        </xdr:to>
        <xdr:sp macro="" textlink="">
          <xdr:nvSpPr>
            <xdr:cNvPr id="13314" name="cmd_clear_ICS"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822960</xdr:colOff>
          <xdr:row>4</xdr:row>
          <xdr:rowOff>22860</xdr:rowOff>
        </xdr:from>
        <xdr:to>
          <xdr:col>10</xdr:col>
          <xdr:colOff>259080</xdr:colOff>
          <xdr:row>6</xdr:row>
          <xdr:rowOff>175260</xdr:rowOff>
        </xdr:to>
        <xdr:sp macro="" textlink="">
          <xdr:nvSpPr>
            <xdr:cNvPr id="13347" name="cmd_save_as" hidden="1">
              <a:extLst>
                <a:ext uri="{63B3BB69-23CF-44E3-9099-C40C66FF867C}">
                  <a14:compatExt spid="_x0000_s13347"/>
                </a:ext>
                <a:ext uri="{FF2B5EF4-FFF2-40B4-BE49-F238E27FC236}">
                  <a16:creationId xmlns:a16="http://schemas.microsoft.com/office/drawing/2014/main" id="{00000000-0008-0000-03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457200</xdr:colOff>
      <xdr:row>0</xdr:row>
      <xdr:rowOff>457200</xdr:rowOff>
    </xdr:to>
    <xdr:pic macro="[1]!Hamburger">
      <xdr:nvPicPr>
        <xdr:cNvPr id="2" name="Ham_MPN_Belt" descr="Hamburger Menu Icon with solid fill">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457200" cy="457200"/>
        </a:xfrm>
        <a:prstGeom prst="rect">
          <a:avLst/>
        </a:prstGeom>
      </xdr:spPr>
    </xdr:pic>
    <xdr:clientData/>
  </xdr:twoCellAnchor>
  <xdr:twoCellAnchor editAs="absolute">
    <xdr:from>
      <xdr:col>0</xdr:col>
      <xdr:colOff>53112</xdr:colOff>
      <xdr:row>0</xdr:row>
      <xdr:rowOff>435378</xdr:rowOff>
    </xdr:from>
    <xdr:to>
      <xdr:col>2</xdr:col>
      <xdr:colOff>131705</xdr:colOff>
      <xdr:row>8</xdr:row>
      <xdr:rowOff>112693</xdr:rowOff>
    </xdr:to>
    <xdr:grpSp>
      <xdr:nvGrpSpPr>
        <xdr:cNvPr id="3" name="Navigation_NEW" hidden="1">
          <a:extLst>
            <a:ext uri="{FF2B5EF4-FFF2-40B4-BE49-F238E27FC236}">
              <a16:creationId xmlns:a16="http://schemas.microsoft.com/office/drawing/2014/main" id="{00000000-0008-0000-0300-000003000000}"/>
            </a:ext>
          </a:extLst>
        </xdr:cNvPr>
        <xdr:cNvGrpSpPr/>
      </xdr:nvGrpSpPr>
      <xdr:grpSpPr>
        <a:xfrm>
          <a:off x="53112" y="435378"/>
          <a:ext cx="3393293" cy="1683915"/>
          <a:chOff x="3972319" y="2842324"/>
          <a:chExt cx="3757747" cy="1635891"/>
        </a:xfrm>
      </xdr:grpSpPr>
      <xdr:sp macro="" textlink="">
        <xdr:nvSpPr>
          <xdr:cNvPr id="4" name="Rectangle 3" hidden="1">
            <a:extLst>
              <a:ext uri="{FF2B5EF4-FFF2-40B4-BE49-F238E27FC236}">
                <a16:creationId xmlns:a16="http://schemas.microsoft.com/office/drawing/2014/main" id="{00000000-0008-0000-0300-000004000000}"/>
              </a:ext>
            </a:extLst>
          </xdr:cNvPr>
          <xdr:cNvSpPr/>
        </xdr:nvSpPr>
        <xdr:spPr>
          <a:xfrm>
            <a:off x="3989557" y="2842324"/>
            <a:ext cx="3740509" cy="1635891"/>
          </a:xfrm>
          <a:prstGeom prst="rect">
            <a:avLst/>
          </a:prstGeom>
          <a:solidFill>
            <a:schemeClr val="bg1">
              <a:lumMod val="8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de-DE" sz="1100"/>
          </a:p>
        </xdr:txBody>
      </xdr:sp>
      <xdr:sp macro="[1]!show_LLC4Files" textlink="">
        <xdr:nvSpPr>
          <xdr:cNvPr id="5" name="Rectangle 4" hidden="1">
            <a:extLst>
              <a:ext uri="{FF2B5EF4-FFF2-40B4-BE49-F238E27FC236}">
                <a16:creationId xmlns:a16="http://schemas.microsoft.com/office/drawing/2014/main" id="{00000000-0008-0000-0300-000005000000}"/>
              </a:ext>
            </a:extLst>
          </xdr:cNvPr>
          <xdr:cNvSpPr/>
        </xdr:nvSpPr>
        <xdr:spPr>
          <a:xfrm>
            <a:off x="4008827" y="2879139"/>
            <a:ext cx="3690991" cy="762924"/>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endParaRPr lang="de-DE" sz="1800">
              <a:solidFill>
                <a:sysClr val="windowText" lastClr="000000"/>
              </a:solidFill>
            </a:endParaRPr>
          </a:p>
        </xdr:txBody>
      </xdr:sp>
      <xdr:sp macro="[1]!GOTOBID" textlink="">
        <xdr:nvSpPr>
          <xdr:cNvPr id="6" name="Rectangle 5" hidden="1">
            <a:extLst>
              <a:ext uri="{FF2B5EF4-FFF2-40B4-BE49-F238E27FC236}">
                <a16:creationId xmlns:a16="http://schemas.microsoft.com/office/drawing/2014/main" id="{00000000-0008-0000-0300-000006000000}"/>
              </a:ext>
            </a:extLst>
          </xdr:cNvPr>
          <xdr:cNvSpPr/>
        </xdr:nvSpPr>
        <xdr:spPr>
          <a:xfrm>
            <a:off x="4013598" y="3673042"/>
            <a:ext cx="3690688" cy="762261"/>
          </a:xfrm>
          <a:prstGeom prst="rect">
            <a:avLst/>
          </a:prstGeom>
          <a:solidFill>
            <a:schemeClr val="accent2">
              <a:lumMod val="75000"/>
            </a:schemeClr>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endParaRPr lang="de-DE" sz="1800"/>
          </a:p>
        </xdr:txBody>
      </xdr:sp>
      <xdr:pic>
        <xdr:nvPicPr>
          <xdr:cNvPr id="7" name="Graphic 6" descr="Document with solid fill" hidden="1">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72319" y="2911376"/>
            <a:ext cx="759562" cy="679179"/>
          </a:xfrm>
          <a:prstGeom prst="rect">
            <a:avLst/>
          </a:prstGeom>
        </xdr:spPr>
      </xdr:pic>
      <xdr:pic>
        <xdr:nvPicPr>
          <xdr:cNvPr id="8" name="Graphic 7" descr="Document with solid fill" hidden="1">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81845" y="3669712"/>
            <a:ext cx="759562" cy="679178"/>
          </a:xfrm>
          <a:prstGeom prst="rect">
            <a:avLst/>
          </a:prstGeom>
        </xdr:spPr>
      </xdr:pic>
      <xdr:sp macro="[1]!show_LLC4Files" textlink="">
        <xdr:nvSpPr>
          <xdr:cNvPr id="9" name="TextBox 8" hidden="1">
            <a:extLst>
              <a:ext uri="{FF2B5EF4-FFF2-40B4-BE49-F238E27FC236}">
                <a16:creationId xmlns:a16="http://schemas.microsoft.com/office/drawing/2014/main" id="{00000000-0008-0000-0300-000009000000}"/>
              </a:ext>
            </a:extLst>
          </xdr:cNvPr>
          <xdr:cNvSpPr txBox="1"/>
        </xdr:nvSpPr>
        <xdr:spPr>
          <a:xfrm>
            <a:off x="4670914" y="3088298"/>
            <a:ext cx="2572483" cy="368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de-DE" sz="1400">
                <a:solidFill>
                  <a:schemeClr val="dk1"/>
                </a:solidFill>
                <a:effectLst/>
                <a:latin typeface="+mn-lt"/>
                <a:ea typeface="+mn-ea"/>
                <a:cs typeface="+mn-cs"/>
              </a:rPr>
              <a:t>LLC</a:t>
            </a:r>
            <a:r>
              <a:rPr lang="de-DE" sz="1400" baseline="0">
                <a:solidFill>
                  <a:schemeClr val="dk1"/>
                </a:solidFill>
                <a:effectLst/>
                <a:latin typeface="+mn-lt"/>
                <a:ea typeface="+mn-ea"/>
                <a:cs typeface="+mn-cs"/>
              </a:rPr>
              <a:t> Cost Calculation Tool</a:t>
            </a:r>
            <a:endParaRPr lang="de-DE" sz="1400">
              <a:effectLst/>
            </a:endParaRPr>
          </a:p>
          <a:p>
            <a:endParaRPr lang="de-DE" sz="1100"/>
          </a:p>
        </xdr:txBody>
      </xdr:sp>
      <xdr:sp macro="[1]!GOTOBID" textlink="">
        <xdr:nvSpPr>
          <xdr:cNvPr id="10" name="TextBox 9" hidden="1">
            <a:extLst>
              <a:ext uri="{FF2B5EF4-FFF2-40B4-BE49-F238E27FC236}">
                <a16:creationId xmlns:a16="http://schemas.microsoft.com/office/drawing/2014/main" id="{00000000-0008-0000-0300-00000A000000}"/>
              </a:ext>
            </a:extLst>
          </xdr:cNvPr>
          <xdr:cNvSpPr txBox="1"/>
        </xdr:nvSpPr>
        <xdr:spPr>
          <a:xfrm>
            <a:off x="4489938" y="3786189"/>
            <a:ext cx="3135923" cy="539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400">
                <a:solidFill>
                  <a:schemeClr val="dk1"/>
                </a:solidFill>
                <a:effectLst/>
                <a:latin typeface="+mn-lt"/>
                <a:ea typeface="+mn-ea"/>
                <a:cs typeface="+mn-cs"/>
              </a:rPr>
              <a:t>Bid_and_Pricing_Form_Electr.Inst _TEMPLATE</a:t>
            </a:r>
            <a:endParaRPr lang="de-DE" sz="1400">
              <a:effectLst/>
            </a:endParaRPr>
          </a:p>
          <a:p>
            <a:endParaRPr lang="de-DE" sz="1100"/>
          </a:p>
        </xdr:txBody>
      </xdr:sp>
    </xdr:grpSp>
    <xdr:clientData/>
  </xdr:twoCellAnchor>
  <xdr:twoCellAnchor editAs="absolute">
    <xdr:from>
      <xdr:col>2</xdr:col>
      <xdr:colOff>148708</xdr:colOff>
      <xdr:row>0</xdr:row>
      <xdr:rowOff>453178</xdr:rowOff>
    </xdr:from>
    <xdr:to>
      <xdr:col>2</xdr:col>
      <xdr:colOff>2835940</xdr:colOff>
      <xdr:row>6</xdr:row>
      <xdr:rowOff>72475</xdr:rowOff>
    </xdr:to>
    <xdr:grpSp>
      <xdr:nvGrpSpPr>
        <xdr:cNvPr id="11" name="LLC4Files" hidden="1">
          <a:extLst>
            <a:ext uri="{FF2B5EF4-FFF2-40B4-BE49-F238E27FC236}">
              <a16:creationId xmlns:a16="http://schemas.microsoft.com/office/drawing/2014/main" id="{00000000-0008-0000-0300-00000B000000}"/>
            </a:ext>
          </a:extLst>
        </xdr:cNvPr>
        <xdr:cNvGrpSpPr/>
      </xdr:nvGrpSpPr>
      <xdr:grpSpPr>
        <a:xfrm>
          <a:off x="3463408" y="453178"/>
          <a:ext cx="2687232" cy="1168697"/>
          <a:chOff x="7965546" y="3061383"/>
          <a:chExt cx="2661423" cy="1135479"/>
        </a:xfrm>
      </xdr:grpSpPr>
      <xdr:sp macro="" textlink="">
        <xdr:nvSpPr>
          <xdr:cNvPr id="12" name="Rectangle 11" hidden="1">
            <a:extLst>
              <a:ext uri="{FF2B5EF4-FFF2-40B4-BE49-F238E27FC236}">
                <a16:creationId xmlns:a16="http://schemas.microsoft.com/office/drawing/2014/main" id="{00000000-0008-0000-0300-00000C000000}"/>
              </a:ext>
            </a:extLst>
          </xdr:cNvPr>
          <xdr:cNvSpPr/>
        </xdr:nvSpPr>
        <xdr:spPr>
          <a:xfrm>
            <a:off x="7965546" y="3061383"/>
            <a:ext cx="2661423" cy="1135479"/>
          </a:xfrm>
          <a:prstGeom prst="rect">
            <a:avLst/>
          </a:prstGeom>
          <a:solidFill>
            <a:schemeClr val="bg1">
              <a:lumMod val="8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de-DE" sz="1100"/>
          </a:p>
        </xdr:txBody>
      </xdr:sp>
      <xdr:sp macro="[1]!GOTOQty" textlink="">
        <xdr:nvSpPr>
          <xdr:cNvPr id="13" name="Rectangle 12" hidden="1">
            <a:extLst>
              <a:ext uri="{FF2B5EF4-FFF2-40B4-BE49-F238E27FC236}">
                <a16:creationId xmlns:a16="http://schemas.microsoft.com/office/drawing/2014/main" id="{00000000-0008-0000-0300-00000D000000}"/>
              </a:ext>
            </a:extLst>
          </xdr:cNvPr>
          <xdr:cNvSpPr/>
        </xdr:nvSpPr>
        <xdr:spPr>
          <a:xfrm>
            <a:off x="8000060" y="3085064"/>
            <a:ext cx="2574556"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PLC_Material_Qty_TEMPLATE</a:t>
            </a:r>
          </a:p>
        </xdr:txBody>
      </xdr:sp>
      <xdr:sp macro="[1]!GOTOCable" textlink="">
        <xdr:nvSpPr>
          <xdr:cNvPr id="14" name="Rectangle 13" hidden="1">
            <a:extLst>
              <a:ext uri="{FF2B5EF4-FFF2-40B4-BE49-F238E27FC236}">
                <a16:creationId xmlns:a16="http://schemas.microsoft.com/office/drawing/2014/main" id="{00000000-0008-0000-0300-00000E000000}"/>
              </a:ext>
            </a:extLst>
          </xdr:cNvPr>
          <xdr:cNvSpPr/>
        </xdr:nvSpPr>
        <xdr:spPr>
          <a:xfrm>
            <a:off x="8000061" y="3356222"/>
            <a:ext cx="2568293"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Cable_Estimate_TEMPLATE</a:t>
            </a:r>
          </a:p>
        </xdr:txBody>
      </xdr:sp>
      <xdr:sp macro="[1]!GOTOCableContainment" textlink="">
        <xdr:nvSpPr>
          <xdr:cNvPr id="15" name="Rectangle 14" hidden="1">
            <a:extLst>
              <a:ext uri="{FF2B5EF4-FFF2-40B4-BE49-F238E27FC236}">
                <a16:creationId xmlns:a16="http://schemas.microsoft.com/office/drawing/2014/main" id="{00000000-0008-0000-0300-00000F000000}"/>
              </a:ext>
            </a:extLst>
          </xdr:cNvPr>
          <xdr:cNvSpPr/>
        </xdr:nvSpPr>
        <xdr:spPr>
          <a:xfrm>
            <a:off x="8000061" y="3627380"/>
            <a:ext cx="2573819"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Cable_Containment_Estimate_TEMPLATE</a:t>
            </a:r>
          </a:p>
        </xdr:txBody>
      </xdr:sp>
      <xdr:sp macro="[1]!GOTOCost" textlink="">
        <xdr:nvSpPr>
          <xdr:cNvPr id="16" name="Rectangle 15" hidden="1">
            <a:extLst>
              <a:ext uri="{FF2B5EF4-FFF2-40B4-BE49-F238E27FC236}">
                <a16:creationId xmlns:a16="http://schemas.microsoft.com/office/drawing/2014/main" id="{00000000-0008-0000-0300-000010000000}"/>
              </a:ext>
            </a:extLst>
          </xdr:cNvPr>
          <xdr:cNvSpPr/>
        </xdr:nvSpPr>
        <xdr:spPr>
          <a:xfrm>
            <a:off x="8000061" y="3898539"/>
            <a:ext cx="2580015" cy="246691"/>
          </a:xfrm>
          <a:prstGeom prst="rect">
            <a:avLst/>
          </a:prstGeom>
          <a:solidFill>
            <a:srgbClr val="92D05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de-DE" sz="1100">
                <a:solidFill>
                  <a:sysClr val="windowText" lastClr="000000"/>
                </a:solidFill>
              </a:rPr>
              <a:t>PLC_Material_Costs_TEMPLATE</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HESSENBOX-DA\LLC%20Material%20Costing%20Tool\PLC_Material_Costs_TEMPLATE.xlsm" TargetMode="External"/><Relationship Id="rId1" Type="http://schemas.openxmlformats.org/officeDocument/2006/relationships/externalLinkPath" Target="PLC_Material_Costs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terial_PN"/>
      <sheetName val="Material_PN_Belt"/>
      <sheetName val="Material_PN_ICS"/>
      <sheetName val="BCT_Belt"/>
      <sheetName val="BCT_ICS"/>
      <sheetName val="Sheet1"/>
      <sheetName val="Material_Price"/>
      <sheetName val="Panels_Smart_Devices"/>
      <sheetName val="Controls Architecture"/>
    </sheetNames>
    <definedNames>
      <definedName name="GOTOBID"/>
      <definedName name="GOTOCable"/>
      <definedName name="GOTOCableContainment"/>
      <definedName name="GOTOCost"/>
      <definedName name="GOTOQty"/>
      <definedName name="Hamburger"/>
      <definedName name="show_LLC4Files"/>
    </defined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7.emf"/><Relationship Id="rId10" Type="http://schemas.openxmlformats.org/officeDocument/2006/relationships/comments" Target="../comments3.xml"/><Relationship Id="rId4" Type="http://schemas.openxmlformats.org/officeDocument/2006/relationships/control" Target="../activeX/activeX3.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213D1-DA1D-4723-BF3D-A98907EB8CEF}">
  <sheetPr codeName="Sheet1">
    <tabColor rgb="FF92D050"/>
    <pageSetUpPr fitToPage="1"/>
  </sheetPr>
  <dimension ref="B1:S56"/>
  <sheetViews>
    <sheetView zoomScaleNormal="100" workbookViewId="0">
      <selection activeCell="I14" sqref="I14"/>
    </sheetView>
  </sheetViews>
  <sheetFormatPr defaultColWidth="9.33203125" defaultRowHeight="14.4" x14ac:dyDescent="0.3"/>
  <cols>
    <col min="1" max="1" width="1.6640625" customWidth="1"/>
    <col min="2" max="2" width="17.33203125" style="95" customWidth="1"/>
    <col min="3" max="3" width="56.33203125" style="95" customWidth="1"/>
    <col min="4" max="4" width="15.6640625" style="95" customWidth="1"/>
    <col min="5" max="5" width="20.6640625" style="96" customWidth="1"/>
    <col min="6" max="6" width="15.6640625" customWidth="1"/>
    <col min="7" max="7" width="15.6640625" style="90" customWidth="1"/>
  </cols>
  <sheetData>
    <row r="1" spans="2:8" s="23" customFormat="1" ht="6.75" customHeight="1" thickBot="1" x14ac:dyDescent="0.35">
      <c r="B1" s="83"/>
      <c r="C1" s="83"/>
      <c r="D1" s="84"/>
      <c r="E1" s="85"/>
      <c r="G1" s="86"/>
    </row>
    <row r="2" spans="2:8" ht="27" customHeight="1" thickBot="1" x14ac:dyDescent="0.35">
      <c r="B2" s="405" t="s">
        <v>872</v>
      </c>
      <c r="C2" s="406"/>
      <c r="D2" s="406"/>
      <c r="E2" s="406"/>
      <c r="F2" s="406"/>
      <c r="G2" s="407"/>
    </row>
    <row r="3" spans="2:8" ht="24" customHeight="1" thickBot="1" x14ac:dyDescent="0.35">
      <c r="B3" s="402" t="s">
        <v>757</v>
      </c>
      <c r="C3" s="403"/>
      <c r="D3" s="403"/>
      <c r="E3" s="403"/>
      <c r="F3" s="403"/>
      <c r="G3" s="404"/>
      <c r="H3" s="101"/>
    </row>
    <row r="4" spans="2:8" ht="7.95" customHeight="1" thickBot="1" x14ac:dyDescent="0.35">
      <c r="B4"/>
      <c r="C4"/>
      <c r="D4"/>
      <c r="E4"/>
      <c r="G4"/>
    </row>
    <row r="5" spans="2:8" ht="15" customHeight="1" x14ac:dyDescent="0.3">
      <c r="B5" s="355" t="s">
        <v>0</v>
      </c>
      <c r="C5" s="356"/>
      <c r="D5" s="357"/>
      <c r="E5" s="358" t="s">
        <v>1</v>
      </c>
      <c r="F5" s="356"/>
      <c r="G5" s="104"/>
    </row>
    <row r="6" spans="2:8" ht="15" customHeight="1" x14ac:dyDescent="0.3">
      <c r="B6" s="359" t="s">
        <v>2</v>
      </c>
      <c r="C6" s="360"/>
      <c r="D6" s="361"/>
      <c r="E6" s="412" t="s">
        <v>878</v>
      </c>
      <c r="F6" s="413"/>
      <c r="G6" s="105"/>
    </row>
    <row r="7" spans="2:8" ht="15" customHeight="1" x14ac:dyDescent="0.3">
      <c r="B7" s="359" t="s">
        <v>3</v>
      </c>
      <c r="C7" s="362"/>
      <c r="D7" s="361"/>
      <c r="E7" s="408" t="s">
        <v>4</v>
      </c>
      <c r="F7" s="409"/>
      <c r="G7" s="105"/>
    </row>
    <row r="8" spans="2:8" ht="15" customHeight="1" x14ac:dyDescent="0.3">
      <c r="B8" s="359" t="s">
        <v>5</v>
      </c>
      <c r="C8" s="363" t="s">
        <v>6</v>
      </c>
      <c r="D8" s="364"/>
      <c r="E8" s="410" t="s">
        <v>7</v>
      </c>
      <c r="F8" s="411"/>
      <c r="G8" s="105"/>
    </row>
    <row r="9" spans="2:8" ht="15" customHeight="1" x14ac:dyDescent="0.3">
      <c r="B9" s="359" t="s">
        <v>8</v>
      </c>
      <c r="C9" s="363" t="s">
        <v>9</v>
      </c>
      <c r="D9" s="364"/>
      <c r="E9" s="365"/>
      <c r="F9" s="365"/>
      <c r="G9" s="105"/>
    </row>
    <row r="10" spans="2:8" ht="15" customHeight="1" x14ac:dyDescent="0.3">
      <c r="B10" s="359" t="s">
        <v>10</v>
      </c>
      <c r="C10" s="363" t="s">
        <v>11</v>
      </c>
      <c r="D10" s="364"/>
      <c r="E10" s="365"/>
      <c r="F10" s="365"/>
      <c r="G10" s="105"/>
    </row>
    <row r="11" spans="2:8" ht="15" customHeight="1" x14ac:dyDescent="0.3">
      <c r="B11" s="359" t="s">
        <v>12</v>
      </c>
      <c r="C11" s="363" t="s">
        <v>13</v>
      </c>
      <c r="D11" s="364"/>
      <c r="E11" s="365"/>
      <c r="F11" s="365"/>
      <c r="G11" s="105"/>
    </row>
    <row r="12" spans="2:8" ht="15" customHeight="1" x14ac:dyDescent="0.3">
      <c r="B12" s="359" t="s">
        <v>867</v>
      </c>
      <c r="C12" s="362" t="s">
        <v>868</v>
      </c>
      <c r="D12" s="361"/>
      <c r="E12" s="365"/>
      <c r="F12" s="365"/>
      <c r="G12" s="105"/>
    </row>
    <row r="13" spans="2:8" ht="15" customHeight="1" x14ac:dyDescent="0.3">
      <c r="B13" s="359" t="s">
        <v>14</v>
      </c>
      <c r="C13" s="362" t="s">
        <v>764</v>
      </c>
      <c r="D13" s="361"/>
      <c r="E13" s="365"/>
      <c r="F13" s="365"/>
      <c r="G13" s="105"/>
    </row>
    <row r="14" spans="2:8" ht="15" customHeight="1" x14ac:dyDescent="0.3">
      <c r="B14" s="359" t="s">
        <v>15</v>
      </c>
      <c r="C14" s="362" t="s">
        <v>16</v>
      </c>
      <c r="D14" s="361"/>
      <c r="E14" s="365"/>
      <c r="F14" s="365"/>
      <c r="G14" s="105"/>
    </row>
    <row r="15" spans="2:8" ht="15" customHeight="1" x14ac:dyDescent="0.3">
      <c r="B15" s="359" t="s">
        <v>17</v>
      </c>
      <c r="C15" s="362"/>
      <c r="D15" s="361"/>
      <c r="E15" s="365"/>
      <c r="F15" s="365"/>
      <c r="G15" s="105"/>
    </row>
    <row r="16" spans="2:8" ht="27" customHeight="1" x14ac:dyDescent="0.3">
      <c r="B16" s="366" t="s">
        <v>18</v>
      </c>
      <c r="C16" s="367" t="s">
        <v>19</v>
      </c>
      <c r="D16" s="361"/>
      <c r="E16" s="365"/>
      <c r="F16" s="365"/>
      <c r="G16" s="105"/>
    </row>
    <row r="17" spans="2:19" ht="27" customHeight="1" x14ac:dyDescent="0.3">
      <c r="B17" s="368" t="s">
        <v>20</v>
      </c>
      <c r="C17" s="367" t="s">
        <v>21</v>
      </c>
      <c r="D17" s="361"/>
      <c r="E17" s="365"/>
      <c r="F17" s="365"/>
      <c r="G17" s="105"/>
    </row>
    <row r="18" spans="2:19" ht="15" customHeight="1" thickBot="1" x14ac:dyDescent="0.35">
      <c r="B18" s="106"/>
      <c r="C18" s="107"/>
      <c r="D18" s="108"/>
      <c r="E18" s="109"/>
      <c r="F18" s="109"/>
      <c r="G18" s="110"/>
    </row>
    <row r="19" spans="2:19" ht="15.75" customHeight="1" thickBot="1" x14ac:dyDescent="0.35">
      <c r="B19" s="103"/>
      <c r="C19" s="103"/>
      <c r="D19" s="103"/>
      <c r="E19" s="102"/>
      <c r="F19" s="102"/>
      <c r="G19" s="102"/>
      <c r="H19" s="102"/>
      <c r="I19" s="102"/>
      <c r="J19" s="102"/>
      <c r="K19" s="102"/>
      <c r="L19" s="102"/>
      <c r="M19" s="102"/>
      <c r="N19" s="102"/>
      <c r="O19" s="102"/>
      <c r="P19" s="102"/>
      <c r="Q19" s="102"/>
      <c r="R19" s="102"/>
      <c r="S19" s="102"/>
    </row>
    <row r="20" spans="2:19" ht="59.25" customHeight="1" thickBot="1" x14ac:dyDescent="0.35">
      <c r="B20" s="428" t="s">
        <v>877</v>
      </c>
      <c r="C20" s="429"/>
      <c r="D20" s="429"/>
      <c r="E20" s="429"/>
      <c r="F20" s="429"/>
      <c r="G20" s="430"/>
      <c r="H20" s="175"/>
    </row>
    <row r="21" spans="2:19" s="23" customFormat="1" ht="15.75" customHeight="1" x14ac:dyDescent="0.25">
      <c r="B21" s="83"/>
      <c r="C21" s="31"/>
      <c r="D21" s="31"/>
      <c r="E21" s="56"/>
    </row>
    <row r="22" spans="2:19" s="23" customFormat="1" thickBot="1" x14ac:dyDescent="0.3">
      <c r="B22" s="83"/>
      <c r="C22" s="425"/>
      <c r="D22" s="425"/>
      <c r="G22" s="86"/>
    </row>
    <row r="23" spans="2:19" s="88" customFormat="1" thickBot="1" x14ac:dyDescent="0.3">
      <c r="B23" s="94" t="s">
        <v>23</v>
      </c>
      <c r="C23" s="426" t="s">
        <v>24</v>
      </c>
      <c r="D23" s="427"/>
      <c r="E23" s="354" t="s">
        <v>22</v>
      </c>
      <c r="G23" s="89"/>
    </row>
    <row r="24" spans="2:19" s="88" customFormat="1" ht="30" customHeight="1" thickBot="1" x14ac:dyDescent="0.3">
      <c r="B24" s="34">
        <v>1</v>
      </c>
      <c r="C24" s="418" t="s">
        <v>25</v>
      </c>
      <c r="D24" s="419"/>
      <c r="E24" s="325">
        <v>0</v>
      </c>
      <c r="F24" s="100"/>
      <c r="G24" s="89"/>
    </row>
    <row r="25" spans="2:19" s="23" customFormat="1" ht="30" customHeight="1" thickBot="1" x14ac:dyDescent="0.35">
      <c r="B25" s="34">
        <f t="shared" ref="B25:B36" si="0">B24+1</f>
        <v>2</v>
      </c>
      <c r="C25" s="418" t="s">
        <v>26</v>
      </c>
      <c r="D25" s="419"/>
      <c r="E25" s="325">
        <v>0</v>
      </c>
      <c r="G25"/>
    </row>
    <row r="26" spans="2:19" s="23" customFormat="1" ht="30" customHeight="1" thickBot="1" x14ac:dyDescent="0.3">
      <c r="B26" s="34">
        <f t="shared" si="0"/>
        <v>3</v>
      </c>
      <c r="C26" s="418" t="s">
        <v>27</v>
      </c>
      <c r="D26" s="419"/>
      <c r="E26" s="325">
        <v>0</v>
      </c>
      <c r="F26" s="29" t="s">
        <v>28</v>
      </c>
      <c r="G26" s="29" t="s">
        <v>863</v>
      </c>
      <c r="H26" s="1"/>
    </row>
    <row r="27" spans="2:19" s="23" customFormat="1" ht="30" customHeight="1" thickBot="1" x14ac:dyDescent="0.35">
      <c r="B27" s="34">
        <f t="shared" si="0"/>
        <v>4</v>
      </c>
      <c r="C27" s="422" t="s">
        <v>873</v>
      </c>
      <c r="D27" s="423"/>
      <c r="E27" s="294">
        <f>'Belt Inst. BoQ-E'!L318</f>
        <v>0</v>
      </c>
      <c r="F27" s="326">
        <v>0</v>
      </c>
      <c r="G27" s="295">
        <f>IF(F27&gt;0,E27/F27,0)</f>
        <v>0</v>
      </c>
      <c r="H27" s="99"/>
      <c r="I27"/>
      <c r="J27"/>
      <c r="K27"/>
      <c r="L27"/>
      <c r="M27"/>
    </row>
    <row r="28" spans="2:19" s="23" customFormat="1" ht="30" customHeight="1" thickBot="1" x14ac:dyDescent="0.35">
      <c r="B28" s="34">
        <f t="shared" si="0"/>
        <v>5</v>
      </c>
      <c r="C28" s="422" t="s">
        <v>874</v>
      </c>
      <c r="D28" s="423"/>
      <c r="E28" s="294">
        <f>'ICS Inst. BoQ-E'!L296</f>
        <v>0</v>
      </c>
      <c r="F28" s="326">
        <v>0</v>
      </c>
      <c r="G28" s="295">
        <f>IF(F28&gt;0,E28/F28,0)</f>
        <v>0</v>
      </c>
      <c r="H28" s="99"/>
      <c r="I28"/>
      <c r="J28"/>
      <c r="K28"/>
      <c r="L28"/>
      <c r="M28"/>
    </row>
    <row r="29" spans="2:19" s="23" customFormat="1" ht="30" customHeight="1" thickBot="1" x14ac:dyDescent="0.3">
      <c r="B29" s="34">
        <f t="shared" si="0"/>
        <v>6</v>
      </c>
      <c r="C29" s="418" t="s">
        <v>865</v>
      </c>
      <c r="D29" s="419"/>
      <c r="E29" s="296">
        <f>'Belt Inst. BoQ-E'!K318</f>
        <v>0</v>
      </c>
      <c r="F29" s="8"/>
      <c r="G29" s="86"/>
    </row>
    <row r="30" spans="2:19" s="23" customFormat="1" ht="30" customHeight="1" thickBot="1" x14ac:dyDescent="0.3">
      <c r="B30" s="34">
        <f t="shared" si="0"/>
        <v>7</v>
      </c>
      <c r="C30" s="418" t="s">
        <v>866</v>
      </c>
      <c r="D30" s="419"/>
      <c r="E30" s="296">
        <f>'ICS Inst. BoQ-E'!K296</f>
        <v>0</v>
      </c>
      <c r="F30" s="8"/>
      <c r="G30" s="86"/>
    </row>
    <row r="31" spans="2:19" s="23" customFormat="1" ht="30" customHeight="1" thickBot="1" x14ac:dyDescent="0.35">
      <c r="B31" s="34">
        <f t="shared" si="0"/>
        <v>8</v>
      </c>
      <c r="C31" s="418" t="s">
        <v>864</v>
      </c>
      <c r="D31" s="419"/>
      <c r="E31" s="294">
        <f>SUM(Expenses!G:G)</f>
        <v>0</v>
      </c>
      <c r="F31" s="8"/>
      <c r="G31" s="90"/>
    </row>
    <row r="32" spans="2:19" s="23" customFormat="1" ht="30" customHeight="1" thickBot="1" x14ac:dyDescent="0.35">
      <c r="B32" s="34">
        <f t="shared" si="0"/>
        <v>9</v>
      </c>
      <c r="C32" s="422" t="s">
        <v>29</v>
      </c>
      <c r="D32" s="423"/>
      <c r="E32" s="294">
        <f>SUM('Equipment Rates'!G:G)</f>
        <v>0</v>
      </c>
      <c r="F32" s="8"/>
      <c r="G32" s="90"/>
    </row>
    <row r="33" spans="2:7" s="23" customFormat="1" ht="30" customHeight="1" thickBot="1" x14ac:dyDescent="0.3">
      <c r="B33" s="34">
        <f t="shared" si="0"/>
        <v>10</v>
      </c>
      <c r="C33" s="422" t="s">
        <v>30</v>
      </c>
      <c r="D33" s="423"/>
      <c r="E33" s="325">
        <v>0</v>
      </c>
      <c r="G33" s="86"/>
    </row>
    <row r="34" spans="2:7" s="23" customFormat="1" ht="30" customHeight="1" thickBot="1" x14ac:dyDescent="0.3">
      <c r="B34" s="34">
        <f t="shared" si="0"/>
        <v>11</v>
      </c>
      <c r="C34" s="418" t="s">
        <v>31</v>
      </c>
      <c r="D34" s="419"/>
      <c r="E34" s="325">
        <v>0</v>
      </c>
      <c r="G34" s="86"/>
    </row>
    <row r="35" spans="2:7" s="23" customFormat="1" ht="30" customHeight="1" thickBot="1" x14ac:dyDescent="0.3">
      <c r="B35" s="34">
        <f t="shared" si="0"/>
        <v>12</v>
      </c>
      <c r="C35" s="418" t="s">
        <v>32</v>
      </c>
      <c r="D35" s="419"/>
      <c r="E35" s="325">
        <v>0</v>
      </c>
      <c r="G35" s="86"/>
    </row>
    <row r="36" spans="2:7" s="23" customFormat="1" ht="30" customHeight="1" thickBot="1" x14ac:dyDescent="0.3">
      <c r="B36" s="34">
        <f t="shared" si="0"/>
        <v>13</v>
      </c>
      <c r="C36" s="418" t="s">
        <v>33</v>
      </c>
      <c r="D36" s="419"/>
      <c r="E36" s="325">
        <v>0</v>
      </c>
      <c r="G36" s="86"/>
    </row>
    <row r="37" spans="2:7" s="23" customFormat="1" ht="25.2" customHeight="1" thickBot="1" x14ac:dyDescent="0.3">
      <c r="B37" s="83"/>
      <c r="C37" s="420" t="s">
        <v>876</v>
      </c>
      <c r="D37" s="421"/>
      <c r="E37" s="306">
        <f>SUM(E24:E36)</f>
        <v>0</v>
      </c>
      <c r="G37" s="86"/>
    </row>
    <row r="38" spans="2:7" s="23" customFormat="1" ht="30" customHeight="1" x14ac:dyDescent="0.25">
      <c r="B38" s="83"/>
      <c r="C38" s="91"/>
      <c r="D38" s="91"/>
      <c r="E38" s="92"/>
      <c r="G38" s="86"/>
    </row>
    <row r="39" spans="2:7" s="23" customFormat="1" thickBot="1" x14ac:dyDescent="0.3">
      <c r="B39" s="83"/>
      <c r="C39" s="93" t="s">
        <v>34</v>
      </c>
      <c r="D39" s="83"/>
      <c r="E39" s="85"/>
      <c r="G39" s="86"/>
    </row>
    <row r="40" spans="2:7" s="23" customFormat="1" ht="30" customHeight="1" thickBot="1" x14ac:dyDescent="0.3">
      <c r="B40" s="94" t="s">
        <v>35</v>
      </c>
      <c r="C40" s="422" t="s">
        <v>36</v>
      </c>
      <c r="D40" s="424"/>
      <c r="E40" s="326">
        <v>0</v>
      </c>
      <c r="F40" s="8"/>
      <c r="G40" s="86"/>
    </row>
    <row r="41" spans="2:7" s="23" customFormat="1" ht="30" customHeight="1" thickBot="1" x14ac:dyDescent="0.3">
      <c r="B41" s="94" t="s">
        <v>37</v>
      </c>
      <c r="C41" s="422" t="s">
        <v>38</v>
      </c>
      <c r="D41" s="424"/>
      <c r="E41" s="326">
        <v>0</v>
      </c>
      <c r="F41" s="8"/>
      <c r="G41" s="86"/>
    </row>
    <row r="42" spans="2:7" s="23" customFormat="1" ht="13.8" x14ac:dyDescent="0.25">
      <c r="B42" s="83"/>
      <c r="C42" s="83"/>
      <c r="D42" s="83"/>
      <c r="E42" s="85"/>
      <c r="G42" s="86"/>
    </row>
    <row r="43" spans="2:7" ht="15.75" customHeight="1" thickBot="1" x14ac:dyDescent="0.35"/>
    <row r="44" spans="2:7" s="97" customFormat="1" ht="50.25" customHeight="1" thickBot="1" x14ac:dyDescent="0.35">
      <c r="B44" s="414" t="s">
        <v>39</v>
      </c>
      <c r="C44" s="415"/>
      <c r="D44" s="415"/>
      <c r="E44" s="415"/>
      <c r="F44" s="416"/>
      <c r="G44" s="417"/>
    </row>
    <row r="45" spans="2:7" s="23" customFormat="1" ht="13.8" x14ac:dyDescent="0.25">
      <c r="B45" s="83"/>
      <c r="C45" s="83"/>
      <c r="D45" s="83"/>
      <c r="E45" s="85"/>
      <c r="G45" s="86"/>
    </row>
    <row r="49" spans="2:7" s="23" customFormat="1" ht="13.8" x14ac:dyDescent="0.25">
      <c r="B49" s="31" t="s">
        <v>40</v>
      </c>
      <c r="C49" s="83"/>
      <c r="D49" s="83"/>
      <c r="E49" s="85"/>
      <c r="G49" s="86"/>
    </row>
    <row r="50" spans="2:7" s="23" customFormat="1" thickBot="1" x14ac:dyDescent="0.3">
      <c r="B50" s="31" t="s">
        <v>41</v>
      </c>
      <c r="C50" s="30"/>
      <c r="D50" s="87"/>
      <c r="E50" s="85"/>
      <c r="G50" s="86"/>
    </row>
    <row r="51" spans="2:7" s="23" customFormat="1" ht="13.8" x14ac:dyDescent="0.25">
      <c r="B51" s="31"/>
      <c r="C51" s="31"/>
      <c r="D51" s="31"/>
      <c r="E51" s="85"/>
      <c r="G51" s="86"/>
    </row>
    <row r="52" spans="2:7" s="23" customFormat="1" ht="13.8" x14ac:dyDescent="0.25">
      <c r="B52" s="31" t="s">
        <v>40</v>
      </c>
      <c r="C52" s="31"/>
      <c r="D52" s="31"/>
      <c r="E52" s="56"/>
      <c r="G52" s="86"/>
    </row>
    <row r="53" spans="2:7" s="23" customFormat="1" thickBot="1" x14ac:dyDescent="0.3">
      <c r="B53" s="31" t="s">
        <v>42</v>
      </c>
      <c r="C53" s="30"/>
      <c r="D53" s="87"/>
      <c r="E53" s="98"/>
      <c r="G53" s="86"/>
    </row>
    <row r="54" spans="2:7" s="23" customFormat="1" ht="13.8" x14ac:dyDescent="0.25">
      <c r="B54" s="31"/>
      <c r="C54" s="31" t="s">
        <v>43</v>
      </c>
      <c r="D54" s="31"/>
      <c r="E54" s="56" t="s">
        <v>44</v>
      </c>
      <c r="G54" s="86"/>
    </row>
    <row r="55" spans="2:7" s="23" customFormat="1" ht="13.8" x14ac:dyDescent="0.25">
      <c r="B55" s="83"/>
      <c r="C55" s="31"/>
      <c r="D55" s="31"/>
      <c r="E55" s="56"/>
      <c r="G55" s="86"/>
    </row>
    <row r="56" spans="2:7" s="23" customFormat="1" ht="13.8" x14ac:dyDescent="0.25">
      <c r="B56" s="83"/>
      <c r="C56" s="83"/>
      <c r="D56" s="83"/>
      <c r="E56" s="85"/>
      <c r="G56" s="86"/>
    </row>
  </sheetData>
  <sheetProtection selectLockedCells="1" selectUnlockedCells="1"/>
  <mergeCells count="25">
    <mergeCell ref="C22:D22"/>
    <mergeCell ref="C23:D23"/>
    <mergeCell ref="C24:D24"/>
    <mergeCell ref="B20:G20"/>
    <mergeCell ref="C34:D34"/>
    <mergeCell ref="C25:D25"/>
    <mergeCell ref="C33:D33"/>
    <mergeCell ref="C31:D31"/>
    <mergeCell ref="C32:D32"/>
    <mergeCell ref="C29:D29"/>
    <mergeCell ref="B44:G44"/>
    <mergeCell ref="C36:D36"/>
    <mergeCell ref="C37:D37"/>
    <mergeCell ref="C26:D26"/>
    <mergeCell ref="C27:D27"/>
    <mergeCell ref="C41:D41"/>
    <mergeCell ref="C40:D40"/>
    <mergeCell ref="C35:D35"/>
    <mergeCell ref="C30:D30"/>
    <mergeCell ref="C28:D28"/>
    <mergeCell ref="B3:G3"/>
    <mergeCell ref="B2:G2"/>
    <mergeCell ref="E7:F7"/>
    <mergeCell ref="E8:F8"/>
    <mergeCell ref="E6:F6"/>
  </mergeCells>
  <pageMargins left="0.7" right="0.7" top="0.78740157499999996" bottom="0.78740157499999996" header="0.3" footer="0.3"/>
  <pageSetup paperSize="9" scale="62"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C70DF-869D-4F96-A2BF-9D0BF040FDCC}">
  <sheetPr codeName="Sheet2">
    <tabColor rgb="FFFFFF00"/>
    <pageSetUpPr fitToPage="1"/>
  </sheetPr>
  <dimension ref="A1:K99"/>
  <sheetViews>
    <sheetView showWhiteSpace="0" zoomScaleNormal="100" zoomScaleSheetLayoutView="115" zoomScalePageLayoutView="70" workbookViewId="0">
      <selection activeCell="B29" sqref="B29"/>
    </sheetView>
  </sheetViews>
  <sheetFormatPr defaultColWidth="11.44140625" defaultRowHeight="13.8" x14ac:dyDescent="0.3"/>
  <cols>
    <col min="1" max="1" width="7.6640625" style="9" customWidth="1"/>
    <col min="2" max="2" width="50.6640625" style="2" customWidth="1"/>
    <col min="3" max="3" width="11.33203125" style="2" bestFit="1" customWidth="1"/>
    <col min="4" max="4" width="18.33203125" style="8" bestFit="1" customWidth="1"/>
    <col min="5" max="5" width="7.33203125" style="74" customWidth="1"/>
    <col min="6" max="6" width="14.5546875" style="3" bestFit="1" customWidth="1"/>
    <col min="7" max="8" width="14.5546875" style="3" customWidth="1"/>
    <col min="9" max="9" width="3.6640625" style="1" bestFit="1" customWidth="1"/>
    <col min="10" max="11" width="19.5546875" style="68" customWidth="1"/>
    <col min="12" max="12" width="11.5546875" style="2" customWidth="1"/>
    <col min="13" max="16384" width="11.44140625" style="2"/>
  </cols>
  <sheetData>
    <row r="1" spans="1:11" x14ac:dyDescent="0.3">
      <c r="A1" s="13"/>
      <c r="G1" s="37"/>
    </row>
    <row r="2" spans="1:11" ht="17.399999999999999" x14ac:dyDescent="0.3">
      <c r="A2" s="13"/>
      <c r="B2" s="73" t="s">
        <v>765</v>
      </c>
      <c r="C2" s="13"/>
      <c r="G2" s="37"/>
    </row>
    <row r="3" spans="1:11" x14ac:dyDescent="0.3">
      <c r="A3" s="13"/>
      <c r="B3" s="22"/>
      <c r="C3" s="13"/>
      <c r="G3" s="37"/>
    </row>
    <row r="4" spans="1:11" ht="56.25" customHeight="1" x14ac:dyDescent="0.3">
      <c r="A4" s="13"/>
      <c r="B4" s="433" t="s">
        <v>45</v>
      </c>
      <c r="C4" s="434"/>
      <c r="D4" s="434"/>
      <c r="E4" s="434"/>
      <c r="F4" s="434"/>
      <c r="G4" s="434"/>
      <c r="H4" s="434"/>
      <c r="I4" s="434"/>
      <c r="J4" s="434"/>
      <c r="K4" s="434"/>
    </row>
    <row r="5" spans="1:11" ht="14.4" x14ac:dyDescent="0.3">
      <c r="A5" s="13"/>
      <c r="J5" s="431" t="s">
        <v>46</v>
      </c>
      <c r="K5" s="432"/>
    </row>
    <row r="6" spans="1:11" ht="27.6" x14ac:dyDescent="0.3">
      <c r="A6" s="10" t="s">
        <v>47</v>
      </c>
      <c r="B6" s="6" t="s">
        <v>48</v>
      </c>
      <c r="C6" s="6" t="s">
        <v>49</v>
      </c>
      <c r="D6" s="35" t="s">
        <v>50</v>
      </c>
      <c r="E6" s="166" t="s">
        <v>51</v>
      </c>
      <c r="F6" s="17" t="s">
        <v>52</v>
      </c>
      <c r="G6" s="15" t="s">
        <v>53</v>
      </c>
      <c r="H6" s="7" t="s">
        <v>54</v>
      </c>
      <c r="J6" s="69" t="s">
        <v>55</v>
      </c>
      <c r="K6" s="69" t="s">
        <v>56</v>
      </c>
    </row>
    <row r="7" spans="1:11" ht="15" customHeight="1" x14ac:dyDescent="0.3">
      <c r="A7" s="11"/>
      <c r="B7" s="4"/>
      <c r="C7" s="4"/>
      <c r="D7" s="36"/>
      <c r="E7" s="75"/>
      <c r="J7" s="70"/>
      <c r="K7" s="70"/>
    </row>
    <row r="8" spans="1:11" s="1" customFormat="1" ht="15" customHeight="1" x14ac:dyDescent="0.3">
      <c r="A8" s="44">
        <f>MAX(A7:A7)+1</f>
        <v>1</v>
      </c>
      <c r="B8" s="176" t="s">
        <v>57</v>
      </c>
      <c r="C8" s="14" t="s">
        <v>58</v>
      </c>
      <c r="D8" s="18" t="s">
        <v>59</v>
      </c>
      <c r="E8" s="74"/>
      <c r="F8" s="19">
        <v>412</v>
      </c>
      <c r="G8" s="16"/>
      <c r="H8" s="20" t="s">
        <v>60</v>
      </c>
      <c r="I8" s="5"/>
      <c r="J8" s="82">
        <v>0</v>
      </c>
      <c r="K8" s="82">
        <v>0</v>
      </c>
    </row>
    <row r="9" spans="1:11" s="1" customFormat="1" ht="15" customHeight="1" x14ac:dyDescent="0.3">
      <c r="A9" s="44">
        <f>MAX(A8:A8)+1</f>
        <v>2</v>
      </c>
      <c r="B9" s="176" t="s">
        <v>61</v>
      </c>
      <c r="C9" s="14" t="s">
        <v>58</v>
      </c>
      <c r="D9" s="18" t="s">
        <v>59</v>
      </c>
      <c r="E9" s="74"/>
      <c r="F9" s="19">
        <v>829</v>
      </c>
      <c r="G9" s="16">
        <v>2900</v>
      </c>
      <c r="H9" s="20">
        <v>3.4981905910735827</v>
      </c>
      <c r="I9" s="5"/>
      <c r="J9" s="82">
        <v>0</v>
      </c>
      <c r="K9" s="82">
        <v>0</v>
      </c>
    </row>
    <row r="10" spans="1:11" s="1" customFormat="1" ht="15" customHeight="1" x14ac:dyDescent="0.3">
      <c r="A10" s="44">
        <f>MAX(A9:A9)+1</f>
        <v>3</v>
      </c>
      <c r="B10" s="176" t="s">
        <v>62</v>
      </c>
      <c r="C10" s="14" t="s">
        <v>58</v>
      </c>
      <c r="D10" s="18" t="s">
        <v>63</v>
      </c>
      <c r="E10" s="74"/>
      <c r="F10" s="19">
        <v>12</v>
      </c>
      <c r="G10" s="16"/>
      <c r="H10" s="20" t="s">
        <v>60</v>
      </c>
      <c r="I10" s="5"/>
      <c r="J10" s="82">
        <v>0</v>
      </c>
      <c r="K10" s="82">
        <v>0</v>
      </c>
    </row>
    <row r="11" spans="1:11" s="1" customFormat="1" ht="15" customHeight="1" x14ac:dyDescent="0.3">
      <c r="A11" s="44">
        <f>MAX(A10:A10)+1</f>
        <v>4</v>
      </c>
      <c r="B11" s="176" t="s">
        <v>64</v>
      </c>
      <c r="C11" s="14" t="s">
        <v>58</v>
      </c>
      <c r="D11" s="18" t="s">
        <v>65</v>
      </c>
      <c r="E11" s="74"/>
      <c r="F11" s="19">
        <v>41</v>
      </c>
      <c r="G11" s="16"/>
      <c r="H11" s="20" t="s">
        <v>60</v>
      </c>
      <c r="I11" s="5"/>
      <c r="J11" s="82">
        <v>0</v>
      </c>
      <c r="K11" s="82">
        <v>0</v>
      </c>
    </row>
    <row r="12" spans="1:11" s="1" customFormat="1" ht="15" customHeight="1" x14ac:dyDescent="0.3">
      <c r="A12" s="44">
        <f>MAX(A11:A11)+1</f>
        <v>5</v>
      </c>
      <c r="B12" s="176" t="s">
        <v>66</v>
      </c>
      <c r="C12" s="14" t="s">
        <v>58</v>
      </c>
      <c r="D12" s="18" t="s">
        <v>67</v>
      </c>
      <c r="E12" s="74"/>
      <c r="F12" s="19">
        <v>13</v>
      </c>
      <c r="G12" s="16"/>
      <c r="H12" s="20" t="s">
        <v>60</v>
      </c>
      <c r="I12" s="5"/>
      <c r="J12" s="82">
        <v>0</v>
      </c>
      <c r="K12" s="82">
        <v>0</v>
      </c>
    </row>
    <row r="14" spans="1:11" ht="14.4" x14ac:dyDescent="0.3">
      <c r="J14" s="431" t="s">
        <v>46</v>
      </c>
      <c r="K14" s="432"/>
    </row>
    <row r="15" spans="1:11" ht="27.6" x14ac:dyDescent="0.3">
      <c r="A15" s="10" t="s">
        <v>47</v>
      </c>
      <c r="B15" s="6" t="s">
        <v>68</v>
      </c>
      <c r="C15" s="6" t="s">
        <v>49</v>
      </c>
      <c r="D15" s="35" t="s">
        <v>50</v>
      </c>
      <c r="E15" s="166" t="s">
        <v>51</v>
      </c>
      <c r="F15" s="17" t="s">
        <v>52</v>
      </c>
      <c r="G15" s="15" t="s">
        <v>53</v>
      </c>
      <c r="H15" s="7" t="s">
        <v>54</v>
      </c>
      <c r="J15" s="69" t="s">
        <v>55</v>
      </c>
      <c r="K15" s="69" t="s">
        <v>56</v>
      </c>
    </row>
    <row r="16" spans="1:11" ht="15" customHeight="1" x14ac:dyDescent="0.3">
      <c r="A16" s="11"/>
      <c r="B16" s="4"/>
      <c r="C16" s="4"/>
      <c r="D16" s="36"/>
      <c r="E16" s="75"/>
      <c r="J16" s="70"/>
      <c r="K16" s="70"/>
    </row>
    <row r="17" spans="1:11" s="1" customFormat="1" ht="15" customHeight="1" x14ac:dyDescent="0.3">
      <c r="A17" s="44">
        <f>MAX(A16:A16)+1</f>
        <v>1</v>
      </c>
      <c r="B17" s="176" t="s">
        <v>69</v>
      </c>
      <c r="C17" s="14" t="s">
        <v>58</v>
      </c>
      <c r="D17" s="18" t="s">
        <v>70</v>
      </c>
      <c r="E17" s="74"/>
      <c r="F17" s="19">
        <v>850</v>
      </c>
      <c r="G17" s="16"/>
      <c r="H17" s="20"/>
      <c r="I17" s="5"/>
      <c r="J17" s="82">
        <v>0</v>
      </c>
      <c r="K17" s="82">
        <v>0</v>
      </c>
    </row>
    <row r="18" spans="1:11" s="1" customFormat="1" ht="15" customHeight="1" x14ac:dyDescent="0.3">
      <c r="A18" s="44">
        <f>MAX(A17:A17)+1</f>
        <v>2</v>
      </c>
      <c r="B18" s="176" t="s">
        <v>71</v>
      </c>
      <c r="C18" s="14" t="s">
        <v>58</v>
      </c>
      <c r="D18" s="18" t="s">
        <v>70</v>
      </c>
      <c r="E18" s="74"/>
      <c r="F18" s="19">
        <v>590</v>
      </c>
      <c r="G18" s="16">
        <v>4100</v>
      </c>
      <c r="H18" s="20">
        <v>6.9491525423728815</v>
      </c>
      <c r="I18" s="5"/>
      <c r="J18" s="82">
        <v>0</v>
      </c>
      <c r="K18" s="82">
        <v>0</v>
      </c>
    </row>
    <row r="19" spans="1:11" s="1" customFormat="1" ht="15" customHeight="1" x14ac:dyDescent="0.3">
      <c r="A19" s="44">
        <f t="shared" ref="A19:A25" si="0">MAX(A18:A18)+1</f>
        <v>3</v>
      </c>
      <c r="B19" s="176" t="s">
        <v>72</v>
      </c>
      <c r="C19" s="14" t="s">
        <v>58</v>
      </c>
      <c r="D19" s="18" t="s">
        <v>73</v>
      </c>
      <c r="E19" s="74"/>
      <c r="F19" s="19">
        <v>133</v>
      </c>
      <c r="G19" s="16"/>
      <c r="H19" s="20"/>
      <c r="I19" s="5"/>
      <c r="J19" s="82">
        <v>0</v>
      </c>
      <c r="K19" s="82">
        <v>0</v>
      </c>
    </row>
    <row r="20" spans="1:11" s="1" customFormat="1" ht="15" customHeight="1" x14ac:dyDescent="0.3">
      <c r="A20" s="44">
        <f t="shared" si="0"/>
        <v>4</v>
      </c>
      <c r="B20" s="176" t="s">
        <v>74</v>
      </c>
      <c r="C20" s="14" t="s">
        <v>58</v>
      </c>
      <c r="D20" s="18" t="s">
        <v>75</v>
      </c>
      <c r="E20" s="74"/>
      <c r="F20" s="19">
        <v>133</v>
      </c>
      <c r="G20" s="16"/>
      <c r="H20" s="20"/>
      <c r="I20" s="5"/>
      <c r="J20" s="82">
        <v>0</v>
      </c>
      <c r="K20" s="82">
        <v>0</v>
      </c>
    </row>
    <row r="21" spans="1:11" s="1" customFormat="1" ht="15" customHeight="1" x14ac:dyDescent="0.3">
      <c r="A21" s="44">
        <f t="shared" si="0"/>
        <v>5</v>
      </c>
      <c r="B21" s="176" t="s">
        <v>76</v>
      </c>
      <c r="C21" s="14" t="s">
        <v>58</v>
      </c>
      <c r="D21" s="18" t="s">
        <v>77</v>
      </c>
      <c r="E21" s="74"/>
      <c r="F21" s="19">
        <v>110</v>
      </c>
      <c r="G21" s="16"/>
      <c r="H21" s="20"/>
      <c r="I21" s="5"/>
      <c r="J21" s="82">
        <v>0</v>
      </c>
      <c r="K21" s="82">
        <v>0</v>
      </c>
    </row>
    <row r="22" spans="1:11" s="1" customFormat="1" ht="15" customHeight="1" x14ac:dyDescent="0.3">
      <c r="A22" s="44">
        <f t="shared" si="0"/>
        <v>6</v>
      </c>
      <c r="B22" s="176" t="s">
        <v>78</v>
      </c>
      <c r="C22" s="14" t="s">
        <v>58</v>
      </c>
      <c r="D22" s="18" t="s">
        <v>79</v>
      </c>
      <c r="E22" s="74"/>
      <c r="F22" s="19">
        <v>68</v>
      </c>
      <c r="G22" s="16"/>
      <c r="H22" s="20"/>
      <c r="I22" s="5"/>
      <c r="J22" s="82">
        <v>0</v>
      </c>
      <c r="K22" s="82">
        <v>0</v>
      </c>
    </row>
    <row r="23" spans="1:11" s="1" customFormat="1" ht="15" customHeight="1" x14ac:dyDescent="0.3">
      <c r="A23" s="44">
        <f t="shared" si="0"/>
        <v>7</v>
      </c>
      <c r="B23" s="176" t="s">
        <v>80</v>
      </c>
      <c r="C23" s="14" t="s">
        <v>58</v>
      </c>
      <c r="D23" s="18" t="s">
        <v>81</v>
      </c>
      <c r="E23" s="74"/>
      <c r="F23" s="19">
        <v>19</v>
      </c>
      <c r="G23" s="16"/>
      <c r="H23" s="20"/>
      <c r="I23" s="5"/>
      <c r="J23" s="82">
        <v>0</v>
      </c>
      <c r="K23" s="82">
        <v>0</v>
      </c>
    </row>
    <row r="24" spans="1:11" s="1" customFormat="1" ht="15" customHeight="1" x14ac:dyDescent="0.3">
      <c r="A24" s="44">
        <f t="shared" si="0"/>
        <v>8</v>
      </c>
      <c r="B24" s="176" t="s">
        <v>82</v>
      </c>
      <c r="C24" s="14" t="s">
        <v>58</v>
      </c>
      <c r="D24" s="167" t="s">
        <v>83</v>
      </c>
      <c r="E24" s="74"/>
      <c r="F24" s="19">
        <v>10</v>
      </c>
      <c r="G24" s="16"/>
      <c r="H24" s="20"/>
      <c r="I24" s="5"/>
      <c r="J24" s="82">
        <v>0</v>
      </c>
      <c r="K24" s="82">
        <v>0</v>
      </c>
    </row>
    <row r="25" spans="1:11" s="1" customFormat="1" ht="15" customHeight="1" x14ac:dyDescent="0.3">
      <c r="A25" s="44">
        <f t="shared" si="0"/>
        <v>9</v>
      </c>
      <c r="B25" s="176" t="s">
        <v>84</v>
      </c>
      <c r="C25" s="14" t="s">
        <v>58</v>
      </c>
      <c r="D25" s="18" t="s">
        <v>85</v>
      </c>
      <c r="E25" s="74"/>
      <c r="F25" s="19">
        <v>18</v>
      </c>
      <c r="G25" s="16"/>
      <c r="H25" s="20"/>
      <c r="I25" s="5"/>
      <c r="J25" s="82">
        <v>0</v>
      </c>
      <c r="K25" s="82">
        <v>0</v>
      </c>
    </row>
    <row r="27" spans="1:11" ht="14.4" x14ac:dyDescent="0.3">
      <c r="J27" s="431" t="s">
        <v>46</v>
      </c>
      <c r="K27" s="432"/>
    </row>
    <row r="28" spans="1:11" ht="27.6" x14ac:dyDescent="0.3">
      <c r="A28" s="10" t="s">
        <v>47</v>
      </c>
      <c r="B28" s="6" t="s">
        <v>86</v>
      </c>
      <c r="C28" s="6" t="s">
        <v>49</v>
      </c>
      <c r="D28" s="35" t="s">
        <v>50</v>
      </c>
      <c r="E28" s="166" t="s">
        <v>51</v>
      </c>
      <c r="F28" s="17" t="s">
        <v>52</v>
      </c>
      <c r="G28" s="15" t="s">
        <v>53</v>
      </c>
      <c r="H28" s="7" t="s">
        <v>54</v>
      </c>
      <c r="J28" s="69" t="s">
        <v>55</v>
      </c>
      <c r="K28" s="69" t="s">
        <v>56</v>
      </c>
    </row>
    <row r="29" spans="1:11" ht="15" customHeight="1" x14ac:dyDescent="0.3">
      <c r="A29" s="11"/>
      <c r="B29" s="4"/>
      <c r="C29" s="4"/>
      <c r="D29" s="36"/>
      <c r="E29" s="75"/>
      <c r="J29" s="70"/>
      <c r="K29" s="70"/>
    </row>
    <row r="30" spans="1:11" s="1" customFormat="1" ht="15" customHeight="1" x14ac:dyDescent="0.3">
      <c r="A30" s="45">
        <v>1</v>
      </c>
      <c r="B30" s="14" t="s">
        <v>87</v>
      </c>
      <c r="C30" s="14" t="s">
        <v>88</v>
      </c>
      <c r="D30" s="18" t="s">
        <v>89</v>
      </c>
      <c r="E30" s="74"/>
      <c r="F30" s="19">
        <v>27</v>
      </c>
      <c r="G30" s="16"/>
      <c r="H30" s="20" t="s">
        <v>60</v>
      </c>
      <c r="I30" s="5"/>
      <c r="J30" s="82">
        <v>0</v>
      </c>
      <c r="K30" s="82">
        <v>0</v>
      </c>
    </row>
    <row r="31" spans="1:11" s="1" customFormat="1" ht="15" customHeight="1" x14ac:dyDescent="0.3">
      <c r="A31" s="45">
        <f>MAX(A30:A30)+1</f>
        <v>2</v>
      </c>
      <c r="B31" s="14" t="s">
        <v>90</v>
      </c>
      <c r="C31" s="14" t="s">
        <v>91</v>
      </c>
      <c r="D31" s="18" t="s">
        <v>92</v>
      </c>
      <c r="E31" s="74"/>
      <c r="F31" s="19">
        <v>42</v>
      </c>
      <c r="G31" s="16"/>
      <c r="H31" s="20" t="s">
        <v>60</v>
      </c>
      <c r="I31" s="5"/>
      <c r="J31" s="82">
        <v>0</v>
      </c>
      <c r="K31" s="82">
        <v>0</v>
      </c>
    </row>
    <row r="32" spans="1:11" s="1" customFormat="1" ht="15" customHeight="1" x14ac:dyDescent="0.3">
      <c r="A32" s="45">
        <f>MAX(A31:A31)+1</f>
        <v>3</v>
      </c>
      <c r="B32" s="14" t="s">
        <v>93</v>
      </c>
      <c r="C32" s="14" t="s">
        <v>94</v>
      </c>
      <c r="D32" s="18" t="s">
        <v>95</v>
      </c>
      <c r="E32" s="74"/>
      <c r="F32" s="19">
        <v>17</v>
      </c>
      <c r="G32" s="16"/>
      <c r="H32" s="20" t="s">
        <v>60</v>
      </c>
      <c r="I32" s="5"/>
      <c r="J32" s="82">
        <v>0</v>
      </c>
      <c r="K32" s="82">
        <v>0</v>
      </c>
    </row>
    <row r="33" spans="1:11" s="1" customFormat="1" ht="15" customHeight="1" x14ac:dyDescent="0.3">
      <c r="A33" s="45">
        <f>MAX(A32:A32)+1</f>
        <v>4</v>
      </c>
      <c r="B33" s="14" t="s">
        <v>96</v>
      </c>
      <c r="C33" s="14"/>
      <c r="D33" s="18"/>
      <c r="E33" s="74"/>
      <c r="F33" s="19">
        <v>10</v>
      </c>
      <c r="G33" s="16"/>
      <c r="H33" s="20"/>
      <c r="I33" s="5"/>
      <c r="J33" s="82">
        <v>0</v>
      </c>
      <c r="K33" s="82">
        <v>0</v>
      </c>
    </row>
    <row r="34" spans="1:11" s="1" customFormat="1" ht="15" customHeight="1" x14ac:dyDescent="0.3">
      <c r="A34" s="45">
        <f>MAX(A33:A33)+1</f>
        <v>5</v>
      </c>
      <c r="B34" s="14" t="s">
        <v>97</v>
      </c>
      <c r="C34" s="14" t="s">
        <v>58</v>
      </c>
      <c r="D34" s="18"/>
      <c r="E34" s="74"/>
      <c r="F34" s="19">
        <v>2</v>
      </c>
      <c r="G34" s="16"/>
      <c r="H34" s="20"/>
      <c r="I34" s="5"/>
      <c r="J34" s="82">
        <v>0</v>
      </c>
      <c r="K34" s="82">
        <v>0</v>
      </c>
    </row>
    <row r="36" spans="1:11" ht="14.4" x14ac:dyDescent="0.3">
      <c r="J36" s="431" t="s">
        <v>46</v>
      </c>
      <c r="K36" s="432"/>
    </row>
    <row r="37" spans="1:11" ht="27.6" x14ac:dyDescent="0.3">
      <c r="A37" s="10" t="s">
        <v>47</v>
      </c>
      <c r="B37" s="6" t="s">
        <v>98</v>
      </c>
      <c r="C37" s="6" t="s">
        <v>49</v>
      </c>
      <c r="D37" s="35" t="s">
        <v>99</v>
      </c>
      <c r="E37" s="166" t="s">
        <v>51</v>
      </c>
      <c r="F37" s="17" t="s">
        <v>52</v>
      </c>
      <c r="G37" s="15" t="s">
        <v>53</v>
      </c>
      <c r="H37" s="7" t="s">
        <v>54</v>
      </c>
      <c r="J37" s="69" t="s">
        <v>55</v>
      </c>
      <c r="K37" s="69" t="s">
        <v>56</v>
      </c>
    </row>
    <row r="38" spans="1:11" ht="15" customHeight="1" x14ac:dyDescent="0.3">
      <c r="A38" s="11"/>
      <c r="B38" s="4"/>
      <c r="C38" s="4"/>
      <c r="D38" s="36"/>
      <c r="E38" s="75"/>
      <c r="J38" s="70"/>
      <c r="K38" s="70"/>
    </row>
    <row r="39" spans="1:11" s="1" customFormat="1" ht="15" customHeight="1" x14ac:dyDescent="0.3">
      <c r="A39" s="46">
        <f>MAX(A36:A38)+1</f>
        <v>1</v>
      </c>
      <c r="B39" s="14" t="s">
        <v>100</v>
      </c>
      <c r="C39" s="14" t="s">
        <v>58</v>
      </c>
      <c r="D39" s="18" t="s">
        <v>101</v>
      </c>
      <c r="E39" s="74"/>
      <c r="F39" s="19">
        <v>20</v>
      </c>
      <c r="G39" s="16"/>
      <c r="H39" s="20" t="s">
        <v>60</v>
      </c>
      <c r="I39" s="5"/>
      <c r="J39" s="82">
        <v>0</v>
      </c>
      <c r="K39" s="82">
        <v>0</v>
      </c>
    </row>
    <row r="40" spans="1:11" s="1" customFormat="1" ht="15" customHeight="1" x14ac:dyDescent="0.3">
      <c r="A40" s="46">
        <f>MAX(A39:A39)+1</f>
        <v>2</v>
      </c>
      <c r="B40" s="14" t="s">
        <v>102</v>
      </c>
      <c r="C40" s="14" t="s">
        <v>58</v>
      </c>
      <c r="D40" s="18" t="s">
        <v>103</v>
      </c>
      <c r="E40" s="74"/>
      <c r="F40" s="19">
        <v>20</v>
      </c>
      <c r="G40" s="16"/>
      <c r="H40" s="20" t="s">
        <v>60</v>
      </c>
      <c r="I40" s="5"/>
      <c r="J40" s="82">
        <v>0</v>
      </c>
      <c r="K40" s="82">
        <v>0</v>
      </c>
    </row>
    <row r="41" spans="1:11" s="1" customFormat="1" ht="15" customHeight="1" x14ac:dyDescent="0.3">
      <c r="A41" s="46">
        <f>MAX(A40:A40)+1</f>
        <v>3</v>
      </c>
      <c r="B41" s="14" t="s">
        <v>104</v>
      </c>
      <c r="C41" s="14" t="s">
        <v>58</v>
      </c>
      <c r="D41" s="18"/>
      <c r="E41" s="74"/>
      <c r="F41" s="19">
        <v>2</v>
      </c>
      <c r="G41" s="16"/>
      <c r="H41" s="20"/>
      <c r="I41" s="5"/>
      <c r="J41" s="82">
        <v>0</v>
      </c>
      <c r="K41" s="82">
        <v>0</v>
      </c>
    </row>
    <row r="42" spans="1:11" s="1" customFormat="1" ht="15" customHeight="1" x14ac:dyDescent="0.3">
      <c r="A42" s="46">
        <f>MAX(A40:A41)+1</f>
        <v>4</v>
      </c>
      <c r="B42" s="14" t="s">
        <v>105</v>
      </c>
      <c r="C42" s="14" t="s">
        <v>58</v>
      </c>
      <c r="D42" s="18"/>
      <c r="E42" s="74"/>
      <c r="F42" s="19">
        <v>2</v>
      </c>
      <c r="G42" s="16"/>
      <c r="H42" s="20"/>
      <c r="I42" s="5"/>
      <c r="J42" s="82">
        <v>0</v>
      </c>
      <c r="K42" s="82">
        <v>0</v>
      </c>
    </row>
    <row r="43" spans="1:11" s="1" customFormat="1" ht="15" customHeight="1" x14ac:dyDescent="0.3">
      <c r="A43" s="169"/>
      <c r="B43" s="14"/>
      <c r="C43" s="14"/>
      <c r="D43" s="170"/>
      <c r="E43" s="74"/>
      <c r="F43" s="171"/>
      <c r="G43" s="172"/>
      <c r="H43" s="173"/>
      <c r="I43" s="5"/>
      <c r="J43" s="174"/>
      <c r="K43" s="174"/>
    </row>
    <row r="44" spans="1:11" s="1" customFormat="1" ht="15" customHeight="1" x14ac:dyDescent="0.3">
      <c r="A44" s="46">
        <f>MAX(A42:A43)+1</f>
        <v>5</v>
      </c>
      <c r="B44" s="14" t="s">
        <v>106</v>
      </c>
      <c r="C44" s="14" t="s">
        <v>58</v>
      </c>
      <c r="D44" s="18" t="s">
        <v>107</v>
      </c>
      <c r="E44" s="74"/>
      <c r="F44" s="19">
        <v>7</v>
      </c>
      <c r="G44" s="16"/>
      <c r="H44" s="20" t="s">
        <v>60</v>
      </c>
      <c r="I44" s="5"/>
      <c r="J44" s="82">
        <v>0</v>
      </c>
      <c r="K44" s="82">
        <v>0</v>
      </c>
    </row>
    <row r="45" spans="1:11" s="1" customFormat="1" ht="15" customHeight="1" x14ac:dyDescent="0.3">
      <c r="A45" s="46">
        <f>MAX(A43:A44)+1</f>
        <v>6</v>
      </c>
      <c r="B45" s="14" t="s">
        <v>108</v>
      </c>
      <c r="C45" s="14" t="s">
        <v>58</v>
      </c>
      <c r="D45" s="18"/>
      <c r="E45" s="74"/>
      <c r="F45" s="19">
        <v>2</v>
      </c>
      <c r="G45" s="16"/>
      <c r="H45" s="20"/>
      <c r="I45" s="5"/>
      <c r="J45" s="82">
        <v>0</v>
      </c>
      <c r="K45" s="82">
        <v>0</v>
      </c>
    </row>
    <row r="46" spans="1:11" s="1" customFormat="1" ht="15" customHeight="1" x14ac:dyDescent="0.3">
      <c r="A46" s="169"/>
      <c r="B46" s="14"/>
      <c r="C46" s="14"/>
      <c r="D46" s="170"/>
      <c r="E46" s="74"/>
      <c r="F46" s="171"/>
      <c r="G46" s="172"/>
      <c r="H46" s="173"/>
      <c r="I46" s="5"/>
      <c r="J46" s="174"/>
      <c r="K46" s="174"/>
    </row>
    <row r="47" spans="1:11" s="1" customFormat="1" ht="15" customHeight="1" x14ac:dyDescent="0.3">
      <c r="A47" s="46">
        <f>MAX(A45:A46)+1</f>
        <v>7</v>
      </c>
      <c r="B47" s="14" t="s">
        <v>109</v>
      </c>
      <c r="C47" s="14" t="s">
        <v>58</v>
      </c>
      <c r="D47" s="168" t="s">
        <v>110</v>
      </c>
      <c r="E47" s="74"/>
      <c r="F47" s="19">
        <v>28</v>
      </c>
      <c r="G47" s="16"/>
      <c r="H47" s="20" t="s">
        <v>60</v>
      </c>
      <c r="I47" s="5"/>
      <c r="J47" s="82">
        <v>0</v>
      </c>
      <c r="K47" s="82">
        <v>0</v>
      </c>
    </row>
    <row r="48" spans="1:11" s="1" customFormat="1" ht="15" customHeight="1" x14ac:dyDescent="0.3">
      <c r="A48" s="46">
        <f>MAX(A46:A47)+1</f>
        <v>8</v>
      </c>
      <c r="B48" s="14" t="s">
        <v>111</v>
      </c>
      <c r="C48" s="14" t="s">
        <v>58</v>
      </c>
      <c r="D48" s="168" t="s">
        <v>110</v>
      </c>
      <c r="E48" s="74"/>
      <c r="F48" s="19">
        <v>2100</v>
      </c>
      <c r="G48" s="16"/>
      <c r="H48" s="20" t="s">
        <v>60</v>
      </c>
      <c r="I48" s="5"/>
      <c r="J48" s="82">
        <v>0</v>
      </c>
      <c r="K48" s="82">
        <v>0</v>
      </c>
    </row>
    <row r="49" spans="1:11" s="1" customFormat="1" ht="15" customHeight="1" x14ac:dyDescent="0.3">
      <c r="A49" s="46">
        <f>MAX(A47:A48)+1</f>
        <v>9</v>
      </c>
      <c r="B49" s="14" t="s">
        <v>112</v>
      </c>
      <c r="C49" s="14" t="s">
        <v>58</v>
      </c>
      <c r="D49" s="168" t="s">
        <v>110</v>
      </c>
      <c r="E49" s="74"/>
      <c r="F49" s="19">
        <v>56</v>
      </c>
      <c r="G49" s="16"/>
      <c r="H49" s="20" t="s">
        <v>60</v>
      </c>
      <c r="I49" s="5"/>
      <c r="J49" s="82">
        <v>0</v>
      </c>
      <c r="K49" s="82">
        <v>0</v>
      </c>
    </row>
    <row r="50" spans="1:11" s="1" customFormat="1" ht="15" customHeight="1" x14ac:dyDescent="0.3">
      <c r="A50" s="46">
        <f>MAX(A48:A49)+1</f>
        <v>10</v>
      </c>
      <c r="B50" s="14" t="s">
        <v>113</v>
      </c>
      <c r="C50" s="14" t="s">
        <v>58</v>
      </c>
      <c r="D50" s="168" t="s">
        <v>110</v>
      </c>
      <c r="E50" s="74"/>
      <c r="F50" s="19">
        <v>61</v>
      </c>
      <c r="G50" s="16"/>
      <c r="H50" s="20" t="s">
        <v>60</v>
      </c>
      <c r="I50" s="5"/>
      <c r="J50" s="82">
        <v>0</v>
      </c>
      <c r="K50" s="82">
        <v>0</v>
      </c>
    </row>
    <row r="51" spans="1:11" s="1" customFormat="1" ht="15" customHeight="1" x14ac:dyDescent="0.3">
      <c r="A51" s="46">
        <f>MAX(A49:A50)+1</f>
        <v>11</v>
      </c>
      <c r="B51" s="14" t="s">
        <v>114</v>
      </c>
      <c r="C51" s="14" t="s">
        <v>58</v>
      </c>
      <c r="D51" s="168" t="s">
        <v>110</v>
      </c>
      <c r="E51" s="74"/>
      <c r="F51" s="19">
        <v>61</v>
      </c>
      <c r="G51" s="16"/>
      <c r="H51" s="20" t="s">
        <v>60</v>
      </c>
      <c r="I51" s="5"/>
      <c r="J51" s="82">
        <v>0</v>
      </c>
      <c r="K51" s="82">
        <v>0</v>
      </c>
    </row>
    <row r="53" spans="1:11" ht="14.4" x14ac:dyDescent="0.3">
      <c r="J53" s="431" t="s">
        <v>46</v>
      </c>
      <c r="K53" s="432"/>
    </row>
    <row r="54" spans="1:11" ht="27.6" x14ac:dyDescent="0.3">
      <c r="A54" s="10" t="s">
        <v>47</v>
      </c>
      <c r="B54" s="6" t="s">
        <v>115</v>
      </c>
      <c r="C54" s="6" t="s">
        <v>49</v>
      </c>
      <c r="D54" s="35" t="s">
        <v>50</v>
      </c>
      <c r="E54" s="166" t="s">
        <v>51</v>
      </c>
      <c r="F54" s="17" t="s">
        <v>52</v>
      </c>
      <c r="G54" s="15" t="s">
        <v>53</v>
      </c>
      <c r="H54" s="7" t="s">
        <v>54</v>
      </c>
      <c r="J54" s="69" t="s">
        <v>55</v>
      </c>
      <c r="K54" s="69" t="s">
        <v>56</v>
      </c>
    </row>
    <row r="55" spans="1:11" ht="15" customHeight="1" x14ac:dyDescent="0.3">
      <c r="A55" s="11"/>
      <c r="B55" s="4"/>
      <c r="C55" s="4"/>
      <c r="D55" s="36"/>
      <c r="E55" s="75"/>
      <c r="I55" s="5"/>
      <c r="J55" s="70"/>
      <c r="K55" s="70"/>
    </row>
    <row r="56" spans="1:11" s="1" customFormat="1" ht="15" customHeight="1" x14ac:dyDescent="0.3">
      <c r="A56" s="47">
        <f>MAX(A54:A55)+1</f>
        <v>1</v>
      </c>
      <c r="B56" s="14" t="s">
        <v>116</v>
      </c>
      <c r="C56" s="14"/>
      <c r="D56" s="18"/>
      <c r="E56" s="74"/>
      <c r="F56" s="19">
        <v>69</v>
      </c>
      <c r="G56" s="16"/>
      <c r="H56" s="20" t="s">
        <v>60</v>
      </c>
      <c r="I56" s="5"/>
      <c r="J56" s="82">
        <v>0</v>
      </c>
      <c r="K56" s="82">
        <v>0</v>
      </c>
    </row>
    <row r="57" spans="1:11" ht="15" customHeight="1" x14ac:dyDescent="0.3">
      <c r="A57" s="12"/>
      <c r="I57" s="5"/>
    </row>
    <row r="58" spans="1:11" ht="15" customHeight="1" x14ac:dyDescent="0.3">
      <c r="A58" s="12"/>
      <c r="I58" s="5"/>
      <c r="J58" s="431" t="s">
        <v>46</v>
      </c>
      <c r="K58" s="432"/>
    </row>
    <row r="59" spans="1:11" ht="27.6" x14ac:dyDescent="0.3">
      <c r="A59" s="10" t="s">
        <v>47</v>
      </c>
      <c r="B59" s="6" t="s">
        <v>117</v>
      </c>
      <c r="C59" s="6" t="s">
        <v>49</v>
      </c>
      <c r="D59" s="35" t="s">
        <v>50</v>
      </c>
      <c r="E59" s="166" t="s">
        <v>51</v>
      </c>
      <c r="F59" s="17" t="s">
        <v>52</v>
      </c>
      <c r="G59" s="15" t="s">
        <v>53</v>
      </c>
      <c r="H59" s="7" t="s">
        <v>54</v>
      </c>
      <c r="J59" s="69" t="s">
        <v>55</v>
      </c>
      <c r="K59" s="69" t="s">
        <v>56</v>
      </c>
    </row>
    <row r="60" spans="1:11" ht="15" customHeight="1" x14ac:dyDescent="0.3">
      <c r="A60" s="11"/>
      <c r="B60" s="4"/>
      <c r="C60" s="4"/>
      <c r="D60" s="36"/>
      <c r="E60" s="75"/>
      <c r="J60" s="70"/>
      <c r="K60" s="70"/>
    </row>
    <row r="61" spans="1:11" s="1" customFormat="1" ht="15" customHeight="1" x14ac:dyDescent="0.3">
      <c r="A61" s="48">
        <v>1</v>
      </c>
      <c r="B61" s="71" t="s">
        <v>118</v>
      </c>
      <c r="C61" s="71"/>
      <c r="D61" s="18"/>
      <c r="E61" s="74"/>
      <c r="F61" s="19">
        <v>200</v>
      </c>
      <c r="G61" s="16">
        <v>2500</v>
      </c>
      <c r="H61" s="20">
        <v>12.5</v>
      </c>
      <c r="I61" s="5"/>
      <c r="J61" s="82">
        <v>0</v>
      </c>
      <c r="K61" s="82">
        <v>0</v>
      </c>
    </row>
    <row r="62" spans="1:11" s="1" customFormat="1" ht="15" customHeight="1" x14ac:dyDescent="0.3">
      <c r="A62" s="48">
        <v>2</v>
      </c>
      <c r="B62" s="14" t="s">
        <v>119</v>
      </c>
      <c r="C62" s="14"/>
      <c r="D62" s="18" t="s">
        <v>120</v>
      </c>
      <c r="E62" s="74"/>
      <c r="F62" s="19">
        <v>47</v>
      </c>
      <c r="G62" s="16"/>
      <c r="H62" s="20" t="s">
        <v>60</v>
      </c>
      <c r="I62" s="5"/>
      <c r="J62" s="82">
        <v>0</v>
      </c>
      <c r="K62" s="82">
        <v>0</v>
      </c>
    </row>
    <row r="63" spans="1:11" s="1" customFormat="1" ht="15" customHeight="1" x14ac:dyDescent="0.3">
      <c r="A63" s="48">
        <v>3</v>
      </c>
      <c r="B63" s="14" t="s">
        <v>121</v>
      </c>
      <c r="C63" s="14"/>
      <c r="D63" s="18"/>
      <c r="E63" s="74"/>
      <c r="F63" s="19">
        <v>4</v>
      </c>
      <c r="G63" s="16"/>
      <c r="H63" s="20"/>
      <c r="I63" s="5"/>
      <c r="J63" s="82">
        <v>0</v>
      </c>
      <c r="K63" s="82">
        <v>0</v>
      </c>
    </row>
    <row r="64" spans="1:11" s="1" customFormat="1" ht="15" customHeight="1" x14ac:dyDescent="0.3">
      <c r="A64" s="48">
        <v>4</v>
      </c>
      <c r="B64" s="14" t="s">
        <v>122</v>
      </c>
      <c r="C64" s="14"/>
      <c r="D64" s="18"/>
      <c r="E64" s="74"/>
      <c r="F64" s="19">
        <v>1</v>
      </c>
      <c r="G64" s="16"/>
      <c r="H64" s="20"/>
      <c r="I64" s="5"/>
      <c r="J64" s="82">
        <v>0</v>
      </c>
      <c r="K64" s="82">
        <v>0</v>
      </c>
    </row>
    <row r="65" spans="1:11" s="1" customFormat="1" ht="15" customHeight="1" x14ac:dyDescent="0.3">
      <c r="A65" s="48">
        <v>5</v>
      </c>
      <c r="B65" s="14" t="s">
        <v>123</v>
      </c>
      <c r="C65" s="14"/>
      <c r="D65" s="18"/>
      <c r="E65" s="74"/>
      <c r="F65" s="19">
        <v>8</v>
      </c>
      <c r="G65" s="16"/>
      <c r="H65" s="20"/>
      <c r="I65" s="5"/>
      <c r="J65" s="82">
        <v>0</v>
      </c>
      <c r="K65" s="82">
        <v>0</v>
      </c>
    </row>
    <row r="67" spans="1:11" ht="14.4" x14ac:dyDescent="0.3">
      <c r="J67" s="431" t="s">
        <v>46</v>
      </c>
      <c r="K67" s="432"/>
    </row>
    <row r="68" spans="1:11" ht="41.4" x14ac:dyDescent="0.3">
      <c r="A68" s="10" t="s">
        <v>47</v>
      </c>
      <c r="B68" s="6" t="s">
        <v>124</v>
      </c>
      <c r="C68" s="6" t="s">
        <v>49</v>
      </c>
      <c r="D68" s="35" t="s">
        <v>50</v>
      </c>
      <c r="E68" s="166" t="s">
        <v>51</v>
      </c>
      <c r="F68" s="17" t="s">
        <v>52</v>
      </c>
      <c r="G68" s="80" t="s">
        <v>125</v>
      </c>
      <c r="H68" s="81" t="s">
        <v>126</v>
      </c>
      <c r="J68" s="69" t="s">
        <v>55</v>
      </c>
      <c r="K68" s="69" t="s">
        <v>56</v>
      </c>
    </row>
    <row r="69" spans="1:11" x14ac:dyDescent="0.3">
      <c r="D69" s="2"/>
    </row>
    <row r="70" spans="1:11" s="1" customFormat="1" ht="15" customHeight="1" x14ac:dyDescent="0.3">
      <c r="A70" s="49">
        <f>MAX(A69:A69)+1</f>
        <v>1</v>
      </c>
      <c r="B70" s="14" t="s">
        <v>127</v>
      </c>
      <c r="C70" s="14"/>
      <c r="D70" s="18" t="s">
        <v>128</v>
      </c>
      <c r="E70" s="74"/>
      <c r="F70" s="19">
        <v>12</v>
      </c>
      <c r="G70" s="16"/>
      <c r="H70" s="20" t="s">
        <v>60</v>
      </c>
      <c r="I70" s="5"/>
      <c r="J70" s="82">
        <v>0</v>
      </c>
      <c r="K70" s="82">
        <v>0</v>
      </c>
    </row>
    <row r="71" spans="1:11" s="1" customFormat="1" ht="15" customHeight="1" x14ac:dyDescent="0.3">
      <c r="A71" s="49">
        <f>MAX(A70:A70)+1</f>
        <v>2</v>
      </c>
      <c r="B71" s="14" t="s">
        <v>129</v>
      </c>
      <c r="C71" s="14"/>
      <c r="D71" s="18" t="s">
        <v>130</v>
      </c>
      <c r="E71" s="74"/>
      <c r="F71" s="19">
        <v>35</v>
      </c>
      <c r="G71" s="16"/>
      <c r="H71" s="20" t="s">
        <v>60</v>
      </c>
      <c r="I71" s="5"/>
      <c r="J71" s="82">
        <v>0</v>
      </c>
      <c r="K71" s="82">
        <v>0</v>
      </c>
    </row>
    <row r="72" spans="1:11" s="1" customFormat="1" ht="15" customHeight="1" x14ac:dyDescent="0.3">
      <c r="A72" s="49">
        <f>MAX(A70:A71)+1</f>
        <v>3</v>
      </c>
      <c r="B72" s="14" t="s">
        <v>131</v>
      </c>
      <c r="C72" s="14"/>
      <c r="D72" s="18" t="s">
        <v>132</v>
      </c>
      <c r="E72" s="74"/>
      <c r="F72" s="19">
        <v>194</v>
      </c>
      <c r="G72" s="16"/>
      <c r="H72" s="20" t="s">
        <v>60</v>
      </c>
      <c r="I72" s="5"/>
      <c r="J72" s="82">
        <v>0</v>
      </c>
      <c r="K72" s="82">
        <v>0</v>
      </c>
    </row>
    <row r="73" spans="1:11" s="1" customFormat="1" ht="15" customHeight="1" x14ac:dyDescent="0.3">
      <c r="A73" s="49">
        <f>MAX(A72:A72)+1</f>
        <v>4</v>
      </c>
      <c r="B73" s="14" t="s">
        <v>133</v>
      </c>
      <c r="C73" s="14"/>
      <c r="D73" s="18" t="s">
        <v>134</v>
      </c>
      <c r="E73" s="74"/>
      <c r="F73" s="19">
        <v>184</v>
      </c>
      <c r="G73" s="16"/>
      <c r="H73" s="20"/>
      <c r="I73" s="5"/>
      <c r="J73" s="82">
        <v>0</v>
      </c>
      <c r="K73" s="82">
        <v>0</v>
      </c>
    </row>
    <row r="74" spans="1:11" ht="14.4" x14ac:dyDescent="0.3">
      <c r="B74"/>
      <c r="D74" s="2"/>
    </row>
    <row r="75" spans="1:11" s="1" customFormat="1" ht="15" customHeight="1" x14ac:dyDescent="0.3">
      <c r="A75" s="49">
        <f>MAX(A73:A73)+1</f>
        <v>5</v>
      </c>
      <c r="B75" s="14" t="s">
        <v>135</v>
      </c>
      <c r="C75" s="14"/>
      <c r="D75" s="18" t="s">
        <v>136</v>
      </c>
      <c r="E75" s="74"/>
      <c r="F75" s="19">
        <v>4</v>
      </c>
      <c r="G75" s="16"/>
      <c r="H75" s="20" t="s">
        <v>60</v>
      </c>
      <c r="I75" s="5"/>
      <c r="J75" s="82">
        <v>0</v>
      </c>
      <c r="K75" s="82">
        <v>0</v>
      </c>
    </row>
    <row r="76" spans="1:11" s="1" customFormat="1" ht="15" customHeight="1" x14ac:dyDescent="0.3">
      <c r="A76" s="49">
        <f>MAX(A75:A75)+1</f>
        <v>6</v>
      </c>
      <c r="B76" s="14" t="s">
        <v>137</v>
      </c>
      <c r="C76" s="14"/>
      <c r="D76" s="18" t="s">
        <v>138</v>
      </c>
      <c r="E76" s="74"/>
      <c r="F76" s="19">
        <v>48</v>
      </c>
      <c r="G76" s="16"/>
      <c r="H76" s="20" t="s">
        <v>60</v>
      </c>
      <c r="I76" s="5"/>
      <c r="J76" s="82">
        <v>0</v>
      </c>
      <c r="K76" s="82">
        <v>0</v>
      </c>
    </row>
    <row r="77" spans="1:11" s="1" customFormat="1" ht="15" customHeight="1" x14ac:dyDescent="0.3">
      <c r="A77" s="49">
        <f>MAX(A76:A76)+1</f>
        <v>7</v>
      </c>
      <c r="B77" s="14" t="s">
        <v>139</v>
      </c>
      <c r="C77" s="14"/>
      <c r="D77" s="18" t="s">
        <v>140</v>
      </c>
      <c r="E77" s="74"/>
      <c r="F77" s="19">
        <v>893</v>
      </c>
      <c r="G77" s="16"/>
      <c r="H77" s="20" t="s">
        <v>60</v>
      </c>
      <c r="I77" s="5"/>
      <c r="J77" s="82">
        <v>0</v>
      </c>
      <c r="K77" s="82">
        <v>0</v>
      </c>
    </row>
    <row r="78" spans="1:11" s="1" customFormat="1" ht="15" customHeight="1" x14ac:dyDescent="0.3">
      <c r="A78" s="49">
        <f>MAX(A76:A77)+1</f>
        <v>8</v>
      </c>
      <c r="B78" s="14" t="s">
        <v>141</v>
      </c>
      <c r="C78" s="14"/>
      <c r="D78" s="18" t="s">
        <v>140</v>
      </c>
      <c r="E78" s="74"/>
      <c r="F78" s="19">
        <v>63</v>
      </c>
      <c r="G78" s="16"/>
      <c r="H78" s="20" t="s">
        <v>60</v>
      </c>
      <c r="I78" s="5"/>
      <c r="J78" s="82">
        <v>0</v>
      </c>
      <c r="K78" s="82">
        <v>0</v>
      </c>
    </row>
    <row r="79" spans="1:11" ht="14.4" x14ac:dyDescent="0.3">
      <c r="B79" s="21"/>
      <c r="D79" s="2"/>
    </row>
    <row r="80" spans="1:11" s="1" customFormat="1" ht="15" customHeight="1" x14ac:dyDescent="0.3">
      <c r="A80" s="49">
        <f>MAX(A78:A79)+1</f>
        <v>9</v>
      </c>
      <c r="B80" s="14" t="s">
        <v>142</v>
      </c>
      <c r="C80" s="14"/>
      <c r="D80" s="18" t="s">
        <v>143</v>
      </c>
      <c r="E80" s="74"/>
      <c r="F80" s="19">
        <v>893</v>
      </c>
      <c r="G80" s="16"/>
      <c r="H80" s="20" t="s">
        <v>60</v>
      </c>
      <c r="I80" s="5"/>
      <c r="J80" s="82">
        <v>0</v>
      </c>
      <c r="K80" s="82">
        <v>0</v>
      </c>
    </row>
    <row r="81" spans="1:11" x14ac:dyDescent="0.3">
      <c r="D81" s="2"/>
    </row>
    <row r="82" spans="1:11" s="1" customFormat="1" ht="15" customHeight="1" x14ac:dyDescent="0.3">
      <c r="A82" s="49">
        <f>MAX(A80:A81)+1</f>
        <v>10</v>
      </c>
      <c r="B82" s="14" t="s">
        <v>144</v>
      </c>
      <c r="C82" s="14"/>
      <c r="D82" s="18" t="s">
        <v>145</v>
      </c>
      <c r="E82" s="74"/>
      <c r="F82" s="19">
        <v>1144</v>
      </c>
      <c r="G82" s="16"/>
      <c r="H82" s="20"/>
      <c r="I82" s="5"/>
      <c r="J82" s="82">
        <v>0</v>
      </c>
      <c r="K82" s="82">
        <v>0</v>
      </c>
    </row>
    <row r="83" spans="1:11" s="1" customFormat="1" ht="15" customHeight="1" x14ac:dyDescent="0.3">
      <c r="A83" s="49">
        <f>MAX(A82:A82)+1</f>
        <v>11</v>
      </c>
      <c r="B83" s="14" t="s">
        <v>146</v>
      </c>
      <c r="C83" s="14"/>
      <c r="D83" s="18" t="s">
        <v>147</v>
      </c>
      <c r="E83" s="74"/>
      <c r="F83" s="19">
        <v>141</v>
      </c>
      <c r="G83" s="16"/>
      <c r="H83" s="20"/>
      <c r="I83" s="5"/>
      <c r="J83" s="82">
        <v>0</v>
      </c>
      <c r="K83" s="82">
        <v>0</v>
      </c>
    </row>
    <row r="84" spans="1:11" x14ac:dyDescent="0.3">
      <c r="D84" s="2"/>
    </row>
    <row r="85" spans="1:11" s="1" customFormat="1" ht="15" customHeight="1" x14ac:dyDescent="0.3">
      <c r="A85" s="49">
        <f t="shared" ref="A85:A91" si="1">MAX(A83:A84)+1</f>
        <v>12</v>
      </c>
      <c r="B85" s="14" t="s">
        <v>148</v>
      </c>
      <c r="C85" s="14"/>
      <c r="D85" s="18" t="s">
        <v>149</v>
      </c>
      <c r="E85" s="74"/>
      <c r="F85" s="19">
        <v>831</v>
      </c>
      <c r="G85" s="16"/>
      <c r="H85" s="20" t="s">
        <v>60</v>
      </c>
      <c r="I85" s="5"/>
      <c r="J85" s="82">
        <v>0</v>
      </c>
      <c r="K85" s="82">
        <v>0</v>
      </c>
    </row>
    <row r="86" spans="1:11" s="1" customFormat="1" ht="15" customHeight="1" x14ac:dyDescent="0.3">
      <c r="A86" s="49">
        <f t="shared" si="1"/>
        <v>13</v>
      </c>
      <c r="B86" s="14" t="s">
        <v>150</v>
      </c>
      <c r="C86" s="14"/>
      <c r="D86" s="18" t="s">
        <v>151</v>
      </c>
      <c r="E86" s="74"/>
      <c r="F86" s="19">
        <v>387</v>
      </c>
      <c r="G86" s="16"/>
      <c r="H86" s="20"/>
      <c r="I86" s="5"/>
      <c r="J86" s="82">
        <v>0</v>
      </c>
      <c r="K86" s="82">
        <v>0</v>
      </c>
    </row>
    <row r="87" spans="1:11" s="1" customFormat="1" ht="15" customHeight="1" x14ac:dyDescent="0.3">
      <c r="A87" s="49">
        <f t="shared" si="1"/>
        <v>14</v>
      </c>
      <c r="B87" s="14" t="s">
        <v>152</v>
      </c>
      <c r="C87" s="14"/>
      <c r="D87" s="18" t="s">
        <v>153</v>
      </c>
      <c r="E87" s="74"/>
      <c r="F87" s="19">
        <v>9</v>
      </c>
      <c r="G87" s="16"/>
      <c r="H87" s="20"/>
      <c r="I87" s="5"/>
      <c r="J87" s="82">
        <v>0</v>
      </c>
      <c r="K87" s="82">
        <v>0</v>
      </c>
    </row>
    <row r="88" spans="1:11" ht="14.4" x14ac:dyDescent="0.3">
      <c r="A88" s="49"/>
      <c r="B88" s="21"/>
      <c r="D88" s="2"/>
    </row>
    <row r="89" spans="1:11" s="1" customFormat="1" ht="15" customHeight="1" x14ac:dyDescent="0.3">
      <c r="A89" s="49">
        <f t="shared" si="1"/>
        <v>15</v>
      </c>
      <c r="B89" s="14" t="s">
        <v>154</v>
      </c>
      <c r="C89" s="14"/>
      <c r="D89" s="18" t="s">
        <v>154</v>
      </c>
      <c r="E89" s="74"/>
      <c r="F89" s="19">
        <v>7204</v>
      </c>
      <c r="G89" s="16"/>
      <c r="H89" s="20" t="s">
        <v>60</v>
      </c>
      <c r="I89" s="5"/>
      <c r="J89" s="82">
        <v>0</v>
      </c>
      <c r="K89" s="82">
        <v>0</v>
      </c>
    </row>
    <row r="90" spans="1:11" s="1" customFormat="1" ht="15" customHeight="1" x14ac:dyDescent="0.3">
      <c r="A90" s="49">
        <f t="shared" si="1"/>
        <v>16</v>
      </c>
      <c r="B90" s="14" t="s">
        <v>155</v>
      </c>
      <c r="C90" s="14"/>
      <c r="D90" s="18" t="s">
        <v>156</v>
      </c>
      <c r="E90" s="74"/>
      <c r="F90" s="19">
        <v>266</v>
      </c>
      <c r="G90" s="16"/>
      <c r="H90" s="20" t="s">
        <v>60</v>
      </c>
      <c r="I90" s="5"/>
      <c r="J90" s="82">
        <v>0</v>
      </c>
      <c r="K90" s="82">
        <v>0</v>
      </c>
    </row>
    <row r="91" spans="1:11" s="1" customFormat="1" ht="15" customHeight="1" x14ac:dyDescent="0.3">
      <c r="A91" s="49">
        <f t="shared" si="1"/>
        <v>17</v>
      </c>
      <c r="B91" s="14" t="s">
        <v>157</v>
      </c>
      <c r="C91" s="14"/>
      <c r="D91" s="18" t="s">
        <v>158</v>
      </c>
      <c r="E91" s="74"/>
      <c r="F91" s="19">
        <v>762</v>
      </c>
      <c r="G91" s="16"/>
      <c r="H91" s="20" t="s">
        <v>60</v>
      </c>
      <c r="I91" s="5"/>
      <c r="J91" s="82">
        <v>0</v>
      </c>
      <c r="K91" s="82">
        <v>0</v>
      </c>
    </row>
    <row r="92" spans="1:11" ht="14.4" x14ac:dyDescent="0.3">
      <c r="B92" s="165"/>
      <c r="D92" s="2"/>
    </row>
    <row r="93" spans="1:11" x14ac:dyDescent="0.3">
      <c r="D93" s="2"/>
      <c r="E93" s="76"/>
    </row>
    <row r="94" spans="1:11" ht="27.6" x14ac:dyDescent="0.3">
      <c r="A94" s="77" t="s">
        <v>47</v>
      </c>
      <c r="B94" s="78" t="s">
        <v>159</v>
      </c>
      <c r="C94" s="78"/>
      <c r="D94" s="35" t="s">
        <v>160</v>
      </c>
      <c r="E94" s="166" t="s">
        <v>51</v>
      </c>
      <c r="F94" s="79" t="s">
        <v>52</v>
      </c>
      <c r="G94" s="80" t="s">
        <v>53</v>
      </c>
      <c r="H94" s="81" t="s">
        <v>54</v>
      </c>
    </row>
    <row r="95" spans="1:11" x14ac:dyDescent="0.3">
      <c r="B95" s="2" t="s">
        <v>161</v>
      </c>
      <c r="D95" s="2"/>
    </row>
    <row r="96" spans="1:11" x14ac:dyDescent="0.3">
      <c r="D96" s="2"/>
      <c r="E96" s="76"/>
    </row>
    <row r="97" spans="1:8" ht="27.6" x14ac:dyDescent="0.3">
      <c r="A97" s="77" t="s">
        <v>47</v>
      </c>
      <c r="B97" s="78" t="s">
        <v>162</v>
      </c>
      <c r="C97" s="78"/>
      <c r="D97" s="35" t="s">
        <v>160</v>
      </c>
      <c r="E97" s="166" t="s">
        <v>51</v>
      </c>
      <c r="F97" s="79" t="s">
        <v>52</v>
      </c>
      <c r="G97" s="80" t="s">
        <v>53</v>
      </c>
      <c r="H97" s="81" t="s">
        <v>54</v>
      </c>
    </row>
    <row r="98" spans="1:8" x14ac:dyDescent="0.3">
      <c r="B98" s="2" t="s">
        <v>163</v>
      </c>
      <c r="D98" s="2"/>
    </row>
    <row r="99" spans="1:8" x14ac:dyDescent="0.3">
      <c r="D99" s="2"/>
      <c r="E99" s="76"/>
    </row>
  </sheetData>
  <sheetProtection selectLockedCells="1" selectUnlockedCells="1"/>
  <mergeCells count="8">
    <mergeCell ref="J14:K14"/>
    <mergeCell ref="J53:K53"/>
    <mergeCell ref="B4:K4"/>
    <mergeCell ref="J67:K67"/>
    <mergeCell ref="J5:K5"/>
    <mergeCell ref="J27:K27"/>
    <mergeCell ref="J36:K36"/>
    <mergeCell ref="J58:K58"/>
  </mergeCells>
  <printOptions horizontalCentered="1"/>
  <pageMargins left="0.70866141732283472" right="0.70866141732283472" top="1.1023622047244095" bottom="0.86614173228346458" header="0.31496062992125984" footer="0.31496062992125984"/>
  <pageSetup paperSize="9" scale="41" orientation="portrait" r:id="rId1"/>
  <headerFooter>
    <oddHeader xml:space="preserve">&amp;C&amp;"-,Fett"
Table A: Mechanical Installation - Labour Breakdow
</oddHeader>
    <oddFooter>&amp;LSiemens Postal, Parcel &amp; Airport Logistics GmbH
Lilienthalstr. 16/18
78467 Konstanz
Deutschland&amp;CName: &amp;F 
Datum: &amp;D
Seite &amp;P von &amp;N&amp;RSupplier TBD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E9F3A-FF0E-48E1-840A-9330C6D44A28}">
  <sheetPr codeName="Sheet6"/>
  <dimension ref="A1:N318"/>
  <sheetViews>
    <sheetView tabSelected="1" zoomScale="60" zoomScaleNormal="60" workbookViewId="0">
      <pane ySplit="20" topLeftCell="A49" activePane="bottomLeft" state="frozen"/>
      <selection activeCell="C29" sqref="C29:D29"/>
      <selection pane="bottomLeft" activeCell="G22" sqref="G22:G63"/>
    </sheetView>
  </sheetViews>
  <sheetFormatPr defaultColWidth="12.5546875" defaultRowHeight="14.4" outlineLevelRow="1" outlineLevelCol="1" x14ac:dyDescent="0.3"/>
  <cols>
    <col min="1" max="1" width="40.33203125" customWidth="1" outlineLevel="1"/>
    <col min="2" max="2" width="7.44140625" style="113" bestFit="1" customWidth="1"/>
    <col min="3" max="3" width="46.6640625" style="164" customWidth="1"/>
    <col min="4" max="4" width="30.6640625" style="186" customWidth="1"/>
    <col min="5" max="5" width="14.6640625" style="114" customWidth="1"/>
    <col min="6" max="6" width="45" style="115" customWidth="1"/>
    <col min="7" max="7" width="39.5546875" style="116" customWidth="1"/>
    <col min="8" max="8" width="8.33203125" style="116" customWidth="1"/>
    <col min="9" max="9" width="15.33203125" style="117" customWidth="1" collapsed="1"/>
    <col min="10" max="10" width="15.33203125" style="117" customWidth="1"/>
    <col min="11" max="11" width="15.33203125" style="118" customWidth="1"/>
    <col min="12" max="12" width="15.6640625" style="118" customWidth="1"/>
    <col min="13" max="13" width="3.33203125" style="118" customWidth="1"/>
    <col min="14" max="33" width="12.5546875" style="116"/>
    <col min="34" max="34" width="7.44140625" style="116" bestFit="1" customWidth="1"/>
    <col min="35" max="35" width="56.5546875" style="116" customWidth="1"/>
    <col min="36" max="36" width="17" style="116" customWidth="1"/>
    <col min="37" max="37" width="22.33203125" style="116" bestFit="1" customWidth="1"/>
    <col min="38" max="38" width="10.33203125" style="116" bestFit="1" customWidth="1"/>
    <col min="39" max="39" width="7.6640625" style="116" customWidth="1"/>
    <col min="40" max="40" width="6.6640625" style="116" customWidth="1"/>
    <col min="41" max="43" width="15.33203125" style="116" customWidth="1"/>
    <col min="44" max="44" width="15.6640625" style="116" customWidth="1"/>
    <col min="45" max="45" width="3.33203125" style="116" customWidth="1"/>
    <col min="46" max="46" width="7.33203125" style="116" customWidth="1"/>
    <col min="47" max="47" width="6.6640625" style="116" customWidth="1"/>
    <col min="48" max="50" width="15.33203125" style="116" customWidth="1"/>
    <col min="51" max="51" width="15.6640625" style="116" customWidth="1"/>
    <col min="52" max="52" width="3.33203125" style="116" customWidth="1"/>
    <col min="53" max="53" width="7.33203125" style="116" customWidth="1"/>
    <col min="54" max="54" width="6.6640625" style="116" customWidth="1"/>
    <col min="55" max="57" width="15.33203125" style="116" customWidth="1"/>
    <col min="58" max="58" width="15.6640625" style="116" customWidth="1"/>
    <col min="59" max="59" width="3.33203125" style="116" customWidth="1"/>
    <col min="60" max="60" width="7.33203125" style="116" customWidth="1"/>
    <col min="61" max="61" width="6.6640625" style="116" customWidth="1"/>
    <col min="62" max="64" width="15.33203125" style="116" customWidth="1"/>
    <col min="65" max="65" width="15.6640625" style="116" customWidth="1"/>
    <col min="66" max="66" width="3.33203125" style="116" customWidth="1"/>
    <col min="67" max="67" width="7.33203125" style="116" customWidth="1"/>
    <col min="68" max="68" width="6.6640625" style="116" customWidth="1"/>
    <col min="69" max="71" width="15.33203125" style="116" customWidth="1"/>
    <col min="72" max="72" width="15.6640625" style="116" customWidth="1"/>
    <col min="73" max="73" width="3.33203125" style="116" customWidth="1"/>
    <col min="74" max="83" width="13.5546875" style="116" customWidth="1"/>
    <col min="84" max="289" width="12.5546875" style="116"/>
    <col min="290" max="290" width="7.44140625" style="116" bestFit="1" customWidth="1"/>
    <col min="291" max="291" width="56.5546875" style="116" customWidth="1"/>
    <col min="292" max="292" width="17" style="116" customWidth="1"/>
    <col min="293" max="293" width="22.33203125" style="116" bestFit="1" customWidth="1"/>
    <col min="294" max="294" width="10.33203125" style="116" bestFit="1" customWidth="1"/>
    <col min="295" max="295" width="7.6640625" style="116" customWidth="1"/>
    <col min="296" max="296" width="6.6640625" style="116" customWidth="1"/>
    <col min="297" max="299" width="15.33203125" style="116" customWidth="1"/>
    <col min="300" max="300" width="15.6640625" style="116" customWidth="1"/>
    <col min="301" max="301" width="3.33203125" style="116" customWidth="1"/>
    <col min="302" max="302" width="7.33203125" style="116" customWidth="1"/>
    <col min="303" max="303" width="6.6640625" style="116" customWidth="1"/>
    <col min="304" max="306" width="15.33203125" style="116" customWidth="1"/>
    <col min="307" max="307" width="15.6640625" style="116" customWidth="1"/>
    <col min="308" max="308" width="3.33203125" style="116" customWidth="1"/>
    <col min="309" max="309" width="7.33203125" style="116" customWidth="1"/>
    <col min="310" max="310" width="6.6640625" style="116" customWidth="1"/>
    <col min="311" max="313" width="15.33203125" style="116" customWidth="1"/>
    <col min="314" max="314" width="15.6640625" style="116" customWidth="1"/>
    <col min="315" max="315" width="3.33203125" style="116" customWidth="1"/>
    <col min="316" max="316" width="7.33203125" style="116" customWidth="1"/>
    <col min="317" max="317" width="6.6640625" style="116" customWidth="1"/>
    <col min="318" max="320" width="15.33203125" style="116" customWidth="1"/>
    <col min="321" max="321" width="15.6640625" style="116" customWidth="1"/>
    <col min="322" max="322" width="3.33203125" style="116" customWidth="1"/>
    <col min="323" max="323" width="7.33203125" style="116" customWidth="1"/>
    <col min="324" max="324" width="6.6640625" style="116" customWidth="1"/>
    <col min="325" max="327" width="15.33203125" style="116" customWidth="1"/>
    <col min="328" max="328" width="15.6640625" style="116" customWidth="1"/>
    <col min="329" max="329" width="3.33203125" style="116" customWidth="1"/>
    <col min="330" max="339" width="13.5546875" style="116" customWidth="1"/>
    <col min="340" max="545" width="12.5546875" style="116"/>
    <col min="546" max="546" width="7.44140625" style="116" bestFit="1" customWidth="1"/>
    <col min="547" max="547" width="56.5546875" style="116" customWidth="1"/>
    <col min="548" max="548" width="17" style="116" customWidth="1"/>
    <col min="549" max="549" width="22.33203125" style="116" bestFit="1" customWidth="1"/>
    <col min="550" max="550" width="10.33203125" style="116" bestFit="1" customWidth="1"/>
    <col min="551" max="551" width="7.6640625" style="116" customWidth="1"/>
    <col min="552" max="552" width="6.6640625" style="116" customWidth="1"/>
    <col min="553" max="555" width="15.33203125" style="116" customWidth="1"/>
    <col min="556" max="556" width="15.6640625" style="116" customWidth="1"/>
    <col min="557" max="557" width="3.33203125" style="116" customWidth="1"/>
    <col min="558" max="558" width="7.33203125" style="116" customWidth="1"/>
    <col min="559" max="559" width="6.6640625" style="116" customWidth="1"/>
    <col min="560" max="562" width="15.33203125" style="116" customWidth="1"/>
    <col min="563" max="563" width="15.6640625" style="116" customWidth="1"/>
    <col min="564" max="564" width="3.33203125" style="116" customWidth="1"/>
    <col min="565" max="565" width="7.33203125" style="116" customWidth="1"/>
    <col min="566" max="566" width="6.6640625" style="116" customWidth="1"/>
    <col min="567" max="569" width="15.33203125" style="116" customWidth="1"/>
    <col min="570" max="570" width="15.6640625" style="116" customWidth="1"/>
    <col min="571" max="571" width="3.33203125" style="116" customWidth="1"/>
    <col min="572" max="572" width="7.33203125" style="116" customWidth="1"/>
    <col min="573" max="573" width="6.6640625" style="116" customWidth="1"/>
    <col min="574" max="576" width="15.33203125" style="116" customWidth="1"/>
    <col min="577" max="577" width="15.6640625" style="116" customWidth="1"/>
    <col min="578" max="578" width="3.33203125" style="116" customWidth="1"/>
    <col min="579" max="579" width="7.33203125" style="116" customWidth="1"/>
    <col min="580" max="580" width="6.6640625" style="116" customWidth="1"/>
    <col min="581" max="583" width="15.33203125" style="116" customWidth="1"/>
    <col min="584" max="584" width="15.6640625" style="116" customWidth="1"/>
    <col min="585" max="585" width="3.33203125" style="116" customWidth="1"/>
    <col min="586" max="595" width="13.5546875" style="116" customWidth="1"/>
    <col min="596" max="801" width="12.5546875" style="116"/>
    <col min="802" max="802" width="7.44140625" style="116" bestFit="1" customWidth="1"/>
    <col min="803" max="803" width="56.5546875" style="116" customWidth="1"/>
    <col min="804" max="804" width="17" style="116" customWidth="1"/>
    <col min="805" max="805" width="22.33203125" style="116" bestFit="1" customWidth="1"/>
    <col min="806" max="806" width="10.33203125" style="116" bestFit="1" customWidth="1"/>
    <col min="807" max="807" width="7.6640625" style="116" customWidth="1"/>
    <col min="808" max="808" width="6.6640625" style="116" customWidth="1"/>
    <col min="809" max="811" width="15.33203125" style="116" customWidth="1"/>
    <col min="812" max="812" width="15.6640625" style="116" customWidth="1"/>
    <col min="813" max="813" width="3.33203125" style="116" customWidth="1"/>
    <col min="814" max="814" width="7.33203125" style="116" customWidth="1"/>
    <col min="815" max="815" width="6.6640625" style="116" customWidth="1"/>
    <col min="816" max="818" width="15.33203125" style="116" customWidth="1"/>
    <col min="819" max="819" width="15.6640625" style="116" customWidth="1"/>
    <col min="820" max="820" width="3.33203125" style="116" customWidth="1"/>
    <col min="821" max="821" width="7.33203125" style="116" customWidth="1"/>
    <col min="822" max="822" width="6.6640625" style="116" customWidth="1"/>
    <col min="823" max="825" width="15.33203125" style="116" customWidth="1"/>
    <col min="826" max="826" width="15.6640625" style="116" customWidth="1"/>
    <col min="827" max="827" width="3.33203125" style="116" customWidth="1"/>
    <col min="828" max="828" width="7.33203125" style="116" customWidth="1"/>
    <col min="829" max="829" width="6.6640625" style="116" customWidth="1"/>
    <col min="830" max="832" width="15.33203125" style="116" customWidth="1"/>
    <col min="833" max="833" width="15.6640625" style="116" customWidth="1"/>
    <col min="834" max="834" width="3.33203125" style="116" customWidth="1"/>
    <col min="835" max="835" width="7.33203125" style="116" customWidth="1"/>
    <col min="836" max="836" width="6.6640625" style="116" customWidth="1"/>
    <col min="837" max="839" width="15.33203125" style="116" customWidth="1"/>
    <col min="840" max="840" width="15.6640625" style="116" customWidth="1"/>
    <col min="841" max="841" width="3.33203125" style="116" customWidth="1"/>
    <col min="842" max="851" width="13.5546875" style="116" customWidth="1"/>
    <col min="852" max="1057" width="12.5546875" style="116"/>
    <col min="1058" max="1058" width="7.44140625" style="116" bestFit="1" customWidth="1"/>
    <col min="1059" max="1059" width="56.5546875" style="116" customWidth="1"/>
    <col min="1060" max="1060" width="17" style="116" customWidth="1"/>
    <col min="1061" max="1061" width="22.33203125" style="116" bestFit="1" customWidth="1"/>
    <col min="1062" max="1062" width="10.33203125" style="116" bestFit="1" customWidth="1"/>
    <col min="1063" max="1063" width="7.6640625" style="116" customWidth="1"/>
    <col min="1064" max="1064" width="6.6640625" style="116" customWidth="1"/>
    <col min="1065" max="1067" width="15.33203125" style="116" customWidth="1"/>
    <col min="1068" max="1068" width="15.6640625" style="116" customWidth="1"/>
    <col min="1069" max="1069" width="3.33203125" style="116" customWidth="1"/>
    <col min="1070" max="1070" width="7.33203125" style="116" customWidth="1"/>
    <col min="1071" max="1071" width="6.6640625" style="116" customWidth="1"/>
    <col min="1072" max="1074" width="15.33203125" style="116" customWidth="1"/>
    <col min="1075" max="1075" width="15.6640625" style="116" customWidth="1"/>
    <col min="1076" max="1076" width="3.33203125" style="116" customWidth="1"/>
    <col min="1077" max="1077" width="7.33203125" style="116" customWidth="1"/>
    <col min="1078" max="1078" width="6.6640625" style="116" customWidth="1"/>
    <col min="1079" max="1081" width="15.33203125" style="116" customWidth="1"/>
    <col min="1082" max="1082" width="15.6640625" style="116" customWidth="1"/>
    <col min="1083" max="1083" width="3.33203125" style="116" customWidth="1"/>
    <col min="1084" max="1084" width="7.33203125" style="116" customWidth="1"/>
    <col min="1085" max="1085" width="6.6640625" style="116" customWidth="1"/>
    <col min="1086" max="1088" width="15.33203125" style="116" customWidth="1"/>
    <col min="1089" max="1089" width="15.6640625" style="116" customWidth="1"/>
    <col min="1090" max="1090" width="3.33203125" style="116" customWidth="1"/>
    <col min="1091" max="1091" width="7.33203125" style="116" customWidth="1"/>
    <col min="1092" max="1092" width="6.6640625" style="116" customWidth="1"/>
    <col min="1093" max="1095" width="15.33203125" style="116" customWidth="1"/>
    <col min="1096" max="1096" width="15.6640625" style="116" customWidth="1"/>
    <col min="1097" max="1097" width="3.33203125" style="116" customWidth="1"/>
    <col min="1098" max="1107" width="13.5546875" style="116" customWidth="1"/>
    <col min="1108" max="1313" width="12.5546875" style="116"/>
    <col min="1314" max="1314" width="7.44140625" style="116" bestFit="1" customWidth="1"/>
    <col min="1315" max="1315" width="56.5546875" style="116" customWidth="1"/>
    <col min="1316" max="1316" width="17" style="116" customWidth="1"/>
    <col min="1317" max="1317" width="22.33203125" style="116" bestFit="1" customWidth="1"/>
    <col min="1318" max="1318" width="10.33203125" style="116" bestFit="1" customWidth="1"/>
    <col min="1319" max="1319" width="7.6640625" style="116" customWidth="1"/>
    <col min="1320" max="1320" width="6.6640625" style="116" customWidth="1"/>
    <col min="1321" max="1323" width="15.33203125" style="116" customWidth="1"/>
    <col min="1324" max="1324" width="15.6640625" style="116" customWidth="1"/>
    <col min="1325" max="1325" width="3.33203125" style="116" customWidth="1"/>
    <col min="1326" max="1326" width="7.33203125" style="116" customWidth="1"/>
    <col min="1327" max="1327" width="6.6640625" style="116" customWidth="1"/>
    <col min="1328" max="1330" width="15.33203125" style="116" customWidth="1"/>
    <col min="1331" max="1331" width="15.6640625" style="116" customWidth="1"/>
    <col min="1332" max="1332" width="3.33203125" style="116" customWidth="1"/>
    <col min="1333" max="1333" width="7.33203125" style="116" customWidth="1"/>
    <col min="1334" max="1334" width="6.6640625" style="116" customWidth="1"/>
    <col min="1335" max="1337" width="15.33203125" style="116" customWidth="1"/>
    <col min="1338" max="1338" width="15.6640625" style="116" customWidth="1"/>
    <col min="1339" max="1339" width="3.33203125" style="116" customWidth="1"/>
    <col min="1340" max="1340" width="7.33203125" style="116" customWidth="1"/>
    <col min="1341" max="1341" width="6.6640625" style="116" customWidth="1"/>
    <col min="1342" max="1344" width="15.33203125" style="116" customWidth="1"/>
    <col min="1345" max="1345" width="15.6640625" style="116" customWidth="1"/>
    <col min="1346" max="1346" width="3.33203125" style="116" customWidth="1"/>
    <col min="1347" max="1347" width="7.33203125" style="116" customWidth="1"/>
    <col min="1348" max="1348" width="6.6640625" style="116" customWidth="1"/>
    <col min="1349" max="1351" width="15.33203125" style="116" customWidth="1"/>
    <col min="1352" max="1352" width="15.6640625" style="116" customWidth="1"/>
    <col min="1353" max="1353" width="3.33203125" style="116" customWidth="1"/>
    <col min="1354" max="1363" width="13.5546875" style="116" customWidth="1"/>
    <col min="1364" max="1569" width="12.5546875" style="116"/>
    <col min="1570" max="1570" width="7.44140625" style="116" bestFit="1" customWidth="1"/>
    <col min="1571" max="1571" width="56.5546875" style="116" customWidth="1"/>
    <col min="1572" max="1572" width="17" style="116" customWidth="1"/>
    <col min="1573" max="1573" width="22.33203125" style="116" bestFit="1" customWidth="1"/>
    <col min="1574" max="1574" width="10.33203125" style="116" bestFit="1" customWidth="1"/>
    <col min="1575" max="1575" width="7.6640625" style="116" customWidth="1"/>
    <col min="1576" max="1576" width="6.6640625" style="116" customWidth="1"/>
    <col min="1577" max="1579" width="15.33203125" style="116" customWidth="1"/>
    <col min="1580" max="1580" width="15.6640625" style="116" customWidth="1"/>
    <col min="1581" max="1581" width="3.33203125" style="116" customWidth="1"/>
    <col min="1582" max="1582" width="7.33203125" style="116" customWidth="1"/>
    <col min="1583" max="1583" width="6.6640625" style="116" customWidth="1"/>
    <col min="1584" max="1586" width="15.33203125" style="116" customWidth="1"/>
    <col min="1587" max="1587" width="15.6640625" style="116" customWidth="1"/>
    <col min="1588" max="1588" width="3.33203125" style="116" customWidth="1"/>
    <col min="1589" max="1589" width="7.33203125" style="116" customWidth="1"/>
    <col min="1590" max="1590" width="6.6640625" style="116" customWidth="1"/>
    <col min="1591" max="1593" width="15.33203125" style="116" customWidth="1"/>
    <col min="1594" max="1594" width="15.6640625" style="116" customWidth="1"/>
    <col min="1595" max="1595" width="3.33203125" style="116" customWidth="1"/>
    <col min="1596" max="1596" width="7.33203125" style="116" customWidth="1"/>
    <col min="1597" max="1597" width="6.6640625" style="116" customWidth="1"/>
    <col min="1598" max="1600" width="15.33203125" style="116" customWidth="1"/>
    <col min="1601" max="1601" width="15.6640625" style="116" customWidth="1"/>
    <col min="1602" max="1602" width="3.33203125" style="116" customWidth="1"/>
    <col min="1603" max="1603" width="7.33203125" style="116" customWidth="1"/>
    <col min="1604" max="1604" width="6.6640625" style="116" customWidth="1"/>
    <col min="1605" max="1607" width="15.33203125" style="116" customWidth="1"/>
    <col min="1608" max="1608" width="15.6640625" style="116" customWidth="1"/>
    <col min="1609" max="1609" width="3.33203125" style="116" customWidth="1"/>
    <col min="1610" max="1619" width="13.5546875" style="116" customWidth="1"/>
    <col min="1620" max="1825" width="12.5546875" style="116"/>
    <col min="1826" max="1826" width="7.44140625" style="116" bestFit="1" customWidth="1"/>
    <col min="1827" max="1827" width="56.5546875" style="116" customWidth="1"/>
    <col min="1828" max="1828" width="17" style="116" customWidth="1"/>
    <col min="1829" max="1829" width="22.33203125" style="116" bestFit="1" customWidth="1"/>
    <col min="1830" max="1830" width="10.33203125" style="116" bestFit="1" customWidth="1"/>
    <col min="1831" max="1831" width="7.6640625" style="116" customWidth="1"/>
    <col min="1832" max="1832" width="6.6640625" style="116" customWidth="1"/>
    <col min="1833" max="1835" width="15.33203125" style="116" customWidth="1"/>
    <col min="1836" max="1836" width="15.6640625" style="116" customWidth="1"/>
    <col min="1837" max="1837" width="3.33203125" style="116" customWidth="1"/>
    <col min="1838" max="1838" width="7.33203125" style="116" customWidth="1"/>
    <col min="1839" max="1839" width="6.6640625" style="116" customWidth="1"/>
    <col min="1840" max="1842" width="15.33203125" style="116" customWidth="1"/>
    <col min="1843" max="1843" width="15.6640625" style="116" customWidth="1"/>
    <col min="1844" max="1844" width="3.33203125" style="116" customWidth="1"/>
    <col min="1845" max="1845" width="7.33203125" style="116" customWidth="1"/>
    <col min="1846" max="1846" width="6.6640625" style="116" customWidth="1"/>
    <col min="1847" max="1849" width="15.33203125" style="116" customWidth="1"/>
    <col min="1850" max="1850" width="15.6640625" style="116" customWidth="1"/>
    <col min="1851" max="1851" width="3.33203125" style="116" customWidth="1"/>
    <col min="1852" max="1852" width="7.33203125" style="116" customWidth="1"/>
    <col min="1853" max="1853" width="6.6640625" style="116" customWidth="1"/>
    <col min="1854" max="1856" width="15.33203125" style="116" customWidth="1"/>
    <col min="1857" max="1857" width="15.6640625" style="116" customWidth="1"/>
    <col min="1858" max="1858" width="3.33203125" style="116" customWidth="1"/>
    <col min="1859" max="1859" width="7.33203125" style="116" customWidth="1"/>
    <col min="1860" max="1860" width="6.6640625" style="116" customWidth="1"/>
    <col min="1861" max="1863" width="15.33203125" style="116" customWidth="1"/>
    <col min="1864" max="1864" width="15.6640625" style="116" customWidth="1"/>
    <col min="1865" max="1865" width="3.33203125" style="116" customWidth="1"/>
    <col min="1866" max="1875" width="13.5546875" style="116" customWidth="1"/>
    <col min="1876" max="2081" width="12.5546875" style="116"/>
    <col min="2082" max="2082" width="7.44140625" style="116" bestFit="1" customWidth="1"/>
    <col min="2083" max="2083" width="56.5546875" style="116" customWidth="1"/>
    <col min="2084" max="2084" width="17" style="116" customWidth="1"/>
    <col min="2085" max="2085" width="22.33203125" style="116" bestFit="1" customWidth="1"/>
    <col min="2086" max="2086" width="10.33203125" style="116" bestFit="1" customWidth="1"/>
    <col min="2087" max="2087" width="7.6640625" style="116" customWidth="1"/>
    <col min="2088" max="2088" width="6.6640625" style="116" customWidth="1"/>
    <col min="2089" max="2091" width="15.33203125" style="116" customWidth="1"/>
    <col min="2092" max="2092" width="15.6640625" style="116" customWidth="1"/>
    <col min="2093" max="2093" width="3.33203125" style="116" customWidth="1"/>
    <col min="2094" max="2094" width="7.33203125" style="116" customWidth="1"/>
    <col min="2095" max="2095" width="6.6640625" style="116" customWidth="1"/>
    <col min="2096" max="2098" width="15.33203125" style="116" customWidth="1"/>
    <col min="2099" max="2099" width="15.6640625" style="116" customWidth="1"/>
    <col min="2100" max="2100" width="3.33203125" style="116" customWidth="1"/>
    <col min="2101" max="2101" width="7.33203125" style="116" customWidth="1"/>
    <col min="2102" max="2102" width="6.6640625" style="116" customWidth="1"/>
    <col min="2103" max="2105" width="15.33203125" style="116" customWidth="1"/>
    <col min="2106" max="2106" width="15.6640625" style="116" customWidth="1"/>
    <col min="2107" max="2107" width="3.33203125" style="116" customWidth="1"/>
    <col min="2108" max="2108" width="7.33203125" style="116" customWidth="1"/>
    <col min="2109" max="2109" width="6.6640625" style="116" customWidth="1"/>
    <col min="2110" max="2112" width="15.33203125" style="116" customWidth="1"/>
    <col min="2113" max="2113" width="15.6640625" style="116" customWidth="1"/>
    <col min="2114" max="2114" width="3.33203125" style="116" customWidth="1"/>
    <col min="2115" max="2115" width="7.33203125" style="116" customWidth="1"/>
    <col min="2116" max="2116" width="6.6640625" style="116" customWidth="1"/>
    <col min="2117" max="2119" width="15.33203125" style="116" customWidth="1"/>
    <col min="2120" max="2120" width="15.6640625" style="116" customWidth="1"/>
    <col min="2121" max="2121" width="3.33203125" style="116" customWidth="1"/>
    <col min="2122" max="2131" width="13.5546875" style="116" customWidth="1"/>
    <col min="2132" max="2337" width="12.5546875" style="116"/>
    <col min="2338" max="2338" width="7.44140625" style="116" bestFit="1" customWidth="1"/>
    <col min="2339" max="2339" width="56.5546875" style="116" customWidth="1"/>
    <col min="2340" max="2340" width="17" style="116" customWidth="1"/>
    <col min="2341" max="2341" width="22.33203125" style="116" bestFit="1" customWidth="1"/>
    <col min="2342" max="2342" width="10.33203125" style="116" bestFit="1" customWidth="1"/>
    <col min="2343" max="2343" width="7.6640625" style="116" customWidth="1"/>
    <col min="2344" max="2344" width="6.6640625" style="116" customWidth="1"/>
    <col min="2345" max="2347" width="15.33203125" style="116" customWidth="1"/>
    <col min="2348" max="2348" width="15.6640625" style="116" customWidth="1"/>
    <col min="2349" max="2349" width="3.33203125" style="116" customWidth="1"/>
    <col min="2350" max="2350" width="7.33203125" style="116" customWidth="1"/>
    <col min="2351" max="2351" width="6.6640625" style="116" customWidth="1"/>
    <col min="2352" max="2354" width="15.33203125" style="116" customWidth="1"/>
    <col min="2355" max="2355" width="15.6640625" style="116" customWidth="1"/>
    <col min="2356" max="2356" width="3.33203125" style="116" customWidth="1"/>
    <col min="2357" max="2357" width="7.33203125" style="116" customWidth="1"/>
    <col min="2358" max="2358" width="6.6640625" style="116" customWidth="1"/>
    <col min="2359" max="2361" width="15.33203125" style="116" customWidth="1"/>
    <col min="2362" max="2362" width="15.6640625" style="116" customWidth="1"/>
    <col min="2363" max="2363" width="3.33203125" style="116" customWidth="1"/>
    <col min="2364" max="2364" width="7.33203125" style="116" customWidth="1"/>
    <col min="2365" max="2365" width="6.6640625" style="116" customWidth="1"/>
    <col min="2366" max="2368" width="15.33203125" style="116" customWidth="1"/>
    <col min="2369" max="2369" width="15.6640625" style="116" customWidth="1"/>
    <col min="2370" max="2370" width="3.33203125" style="116" customWidth="1"/>
    <col min="2371" max="2371" width="7.33203125" style="116" customWidth="1"/>
    <col min="2372" max="2372" width="6.6640625" style="116" customWidth="1"/>
    <col min="2373" max="2375" width="15.33203125" style="116" customWidth="1"/>
    <col min="2376" max="2376" width="15.6640625" style="116" customWidth="1"/>
    <col min="2377" max="2377" width="3.33203125" style="116" customWidth="1"/>
    <col min="2378" max="2387" width="13.5546875" style="116" customWidth="1"/>
    <col min="2388" max="2593" width="12.5546875" style="116"/>
    <col min="2594" max="2594" width="7.44140625" style="116" bestFit="1" customWidth="1"/>
    <col min="2595" max="2595" width="56.5546875" style="116" customWidth="1"/>
    <col min="2596" max="2596" width="17" style="116" customWidth="1"/>
    <col min="2597" max="2597" width="22.33203125" style="116" bestFit="1" customWidth="1"/>
    <col min="2598" max="2598" width="10.33203125" style="116" bestFit="1" customWidth="1"/>
    <col min="2599" max="2599" width="7.6640625" style="116" customWidth="1"/>
    <col min="2600" max="2600" width="6.6640625" style="116" customWidth="1"/>
    <col min="2601" max="2603" width="15.33203125" style="116" customWidth="1"/>
    <col min="2604" max="2604" width="15.6640625" style="116" customWidth="1"/>
    <col min="2605" max="2605" width="3.33203125" style="116" customWidth="1"/>
    <col min="2606" max="2606" width="7.33203125" style="116" customWidth="1"/>
    <col min="2607" max="2607" width="6.6640625" style="116" customWidth="1"/>
    <col min="2608" max="2610" width="15.33203125" style="116" customWidth="1"/>
    <col min="2611" max="2611" width="15.6640625" style="116" customWidth="1"/>
    <col min="2612" max="2612" width="3.33203125" style="116" customWidth="1"/>
    <col min="2613" max="2613" width="7.33203125" style="116" customWidth="1"/>
    <col min="2614" max="2614" width="6.6640625" style="116" customWidth="1"/>
    <col min="2615" max="2617" width="15.33203125" style="116" customWidth="1"/>
    <col min="2618" max="2618" width="15.6640625" style="116" customWidth="1"/>
    <col min="2619" max="2619" width="3.33203125" style="116" customWidth="1"/>
    <col min="2620" max="2620" width="7.33203125" style="116" customWidth="1"/>
    <col min="2621" max="2621" width="6.6640625" style="116" customWidth="1"/>
    <col min="2622" max="2624" width="15.33203125" style="116" customWidth="1"/>
    <col min="2625" max="2625" width="15.6640625" style="116" customWidth="1"/>
    <col min="2626" max="2626" width="3.33203125" style="116" customWidth="1"/>
    <col min="2627" max="2627" width="7.33203125" style="116" customWidth="1"/>
    <col min="2628" max="2628" width="6.6640625" style="116" customWidth="1"/>
    <col min="2629" max="2631" width="15.33203125" style="116" customWidth="1"/>
    <col min="2632" max="2632" width="15.6640625" style="116" customWidth="1"/>
    <col min="2633" max="2633" width="3.33203125" style="116" customWidth="1"/>
    <col min="2634" max="2643" width="13.5546875" style="116" customWidth="1"/>
    <col min="2644" max="2849" width="12.5546875" style="116"/>
    <col min="2850" max="2850" width="7.44140625" style="116" bestFit="1" customWidth="1"/>
    <col min="2851" max="2851" width="56.5546875" style="116" customWidth="1"/>
    <col min="2852" max="2852" width="17" style="116" customWidth="1"/>
    <col min="2853" max="2853" width="22.33203125" style="116" bestFit="1" customWidth="1"/>
    <col min="2854" max="2854" width="10.33203125" style="116" bestFit="1" customWidth="1"/>
    <col min="2855" max="2855" width="7.6640625" style="116" customWidth="1"/>
    <col min="2856" max="2856" width="6.6640625" style="116" customWidth="1"/>
    <col min="2857" max="2859" width="15.33203125" style="116" customWidth="1"/>
    <col min="2860" max="2860" width="15.6640625" style="116" customWidth="1"/>
    <col min="2861" max="2861" width="3.33203125" style="116" customWidth="1"/>
    <col min="2862" max="2862" width="7.33203125" style="116" customWidth="1"/>
    <col min="2863" max="2863" width="6.6640625" style="116" customWidth="1"/>
    <col min="2864" max="2866" width="15.33203125" style="116" customWidth="1"/>
    <col min="2867" max="2867" width="15.6640625" style="116" customWidth="1"/>
    <col min="2868" max="2868" width="3.33203125" style="116" customWidth="1"/>
    <col min="2869" max="2869" width="7.33203125" style="116" customWidth="1"/>
    <col min="2870" max="2870" width="6.6640625" style="116" customWidth="1"/>
    <col min="2871" max="2873" width="15.33203125" style="116" customWidth="1"/>
    <col min="2874" max="2874" width="15.6640625" style="116" customWidth="1"/>
    <col min="2875" max="2875" width="3.33203125" style="116" customWidth="1"/>
    <col min="2876" max="2876" width="7.33203125" style="116" customWidth="1"/>
    <col min="2877" max="2877" width="6.6640625" style="116" customWidth="1"/>
    <col min="2878" max="2880" width="15.33203125" style="116" customWidth="1"/>
    <col min="2881" max="2881" width="15.6640625" style="116" customWidth="1"/>
    <col min="2882" max="2882" width="3.33203125" style="116" customWidth="1"/>
    <col min="2883" max="2883" width="7.33203125" style="116" customWidth="1"/>
    <col min="2884" max="2884" width="6.6640625" style="116" customWidth="1"/>
    <col min="2885" max="2887" width="15.33203125" style="116" customWidth="1"/>
    <col min="2888" max="2888" width="15.6640625" style="116" customWidth="1"/>
    <col min="2889" max="2889" width="3.33203125" style="116" customWidth="1"/>
    <col min="2890" max="2899" width="13.5546875" style="116" customWidth="1"/>
    <col min="2900" max="3105" width="12.5546875" style="116"/>
    <col min="3106" max="3106" width="7.44140625" style="116" bestFit="1" customWidth="1"/>
    <col min="3107" max="3107" width="56.5546875" style="116" customWidth="1"/>
    <col min="3108" max="3108" width="17" style="116" customWidth="1"/>
    <col min="3109" max="3109" width="22.33203125" style="116" bestFit="1" customWidth="1"/>
    <col min="3110" max="3110" width="10.33203125" style="116" bestFit="1" customWidth="1"/>
    <col min="3111" max="3111" width="7.6640625" style="116" customWidth="1"/>
    <col min="3112" max="3112" width="6.6640625" style="116" customWidth="1"/>
    <col min="3113" max="3115" width="15.33203125" style="116" customWidth="1"/>
    <col min="3116" max="3116" width="15.6640625" style="116" customWidth="1"/>
    <col min="3117" max="3117" width="3.33203125" style="116" customWidth="1"/>
    <col min="3118" max="3118" width="7.33203125" style="116" customWidth="1"/>
    <col min="3119" max="3119" width="6.6640625" style="116" customWidth="1"/>
    <col min="3120" max="3122" width="15.33203125" style="116" customWidth="1"/>
    <col min="3123" max="3123" width="15.6640625" style="116" customWidth="1"/>
    <col min="3124" max="3124" width="3.33203125" style="116" customWidth="1"/>
    <col min="3125" max="3125" width="7.33203125" style="116" customWidth="1"/>
    <col min="3126" max="3126" width="6.6640625" style="116" customWidth="1"/>
    <col min="3127" max="3129" width="15.33203125" style="116" customWidth="1"/>
    <col min="3130" max="3130" width="15.6640625" style="116" customWidth="1"/>
    <col min="3131" max="3131" width="3.33203125" style="116" customWidth="1"/>
    <col min="3132" max="3132" width="7.33203125" style="116" customWidth="1"/>
    <col min="3133" max="3133" width="6.6640625" style="116" customWidth="1"/>
    <col min="3134" max="3136" width="15.33203125" style="116" customWidth="1"/>
    <col min="3137" max="3137" width="15.6640625" style="116" customWidth="1"/>
    <col min="3138" max="3138" width="3.33203125" style="116" customWidth="1"/>
    <col min="3139" max="3139" width="7.33203125" style="116" customWidth="1"/>
    <col min="3140" max="3140" width="6.6640625" style="116" customWidth="1"/>
    <col min="3141" max="3143" width="15.33203125" style="116" customWidth="1"/>
    <col min="3144" max="3144" width="15.6640625" style="116" customWidth="1"/>
    <col min="3145" max="3145" width="3.33203125" style="116" customWidth="1"/>
    <col min="3146" max="3155" width="13.5546875" style="116" customWidth="1"/>
    <col min="3156" max="3361" width="12.5546875" style="116"/>
    <col min="3362" max="3362" width="7.44140625" style="116" bestFit="1" customWidth="1"/>
    <col min="3363" max="3363" width="56.5546875" style="116" customWidth="1"/>
    <col min="3364" max="3364" width="17" style="116" customWidth="1"/>
    <col min="3365" max="3365" width="22.33203125" style="116" bestFit="1" customWidth="1"/>
    <col min="3366" max="3366" width="10.33203125" style="116" bestFit="1" customWidth="1"/>
    <col min="3367" max="3367" width="7.6640625" style="116" customWidth="1"/>
    <col min="3368" max="3368" width="6.6640625" style="116" customWidth="1"/>
    <col min="3369" max="3371" width="15.33203125" style="116" customWidth="1"/>
    <col min="3372" max="3372" width="15.6640625" style="116" customWidth="1"/>
    <col min="3373" max="3373" width="3.33203125" style="116" customWidth="1"/>
    <col min="3374" max="3374" width="7.33203125" style="116" customWidth="1"/>
    <col min="3375" max="3375" width="6.6640625" style="116" customWidth="1"/>
    <col min="3376" max="3378" width="15.33203125" style="116" customWidth="1"/>
    <col min="3379" max="3379" width="15.6640625" style="116" customWidth="1"/>
    <col min="3380" max="3380" width="3.33203125" style="116" customWidth="1"/>
    <col min="3381" max="3381" width="7.33203125" style="116" customWidth="1"/>
    <col min="3382" max="3382" width="6.6640625" style="116" customWidth="1"/>
    <col min="3383" max="3385" width="15.33203125" style="116" customWidth="1"/>
    <col min="3386" max="3386" width="15.6640625" style="116" customWidth="1"/>
    <col min="3387" max="3387" width="3.33203125" style="116" customWidth="1"/>
    <col min="3388" max="3388" width="7.33203125" style="116" customWidth="1"/>
    <col min="3389" max="3389" width="6.6640625" style="116" customWidth="1"/>
    <col min="3390" max="3392" width="15.33203125" style="116" customWidth="1"/>
    <col min="3393" max="3393" width="15.6640625" style="116" customWidth="1"/>
    <col min="3394" max="3394" width="3.33203125" style="116" customWidth="1"/>
    <col min="3395" max="3395" width="7.33203125" style="116" customWidth="1"/>
    <col min="3396" max="3396" width="6.6640625" style="116" customWidth="1"/>
    <col min="3397" max="3399" width="15.33203125" style="116" customWidth="1"/>
    <col min="3400" max="3400" width="15.6640625" style="116" customWidth="1"/>
    <col min="3401" max="3401" width="3.33203125" style="116" customWidth="1"/>
    <col min="3402" max="3411" width="13.5546875" style="116" customWidth="1"/>
    <col min="3412" max="3617" width="12.5546875" style="116"/>
    <col min="3618" max="3618" width="7.44140625" style="116" bestFit="1" customWidth="1"/>
    <col min="3619" max="3619" width="56.5546875" style="116" customWidth="1"/>
    <col min="3620" max="3620" width="17" style="116" customWidth="1"/>
    <col min="3621" max="3621" width="22.33203125" style="116" bestFit="1" customWidth="1"/>
    <col min="3622" max="3622" width="10.33203125" style="116" bestFit="1" customWidth="1"/>
    <col min="3623" max="3623" width="7.6640625" style="116" customWidth="1"/>
    <col min="3624" max="3624" width="6.6640625" style="116" customWidth="1"/>
    <col min="3625" max="3627" width="15.33203125" style="116" customWidth="1"/>
    <col min="3628" max="3628" width="15.6640625" style="116" customWidth="1"/>
    <col min="3629" max="3629" width="3.33203125" style="116" customWidth="1"/>
    <col min="3630" max="3630" width="7.33203125" style="116" customWidth="1"/>
    <col min="3631" max="3631" width="6.6640625" style="116" customWidth="1"/>
    <col min="3632" max="3634" width="15.33203125" style="116" customWidth="1"/>
    <col min="3635" max="3635" width="15.6640625" style="116" customWidth="1"/>
    <col min="3636" max="3636" width="3.33203125" style="116" customWidth="1"/>
    <col min="3637" max="3637" width="7.33203125" style="116" customWidth="1"/>
    <col min="3638" max="3638" width="6.6640625" style="116" customWidth="1"/>
    <col min="3639" max="3641" width="15.33203125" style="116" customWidth="1"/>
    <col min="3642" max="3642" width="15.6640625" style="116" customWidth="1"/>
    <col min="3643" max="3643" width="3.33203125" style="116" customWidth="1"/>
    <col min="3644" max="3644" width="7.33203125" style="116" customWidth="1"/>
    <col min="3645" max="3645" width="6.6640625" style="116" customWidth="1"/>
    <col min="3646" max="3648" width="15.33203125" style="116" customWidth="1"/>
    <col min="3649" max="3649" width="15.6640625" style="116" customWidth="1"/>
    <col min="3650" max="3650" width="3.33203125" style="116" customWidth="1"/>
    <col min="3651" max="3651" width="7.33203125" style="116" customWidth="1"/>
    <col min="3652" max="3652" width="6.6640625" style="116" customWidth="1"/>
    <col min="3653" max="3655" width="15.33203125" style="116" customWidth="1"/>
    <col min="3656" max="3656" width="15.6640625" style="116" customWidth="1"/>
    <col min="3657" max="3657" width="3.33203125" style="116" customWidth="1"/>
    <col min="3658" max="3667" width="13.5546875" style="116" customWidth="1"/>
    <col min="3668" max="3873" width="12.5546875" style="116"/>
    <col min="3874" max="3874" width="7.44140625" style="116" bestFit="1" customWidth="1"/>
    <col min="3875" max="3875" width="56.5546875" style="116" customWidth="1"/>
    <col min="3876" max="3876" width="17" style="116" customWidth="1"/>
    <col min="3877" max="3877" width="22.33203125" style="116" bestFit="1" customWidth="1"/>
    <col min="3878" max="3878" width="10.33203125" style="116" bestFit="1" customWidth="1"/>
    <col min="3879" max="3879" width="7.6640625" style="116" customWidth="1"/>
    <col min="3880" max="3880" width="6.6640625" style="116" customWidth="1"/>
    <col min="3881" max="3883" width="15.33203125" style="116" customWidth="1"/>
    <col min="3884" max="3884" width="15.6640625" style="116" customWidth="1"/>
    <col min="3885" max="3885" width="3.33203125" style="116" customWidth="1"/>
    <col min="3886" max="3886" width="7.33203125" style="116" customWidth="1"/>
    <col min="3887" max="3887" width="6.6640625" style="116" customWidth="1"/>
    <col min="3888" max="3890" width="15.33203125" style="116" customWidth="1"/>
    <col min="3891" max="3891" width="15.6640625" style="116" customWidth="1"/>
    <col min="3892" max="3892" width="3.33203125" style="116" customWidth="1"/>
    <col min="3893" max="3893" width="7.33203125" style="116" customWidth="1"/>
    <col min="3894" max="3894" width="6.6640625" style="116" customWidth="1"/>
    <col min="3895" max="3897" width="15.33203125" style="116" customWidth="1"/>
    <col min="3898" max="3898" width="15.6640625" style="116" customWidth="1"/>
    <col min="3899" max="3899" width="3.33203125" style="116" customWidth="1"/>
    <col min="3900" max="3900" width="7.33203125" style="116" customWidth="1"/>
    <col min="3901" max="3901" width="6.6640625" style="116" customWidth="1"/>
    <col min="3902" max="3904" width="15.33203125" style="116" customWidth="1"/>
    <col min="3905" max="3905" width="15.6640625" style="116" customWidth="1"/>
    <col min="3906" max="3906" width="3.33203125" style="116" customWidth="1"/>
    <col min="3907" max="3907" width="7.33203125" style="116" customWidth="1"/>
    <col min="3908" max="3908" width="6.6640625" style="116" customWidth="1"/>
    <col min="3909" max="3911" width="15.33203125" style="116" customWidth="1"/>
    <col min="3912" max="3912" width="15.6640625" style="116" customWidth="1"/>
    <col min="3913" max="3913" width="3.33203125" style="116" customWidth="1"/>
    <col min="3914" max="3923" width="13.5546875" style="116" customWidth="1"/>
    <col min="3924" max="4129" width="12.5546875" style="116"/>
    <col min="4130" max="4130" width="7.44140625" style="116" bestFit="1" customWidth="1"/>
    <col min="4131" max="4131" width="56.5546875" style="116" customWidth="1"/>
    <col min="4132" max="4132" width="17" style="116" customWidth="1"/>
    <col min="4133" max="4133" width="22.33203125" style="116" bestFit="1" customWidth="1"/>
    <col min="4134" max="4134" width="10.33203125" style="116" bestFit="1" customWidth="1"/>
    <col min="4135" max="4135" width="7.6640625" style="116" customWidth="1"/>
    <col min="4136" max="4136" width="6.6640625" style="116" customWidth="1"/>
    <col min="4137" max="4139" width="15.33203125" style="116" customWidth="1"/>
    <col min="4140" max="4140" width="15.6640625" style="116" customWidth="1"/>
    <col min="4141" max="4141" width="3.33203125" style="116" customWidth="1"/>
    <col min="4142" max="4142" width="7.33203125" style="116" customWidth="1"/>
    <col min="4143" max="4143" width="6.6640625" style="116" customWidth="1"/>
    <col min="4144" max="4146" width="15.33203125" style="116" customWidth="1"/>
    <col min="4147" max="4147" width="15.6640625" style="116" customWidth="1"/>
    <col min="4148" max="4148" width="3.33203125" style="116" customWidth="1"/>
    <col min="4149" max="4149" width="7.33203125" style="116" customWidth="1"/>
    <col min="4150" max="4150" width="6.6640625" style="116" customWidth="1"/>
    <col min="4151" max="4153" width="15.33203125" style="116" customWidth="1"/>
    <col min="4154" max="4154" width="15.6640625" style="116" customWidth="1"/>
    <col min="4155" max="4155" width="3.33203125" style="116" customWidth="1"/>
    <col min="4156" max="4156" width="7.33203125" style="116" customWidth="1"/>
    <col min="4157" max="4157" width="6.6640625" style="116" customWidth="1"/>
    <col min="4158" max="4160" width="15.33203125" style="116" customWidth="1"/>
    <col min="4161" max="4161" width="15.6640625" style="116" customWidth="1"/>
    <col min="4162" max="4162" width="3.33203125" style="116" customWidth="1"/>
    <col min="4163" max="4163" width="7.33203125" style="116" customWidth="1"/>
    <col min="4164" max="4164" width="6.6640625" style="116" customWidth="1"/>
    <col min="4165" max="4167" width="15.33203125" style="116" customWidth="1"/>
    <col min="4168" max="4168" width="15.6640625" style="116" customWidth="1"/>
    <col min="4169" max="4169" width="3.33203125" style="116" customWidth="1"/>
    <col min="4170" max="4179" width="13.5546875" style="116" customWidth="1"/>
    <col min="4180" max="4385" width="12.5546875" style="116"/>
    <col min="4386" max="4386" width="7.44140625" style="116" bestFit="1" customWidth="1"/>
    <col min="4387" max="4387" width="56.5546875" style="116" customWidth="1"/>
    <col min="4388" max="4388" width="17" style="116" customWidth="1"/>
    <col min="4389" max="4389" width="22.33203125" style="116" bestFit="1" customWidth="1"/>
    <col min="4390" max="4390" width="10.33203125" style="116" bestFit="1" customWidth="1"/>
    <col min="4391" max="4391" width="7.6640625" style="116" customWidth="1"/>
    <col min="4392" max="4392" width="6.6640625" style="116" customWidth="1"/>
    <col min="4393" max="4395" width="15.33203125" style="116" customWidth="1"/>
    <col min="4396" max="4396" width="15.6640625" style="116" customWidth="1"/>
    <col min="4397" max="4397" width="3.33203125" style="116" customWidth="1"/>
    <col min="4398" max="4398" width="7.33203125" style="116" customWidth="1"/>
    <col min="4399" max="4399" width="6.6640625" style="116" customWidth="1"/>
    <col min="4400" max="4402" width="15.33203125" style="116" customWidth="1"/>
    <col min="4403" max="4403" width="15.6640625" style="116" customWidth="1"/>
    <col min="4404" max="4404" width="3.33203125" style="116" customWidth="1"/>
    <col min="4405" max="4405" width="7.33203125" style="116" customWidth="1"/>
    <col min="4406" max="4406" width="6.6640625" style="116" customWidth="1"/>
    <col min="4407" max="4409" width="15.33203125" style="116" customWidth="1"/>
    <col min="4410" max="4410" width="15.6640625" style="116" customWidth="1"/>
    <col min="4411" max="4411" width="3.33203125" style="116" customWidth="1"/>
    <col min="4412" max="4412" width="7.33203125" style="116" customWidth="1"/>
    <col min="4413" max="4413" width="6.6640625" style="116" customWidth="1"/>
    <col min="4414" max="4416" width="15.33203125" style="116" customWidth="1"/>
    <col min="4417" max="4417" width="15.6640625" style="116" customWidth="1"/>
    <col min="4418" max="4418" width="3.33203125" style="116" customWidth="1"/>
    <col min="4419" max="4419" width="7.33203125" style="116" customWidth="1"/>
    <col min="4420" max="4420" width="6.6640625" style="116" customWidth="1"/>
    <col min="4421" max="4423" width="15.33203125" style="116" customWidth="1"/>
    <col min="4424" max="4424" width="15.6640625" style="116" customWidth="1"/>
    <col min="4425" max="4425" width="3.33203125" style="116" customWidth="1"/>
    <col min="4426" max="4435" width="13.5546875" style="116" customWidth="1"/>
    <col min="4436" max="4641" width="12.5546875" style="116"/>
    <col min="4642" max="4642" width="7.44140625" style="116" bestFit="1" customWidth="1"/>
    <col min="4643" max="4643" width="56.5546875" style="116" customWidth="1"/>
    <col min="4644" max="4644" width="17" style="116" customWidth="1"/>
    <col min="4645" max="4645" width="22.33203125" style="116" bestFit="1" customWidth="1"/>
    <col min="4646" max="4646" width="10.33203125" style="116" bestFit="1" customWidth="1"/>
    <col min="4647" max="4647" width="7.6640625" style="116" customWidth="1"/>
    <col min="4648" max="4648" width="6.6640625" style="116" customWidth="1"/>
    <col min="4649" max="4651" width="15.33203125" style="116" customWidth="1"/>
    <col min="4652" max="4652" width="15.6640625" style="116" customWidth="1"/>
    <col min="4653" max="4653" width="3.33203125" style="116" customWidth="1"/>
    <col min="4654" max="4654" width="7.33203125" style="116" customWidth="1"/>
    <col min="4655" max="4655" width="6.6640625" style="116" customWidth="1"/>
    <col min="4656" max="4658" width="15.33203125" style="116" customWidth="1"/>
    <col min="4659" max="4659" width="15.6640625" style="116" customWidth="1"/>
    <col min="4660" max="4660" width="3.33203125" style="116" customWidth="1"/>
    <col min="4661" max="4661" width="7.33203125" style="116" customWidth="1"/>
    <col min="4662" max="4662" width="6.6640625" style="116" customWidth="1"/>
    <col min="4663" max="4665" width="15.33203125" style="116" customWidth="1"/>
    <col min="4666" max="4666" width="15.6640625" style="116" customWidth="1"/>
    <col min="4667" max="4667" width="3.33203125" style="116" customWidth="1"/>
    <col min="4668" max="4668" width="7.33203125" style="116" customWidth="1"/>
    <col min="4669" max="4669" width="6.6640625" style="116" customWidth="1"/>
    <col min="4670" max="4672" width="15.33203125" style="116" customWidth="1"/>
    <col min="4673" max="4673" width="15.6640625" style="116" customWidth="1"/>
    <col min="4674" max="4674" width="3.33203125" style="116" customWidth="1"/>
    <col min="4675" max="4675" width="7.33203125" style="116" customWidth="1"/>
    <col min="4676" max="4676" width="6.6640625" style="116" customWidth="1"/>
    <col min="4677" max="4679" width="15.33203125" style="116" customWidth="1"/>
    <col min="4680" max="4680" width="15.6640625" style="116" customWidth="1"/>
    <col min="4681" max="4681" width="3.33203125" style="116" customWidth="1"/>
    <col min="4682" max="4691" width="13.5546875" style="116" customWidth="1"/>
    <col min="4692" max="4897" width="12.5546875" style="116"/>
    <col min="4898" max="4898" width="7.44140625" style="116" bestFit="1" customWidth="1"/>
    <col min="4899" max="4899" width="56.5546875" style="116" customWidth="1"/>
    <col min="4900" max="4900" width="17" style="116" customWidth="1"/>
    <col min="4901" max="4901" width="22.33203125" style="116" bestFit="1" customWidth="1"/>
    <col min="4902" max="4902" width="10.33203125" style="116" bestFit="1" customWidth="1"/>
    <col min="4903" max="4903" width="7.6640625" style="116" customWidth="1"/>
    <col min="4904" max="4904" width="6.6640625" style="116" customWidth="1"/>
    <col min="4905" max="4907" width="15.33203125" style="116" customWidth="1"/>
    <col min="4908" max="4908" width="15.6640625" style="116" customWidth="1"/>
    <col min="4909" max="4909" width="3.33203125" style="116" customWidth="1"/>
    <col min="4910" max="4910" width="7.33203125" style="116" customWidth="1"/>
    <col min="4911" max="4911" width="6.6640625" style="116" customWidth="1"/>
    <col min="4912" max="4914" width="15.33203125" style="116" customWidth="1"/>
    <col min="4915" max="4915" width="15.6640625" style="116" customWidth="1"/>
    <col min="4916" max="4916" width="3.33203125" style="116" customWidth="1"/>
    <col min="4917" max="4917" width="7.33203125" style="116" customWidth="1"/>
    <col min="4918" max="4918" width="6.6640625" style="116" customWidth="1"/>
    <col min="4919" max="4921" width="15.33203125" style="116" customWidth="1"/>
    <col min="4922" max="4922" width="15.6640625" style="116" customWidth="1"/>
    <col min="4923" max="4923" width="3.33203125" style="116" customWidth="1"/>
    <col min="4924" max="4924" width="7.33203125" style="116" customWidth="1"/>
    <col min="4925" max="4925" width="6.6640625" style="116" customWidth="1"/>
    <col min="4926" max="4928" width="15.33203125" style="116" customWidth="1"/>
    <col min="4929" max="4929" width="15.6640625" style="116" customWidth="1"/>
    <col min="4930" max="4930" width="3.33203125" style="116" customWidth="1"/>
    <col min="4931" max="4931" width="7.33203125" style="116" customWidth="1"/>
    <col min="4932" max="4932" width="6.6640625" style="116" customWidth="1"/>
    <col min="4933" max="4935" width="15.33203125" style="116" customWidth="1"/>
    <col min="4936" max="4936" width="15.6640625" style="116" customWidth="1"/>
    <col min="4937" max="4937" width="3.33203125" style="116" customWidth="1"/>
    <col min="4938" max="4947" width="13.5546875" style="116" customWidth="1"/>
    <col min="4948" max="5153" width="12.5546875" style="116"/>
    <col min="5154" max="5154" width="7.44140625" style="116" bestFit="1" customWidth="1"/>
    <col min="5155" max="5155" width="56.5546875" style="116" customWidth="1"/>
    <col min="5156" max="5156" width="17" style="116" customWidth="1"/>
    <col min="5157" max="5157" width="22.33203125" style="116" bestFit="1" customWidth="1"/>
    <col min="5158" max="5158" width="10.33203125" style="116" bestFit="1" customWidth="1"/>
    <col min="5159" max="5159" width="7.6640625" style="116" customWidth="1"/>
    <col min="5160" max="5160" width="6.6640625" style="116" customWidth="1"/>
    <col min="5161" max="5163" width="15.33203125" style="116" customWidth="1"/>
    <col min="5164" max="5164" width="15.6640625" style="116" customWidth="1"/>
    <col min="5165" max="5165" width="3.33203125" style="116" customWidth="1"/>
    <col min="5166" max="5166" width="7.33203125" style="116" customWidth="1"/>
    <col min="5167" max="5167" width="6.6640625" style="116" customWidth="1"/>
    <col min="5168" max="5170" width="15.33203125" style="116" customWidth="1"/>
    <col min="5171" max="5171" width="15.6640625" style="116" customWidth="1"/>
    <col min="5172" max="5172" width="3.33203125" style="116" customWidth="1"/>
    <col min="5173" max="5173" width="7.33203125" style="116" customWidth="1"/>
    <col min="5174" max="5174" width="6.6640625" style="116" customWidth="1"/>
    <col min="5175" max="5177" width="15.33203125" style="116" customWidth="1"/>
    <col min="5178" max="5178" width="15.6640625" style="116" customWidth="1"/>
    <col min="5179" max="5179" width="3.33203125" style="116" customWidth="1"/>
    <col min="5180" max="5180" width="7.33203125" style="116" customWidth="1"/>
    <col min="5181" max="5181" width="6.6640625" style="116" customWidth="1"/>
    <col min="5182" max="5184" width="15.33203125" style="116" customWidth="1"/>
    <col min="5185" max="5185" width="15.6640625" style="116" customWidth="1"/>
    <col min="5186" max="5186" width="3.33203125" style="116" customWidth="1"/>
    <col min="5187" max="5187" width="7.33203125" style="116" customWidth="1"/>
    <col min="5188" max="5188" width="6.6640625" style="116" customWidth="1"/>
    <col min="5189" max="5191" width="15.33203125" style="116" customWidth="1"/>
    <col min="5192" max="5192" width="15.6640625" style="116" customWidth="1"/>
    <col min="5193" max="5193" width="3.33203125" style="116" customWidth="1"/>
    <col min="5194" max="5203" width="13.5546875" style="116" customWidth="1"/>
    <col min="5204" max="5409" width="12.5546875" style="116"/>
    <col min="5410" max="5410" width="7.44140625" style="116" bestFit="1" customWidth="1"/>
    <col min="5411" max="5411" width="56.5546875" style="116" customWidth="1"/>
    <col min="5412" max="5412" width="17" style="116" customWidth="1"/>
    <col min="5413" max="5413" width="22.33203125" style="116" bestFit="1" customWidth="1"/>
    <col min="5414" max="5414" width="10.33203125" style="116" bestFit="1" customWidth="1"/>
    <col min="5415" max="5415" width="7.6640625" style="116" customWidth="1"/>
    <col min="5416" max="5416" width="6.6640625" style="116" customWidth="1"/>
    <col min="5417" max="5419" width="15.33203125" style="116" customWidth="1"/>
    <col min="5420" max="5420" width="15.6640625" style="116" customWidth="1"/>
    <col min="5421" max="5421" width="3.33203125" style="116" customWidth="1"/>
    <col min="5422" max="5422" width="7.33203125" style="116" customWidth="1"/>
    <col min="5423" max="5423" width="6.6640625" style="116" customWidth="1"/>
    <col min="5424" max="5426" width="15.33203125" style="116" customWidth="1"/>
    <col min="5427" max="5427" width="15.6640625" style="116" customWidth="1"/>
    <col min="5428" max="5428" width="3.33203125" style="116" customWidth="1"/>
    <col min="5429" max="5429" width="7.33203125" style="116" customWidth="1"/>
    <col min="5430" max="5430" width="6.6640625" style="116" customWidth="1"/>
    <col min="5431" max="5433" width="15.33203125" style="116" customWidth="1"/>
    <col min="5434" max="5434" width="15.6640625" style="116" customWidth="1"/>
    <col min="5435" max="5435" width="3.33203125" style="116" customWidth="1"/>
    <col min="5436" max="5436" width="7.33203125" style="116" customWidth="1"/>
    <col min="5437" max="5437" width="6.6640625" style="116" customWidth="1"/>
    <col min="5438" max="5440" width="15.33203125" style="116" customWidth="1"/>
    <col min="5441" max="5441" width="15.6640625" style="116" customWidth="1"/>
    <col min="5442" max="5442" width="3.33203125" style="116" customWidth="1"/>
    <col min="5443" max="5443" width="7.33203125" style="116" customWidth="1"/>
    <col min="5444" max="5444" width="6.6640625" style="116" customWidth="1"/>
    <col min="5445" max="5447" width="15.33203125" style="116" customWidth="1"/>
    <col min="5448" max="5448" width="15.6640625" style="116" customWidth="1"/>
    <col min="5449" max="5449" width="3.33203125" style="116" customWidth="1"/>
    <col min="5450" max="5459" width="13.5546875" style="116" customWidth="1"/>
    <col min="5460" max="5665" width="12.5546875" style="116"/>
    <col min="5666" max="5666" width="7.44140625" style="116" bestFit="1" customWidth="1"/>
    <col min="5667" max="5667" width="56.5546875" style="116" customWidth="1"/>
    <col min="5668" max="5668" width="17" style="116" customWidth="1"/>
    <col min="5669" max="5669" width="22.33203125" style="116" bestFit="1" customWidth="1"/>
    <col min="5670" max="5670" width="10.33203125" style="116" bestFit="1" customWidth="1"/>
    <col min="5671" max="5671" width="7.6640625" style="116" customWidth="1"/>
    <col min="5672" max="5672" width="6.6640625" style="116" customWidth="1"/>
    <col min="5673" max="5675" width="15.33203125" style="116" customWidth="1"/>
    <col min="5676" max="5676" width="15.6640625" style="116" customWidth="1"/>
    <col min="5677" max="5677" width="3.33203125" style="116" customWidth="1"/>
    <col min="5678" max="5678" width="7.33203125" style="116" customWidth="1"/>
    <col min="5679" max="5679" width="6.6640625" style="116" customWidth="1"/>
    <col min="5680" max="5682" width="15.33203125" style="116" customWidth="1"/>
    <col min="5683" max="5683" width="15.6640625" style="116" customWidth="1"/>
    <col min="5684" max="5684" width="3.33203125" style="116" customWidth="1"/>
    <col min="5685" max="5685" width="7.33203125" style="116" customWidth="1"/>
    <col min="5686" max="5686" width="6.6640625" style="116" customWidth="1"/>
    <col min="5687" max="5689" width="15.33203125" style="116" customWidth="1"/>
    <col min="5690" max="5690" width="15.6640625" style="116" customWidth="1"/>
    <col min="5691" max="5691" width="3.33203125" style="116" customWidth="1"/>
    <col min="5692" max="5692" width="7.33203125" style="116" customWidth="1"/>
    <col min="5693" max="5693" width="6.6640625" style="116" customWidth="1"/>
    <col min="5694" max="5696" width="15.33203125" style="116" customWidth="1"/>
    <col min="5697" max="5697" width="15.6640625" style="116" customWidth="1"/>
    <col min="5698" max="5698" width="3.33203125" style="116" customWidth="1"/>
    <col min="5699" max="5699" width="7.33203125" style="116" customWidth="1"/>
    <col min="5700" max="5700" width="6.6640625" style="116" customWidth="1"/>
    <col min="5701" max="5703" width="15.33203125" style="116" customWidth="1"/>
    <col min="5704" max="5704" width="15.6640625" style="116" customWidth="1"/>
    <col min="5705" max="5705" width="3.33203125" style="116" customWidth="1"/>
    <col min="5706" max="5715" width="13.5546875" style="116" customWidth="1"/>
    <col min="5716" max="5921" width="12.5546875" style="116"/>
    <col min="5922" max="5922" width="7.44140625" style="116" bestFit="1" customWidth="1"/>
    <col min="5923" max="5923" width="56.5546875" style="116" customWidth="1"/>
    <col min="5924" max="5924" width="17" style="116" customWidth="1"/>
    <col min="5925" max="5925" width="22.33203125" style="116" bestFit="1" customWidth="1"/>
    <col min="5926" max="5926" width="10.33203125" style="116" bestFit="1" customWidth="1"/>
    <col min="5927" max="5927" width="7.6640625" style="116" customWidth="1"/>
    <col min="5928" max="5928" width="6.6640625" style="116" customWidth="1"/>
    <col min="5929" max="5931" width="15.33203125" style="116" customWidth="1"/>
    <col min="5932" max="5932" width="15.6640625" style="116" customWidth="1"/>
    <col min="5933" max="5933" width="3.33203125" style="116" customWidth="1"/>
    <col min="5934" max="5934" width="7.33203125" style="116" customWidth="1"/>
    <col min="5935" max="5935" width="6.6640625" style="116" customWidth="1"/>
    <col min="5936" max="5938" width="15.33203125" style="116" customWidth="1"/>
    <col min="5939" max="5939" width="15.6640625" style="116" customWidth="1"/>
    <col min="5940" max="5940" width="3.33203125" style="116" customWidth="1"/>
    <col min="5941" max="5941" width="7.33203125" style="116" customWidth="1"/>
    <col min="5942" max="5942" width="6.6640625" style="116" customWidth="1"/>
    <col min="5943" max="5945" width="15.33203125" style="116" customWidth="1"/>
    <col min="5946" max="5946" width="15.6640625" style="116" customWidth="1"/>
    <col min="5947" max="5947" width="3.33203125" style="116" customWidth="1"/>
    <col min="5948" max="5948" width="7.33203125" style="116" customWidth="1"/>
    <col min="5949" max="5949" width="6.6640625" style="116" customWidth="1"/>
    <col min="5950" max="5952" width="15.33203125" style="116" customWidth="1"/>
    <col min="5953" max="5953" width="15.6640625" style="116" customWidth="1"/>
    <col min="5954" max="5954" width="3.33203125" style="116" customWidth="1"/>
    <col min="5955" max="5955" width="7.33203125" style="116" customWidth="1"/>
    <col min="5956" max="5956" width="6.6640625" style="116" customWidth="1"/>
    <col min="5957" max="5959" width="15.33203125" style="116" customWidth="1"/>
    <col min="5960" max="5960" width="15.6640625" style="116" customWidth="1"/>
    <col min="5961" max="5961" width="3.33203125" style="116" customWidth="1"/>
    <col min="5962" max="5971" width="13.5546875" style="116" customWidth="1"/>
    <col min="5972" max="6177" width="12.5546875" style="116"/>
    <col min="6178" max="6178" width="7.44140625" style="116" bestFit="1" customWidth="1"/>
    <col min="6179" max="6179" width="56.5546875" style="116" customWidth="1"/>
    <col min="6180" max="6180" width="17" style="116" customWidth="1"/>
    <col min="6181" max="6181" width="22.33203125" style="116" bestFit="1" customWidth="1"/>
    <col min="6182" max="6182" width="10.33203125" style="116" bestFit="1" customWidth="1"/>
    <col min="6183" max="6183" width="7.6640625" style="116" customWidth="1"/>
    <col min="6184" max="6184" width="6.6640625" style="116" customWidth="1"/>
    <col min="6185" max="6187" width="15.33203125" style="116" customWidth="1"/>
    <col min="6188" max="6188" width="15.6640625" style="116" customWidth="1"/>
    <col min="6189" max="6189" width="3.33203125" style="116" customWidth="1"/>
    <col min="6190" max="6190" width="7.33203125" style="116" customWidth="1"/>
    <col min="6191" max="6191" width="6.6640625" style="116" customWidth="1"/>
    <col min="6192" max="6194" width="15.33203125" style="116" customWidth="1"/>
    <col min="6195" max="6195" width="15.6640625" style="116" customWidth="1"/>
    <col min="6196" max="6196" width="3.33203125" style="116" customWidth="1"/>
    <col min="6197" max="6197" width="7.33203125" style="116" customWidth="1"/>
    <col min="6198" max="6198" width="6.6640625" style="116" customWidth="1"/>
    <col min="6199" max="6201" width="15.33203125" style="116" customWidth="1"/>
    <col min="6202" max="6202" width="15.6640625" style="116" customWidth="1"/>
    <col min="6203" max="6203" width="3.33203125" style="116" customWidth="1"/>
    <col min="6204" max="6204" width="7.33203125" style="116" customWidth="1"/>
    <col min="6205" max="6205" width="6.6640625" style="116" customWidth="1"/>
    <col min="6206" max="6208" width="15.33203125" style="116" customWidth="1"/>
    <col min="6209" max="6209" width="15.6640625" style="116" customWidth="1"/>
    <col min="6210" max="6210" width="3.33203125" style="116" customWidth="1"/>
    <col min="6211" max="6211" width="7.33203125" style="116" customWidth="1"/>
    <col min="6212" max="6212" width="6.6640625" style="116" customWidth="1"/>
    <col min="6213" max="6215" width="15.33203125" style="116" customWidth="1"/>
    <col min="6216" max="6216" width="15.6640625" style="116" customWidth="1"/>
    <col min="6217" max="6217" width="3.33203125" style="116" customWidth="1"/>
    <col min="6218" max="6227" width="13.5546875" style="116" customWidth="1"/>
    <col min="6228" max="6433" width="12.5546875" style="116"/>
    <col min="6434" max="6434" width="7.44140625" style="116" bestFit="1" customWidth="1"/>
    <col min="6435" max="6435" width="56.5546875" style="116" customWidth="1"/>
    <col min="6436" max="6436" width="17" style="116" customWidth="1"/>
    <col min="6437" max="6437" width="22.33203125" style="116" bestFit="1" customWidth="1"/>
    <col min="6438" max="6438" width="10.33203125" style="116" bestFit="1" customWidth="1"/>
    <col min="6439" max="6439" width="7.6640625" style="116" customWidth="1"/>
    <col min="6440" max="6440" width="6.6640625" style="116" customWidth="1"/>
    <col min="6441" max="6443" width="15.33203125" style="116" customWidth="1"/>
    <col min="6444" max="6444" width="15.6640625" style="116" customWidth="1"/>
    <col min="6445" max="6445" width="3.33203125" style="116" customWidth="1"/>
    <col min="6446" max="6446" width="7.33203125" style="116" customWidth="1"/>
    <col min="6447" max="6447" width="6.6640625" style="116" customWidth="1"/>
    <col min="6448" max="6450" width="15.33203125" style="116" customWidth="1"/>
    <col min="6451" max="6451" width="15.6640625" style="116" customWidth="1"/>
    <col min="6452" max="6452" width="3.33203125" style="116" customWidth="1"/>
    <col min="6453" max="6453" width="7.33203125" style="116" customWidth="1"/>
    <col min="6454" max="6454" width="6.6640625" style="116" customWidth="1"/>
    <col min="6455" max="6457" width="15.33203125" style="116" customWidth="1"/>
    <col min="6458" max="6458" width="15.6640625" style="116" customWidth="1"/>
    <col min="6459" max="6459" width="3.33203125" style="116" customWidth="1"/>
    <col min="6460" max="6460" width="7.33203125" style="116" customWidth="1"/>
    <col min="6461" max="6461" width="6.6640625" style="116" customWidth="1"/>
    <col min="6462" max="6464" width="15.33203125" style="116" customWidth="1"/>
    <col min="6465" max="6465" width="15.6640625" style="116" customWidth="1"/>
    <col min="6466" max="6466" width="3.33203125" style="116" customWidth="1"/>
    <col min="6467" max="6467" width="7.33203125" style="116" customWidth="1"/>
    <col min="6468" max="6468" width="6.6640625" style="116" customWidth="1"/>
    <col min="6469" max="6471" width="15.33203125" style="116" customWidth="1"/>
    <col min="6472" max="6472" width="15.6640625" style="116" customWidth="1"/>
    <col min="6473" max="6473" width="3.33203125" style="116" customWidth="1"/>
    <col min="6474" max="6483" width="13.5546875" style="116" customWidth="1"/>
    <col min="6484" max="6689" width="12.5546875" style="116"/>
    <col min="6690" max="6690" width="7.44140625" style="116" bestFit="1" customWidth="1"/>
    <col min="6691" max="6691" width="56.5546875" style="116" customWidth="1"/>
    <col min="6692" max="6692" width="17" style="116" customWidth="1"/>
    <col min="6693" max="6693" width="22.33203125" style="116" bestFit="1" customWidth="1"/>
    <col min="6694" max="6694" width="10.33203125" style="116" bestFit="1" customWidth="1"/>
    <col min="6695" max="6695" width="7.6640625" style="116" customWidth="1"/>
    <col min="6696" max="6696" width="6.6640625" style="116" customWidth="1"/>
    <col min="6697" max="6699" width="15.33203125" style="116" customWidth="1"/>
    <col min="6700" max="6700" width="15.6640625" style="116" customWidth="1"/>
    <col min="6701" max="6701" width="3.33203125" style="116" customWidth="1"/>
    <col min="6702" max="6702" width="7.33203125" style="116" customWidth="1"/>
    <col min="6703" max="6703" width="6.6640625" style="116" customWidth="1"/>
    <col min="6704" max="6706" width="15.33203125" style="116" customWidth="1"/>
    <col min="6707" max="6707" width="15.6640625" style="116" customWidth="1"/>
    <col min="6708" max="6708" width="3.33203125" style="116" customWidth="1"/>
    <col min="6709" max="6709" width="7.33203125" style="116" customWidth="1"/>
    <col min="6710" max="6710" width="6.6640625" style="116" customWidth="1"/>
    <col min="6711" max="6713" width="15.33203125" style="116" customWidth="1"/>
    <col min="6714" max="6714" width="15.6640625" style="116" customWidth="1"/>
    <col min="6715" max="6715" width="3.33203125" style="116" customWidth="1"/>
    <col min="6716" max="6716" width="7.33203125" style="116" customWidth="1"/>
    <col min="6717" max="6717" width="6.6640625" style="116" customWidth="1"/>
    <col min="6718" max="6720" width="15.33203125" style="116" customWidth="1"/>
    <col min="6721" max="6721" width="15.6640625" style="116" customWidth="1"/>
    <col min="6722" max="6722" width="3.33203125" style="116" customWidth="1"/>
    <col min="6723" max="6723" width="7.33203125" style="116" customWidth="1"/>
    <col min="6724" max="6724" width="6.6640625" style="116" customWidth="1"/>
    <col min="6725" max="6727" width="15.33203125" style="116" customWidth="1"/>
    <col min="6728" max="6728" width="15.6640625" style="116" customWidth="1"/>
    <col min="6729" max="6729" width="3.33203125" style="116" customWidth="1"/>
    <col min="6730" max="6739" width="13.5546875" style="116" customWidth="1"/>
    <col min="6740" max="6945" width="12.5546875" style="116"/>
    <col min="6946" max="6946" width="7.44140625" style="116" bestFit="1" customWidth="1"/>
    <col min="6947" max="6947" width="56.5546875" style="116" customWidth="1"/>
    <col min="6948" max="6948" width="17" style="116" customWidth="1"/>
    <col min="6949" max="6949" width="22.33203125" style="116" bestFit="1" customWidth="1"/>
    <col min="6950" max="6950" width="10.33203125" style="116" bestFit="1" customWidth="1"/>
    <col min="6951" max="6951" width="7.6640625" style="116" customWidth="1"/>
    <col min="6952" max="6952" width="6.6640625" style="116" customWidth="1"/>
    <col min="6953" max="6955" width="15.33203125" style="116" customWidth="1"/>
    <col min="6956" max="6956" width="15.6640625" style="116" customWidth="1"/>
    <col min="6957" max="6957" width="3.33203125" style="116" customWidth="1"/>
    <col min="6958" max="6958" width="7.33203125" style="116" customWidth="1"/>
    <col min="6959" max="6959" width="6.6640625" style="116" customWidth="1"/>
    <col min="6960" max="6962" width="15.33203125" style="116" customWidth="1"/>
    <col min="6963" max="6963" width="15.6640625" style="116" customWidth="1"/>
    <col min="6964" max="6964" width="3.33203125" style="116" customWidth="1"/>
    <col min="6965" max="6965" width="7.33203125" style="116" customWidth="1"/>
    <col min="6966" max="6966" width="6.6640625" style="116" customWidth="1"/>
    <col min="6967" max="6969" width="15.33203125" style="116" customWidth="1"/>
    <col min="6970" max="6970" width="15.6640625" style="116" customWidth="1"/>
    <col min="6971" max="6971" width="3.33203125" style="116" customWidth="1"/>
    <col min="6972" max="6972" width="7.33203125" style="116" customWidth="1"/>
    <col min="6973" max="6973" width="6.6640625" style="116" customWidth="1"/>
    <col min="6974" max="6976" width="15.33203125" style="116" customWidth="1"/>
    <col min="6977" max="6977" width="15.6640625" style="116" customWidth="1"/>
    <col min="6978" max="6978" width="3.33203125" style="116" customWidth="1"/>
    <col min="6979" max="6979" width="7.33203125" style="116" customWidth="1"/>
    <col min="6980" max="6980" width="6.6640625" style="116" customWidth="1"/>
    <col min="6981" max="6983" width="15.33203125" style="116" customWidth="1"/>
    <col min="6984" max="6984" width="15.6640625" style="116" customWidth="1"/>
    <col min="6985" max="6985" width="3.33203125" style="116" customWidth="1"/>
    <col min="6986" max="6995" width="13.5546875" style="116" customWidth="1"/>
    <col min="6996" max="7201" width="12.5546875" style="116"/>
    <col min="7202" max="7202" width="7.44140625" style="116" bestFit="1" customWidth="1"/>
    <col min="7203" max="7203" width="56.5546875" style="116" customWidth="1"/>
    <col min="7204" max="7204" width="17" style="116" customWidth="1"/>
    <col min="7205" max="7205" width="22.33203125" style="116" bestFit="1" customWidth="1"/>
    <col min="7206" max="7206" width="10.33203125" style="116" bestFit="1" customWidth="1"/>
    <col min="7207" max="7207" width="7.6640625" style="116" customWidth="1"/>
    <col min="7208" max="7208" width="6.6640625" style="116" customWidth="1"/>
    <col min="7209" max="7211" width="15.33203125" style="116" customWidth="1"/>
    <col min="7212" max="7212" width="15.6640625" style="116" customWidth="1"/>
    <col min="7213" max="7213" width="3.33203125" style="116" customWidth="1"/>
    <col min="7214" max="7214" width="7.33203125" style="116" customWidth="1"/>
    <col min="7215" max="7215" width="6.6640625" style="116" customWidth="1"/>
    <col min="7216" max="7218" width="15.33203125" style="116" customWidth="1"/>
    <col min="7219" max="7219" width="15.6640625" style="116" customWidth="1"/>
    <col min="7220" max="7220" width="3.33203125" style="116" customWidth="1"/>
    <col min="7221" max="7221" width="7.33203125" style="116" customWidth="1"/>
    <col min="7222" max="7222" width="6.6640625" style="116" customWidth="1"/>
    <col min="7223" max="7225" width="15.33203125" style="116" customWidth="1"/>
    <col min="7226" max="7226" width="15.6640625" style="116" customWidth="1"/>
    <col min="7227" max="7227" width="3.33203125" style="116" customWidth="1"/>
    <col min="7228" max="7228" width="7.33203125" style="116" customWidth="1"/>
    <col min="7229" max="7229" width="6.6640625" style="116" customWidth="1"/>
    <col min="7230" max="7232" width="15.33203125" style="116" customWidth="1"/>
    <col min="7233" max="7233" width="15.6640625" style="116" customWidth="1"/>
    <col min="7234" max="7234" width="3.33203125" style="116" customWidth="1"/>
    <col min="7235" max="7235" width="7.33203125" style="116" customWidth="1"/>
    <col min="7236" max="7236" width="6.6640625" style="116" customWidth="1"/>
    <col min="7237" max="7239" width="15.33203125" style="116" customWidth="1"/>
    <col min="7240" max="7240" width="15.6640625" style="116" customWidth="1"/>
    <col min="7241" max="7241" width="3.33203125" style="116" customWidth="1"/>
    <col min="7242" max="7251" width="13.5546875" style="116" customWidth="1"/>
    <col min="7252" max="7457" width="12.5546875" style="116"/>
    <col min="7458" max="7458" width="7.44140625" style="116" bestFit="1" customWidth="1"/>
    <col min="7459" max="7459" width="56.5546875" style="116" customWidth="1"/>
    <col min="7460" max="7460" width="17" style="116" customWidth="1"/>
    <col min="7461" max="7461" width="22.33203125" style="116" bestFit="1" customWidth="1"/>
    <col min="7462" max="7462" width="10.33203125" style="116" bestFit="1" customWidth="1"/>
    <col min="7463" max="7463" width="7.6640625" style="116" customWidth="1"/>
    <col min="7464" max="7464" width="6.6640625" style="116" customWidth="1"/>
    <col min="7465" max="7467" width="15.33203125" style="116" customWidth="1"/>
    <col min="7468" max="7468" width="15.6640625" style="116" customWidth="1"/>
    <col min="7469" max="7469" width="3.33203125" style="116" customWidth="1"/>
    <col min="7470" max="7470" width="7.33203125" style="116" customWidth="1"/>
    <col min="7471" max="7471" width="6.6640625" style="116" customWidth="1"/>
    <col min="7472" max="7474" width="15.33203125" style="116" customWidth="1"/>
    <col min="7475" max="7475" width="15.6640625" style="116" customWidth="1"/>
    <col min="7476" max="7476" width="3.33203125" style="116" customWidth="1"/>
    <col min="7477" max="7477" width="7.33203125" style="116" customWidth="1"/>
    <col min="7478" max="7478" width="6.6640625" style="116" customWidth="1"/>
    <col min="7479" max="7481" width="15.33203125" style="116" customWidth="1"/>
    <col min="7482" max="7482" width="15.6640625" style="116" customWidth="1"/>
    <col min="7483" max="7483" width="3.33203125" style="116" customWidth="1"/>
    <col min="7484" max="7484" width="7.33203125" style="116" customWidth="1"/>
    <col min="7485" max="7485" width="6.6640625" style="116" customWidth="1"/>
    <col min="7486" max="7488" width="15.33203125" style="116" customWidth="1"/>
    <col min="7489" max="7489" width="15.6640625" style="116" customWidth="1"/>
    <col min="7490" max="7490" width="3.33203125" style="116" customWidth="1"/>
    <col min="7491" max="7491" width="7.33203125" style="116" customWidth="1"/>
    <col min="7492" max="7492" width="6.6640625" style="116" customWidth="1"/>
    <col min="7493" max="7495" width="15.33203125" style="116" customWidth="1"/>
    <col min="7496" max="7496" width="15.6640625" style="116" customWidth="1"/>
    <col min="7497" max="7497" width="3.33203125" style="116" customWidth="1"/>
    <col min="7498" max="7507" width="13.5546875" style="116" customWidth="1"/>
    <col min="7508" max="7713" width="12.5546875" style="116"/>
    <col min="7714" max="7714" width="7.44140625" style="116" bestFit="1" customWidth="1"/>
    <col min="7715" max="7715" width="56.5546875" style="116" customWidth="1"/>
    <col min="7716" max="7716" width="17" style="116" customWidth="1"/>
    <col min="7717" max="7717" width="22.33203125" style="116" bestFit="1" customWidth="1"/>
    <col min="7718" max="7718" width="10.33203125" style="116" bestFit="1" customWidth="1"/>
    <col min="7719" max="7719" width="7.6640625" style="116" customWidth="1"/>
    <col min="7720" max="7720" width="6.6640625" style="116" customWidth="1"/>
    <col min="7721" max="7723" width="15.33203125" style="116" customWidth="1"/>
    <col min="7724" max="7724" width="15.6640625" style="116" customWidth="1"/>
    <col min="7725" max="7725" width="3.33203125" style="116" customWidth="1"/>
    <col min="7726" max="7726" width="7.33203125" style="116" customWidth="1"/>
    <col min="7727" max="7727" width="6.6640625" style="116" customWidth="1"/>
    <col min="7728" max="7730" width="15.33203125" style="116" customWidth="1"/>
    <col min="7731" max="7731" width="15.6640625" style="116" customWidth="1"/>
    <col min="7732" max="7732" width="3.33203125" style="116" customWidth="1"/>
    <col min="7733" max="7733" width="7.33203125" style="116" customWidth="1"/>
    <col min="7734" max="7734" width="6.6640625" style="116" customWidth="1"/>
    <col min="7735" max="7737" width="15.33203125" style="116" customWidth="1"/>
    <col min="7738" max="7738" width="15.6640625" style="116" customWidth="1"/>
    <col min="7739" max="7739" width="3.33203125" style="116" customWidth="1"/>
    <col min="7740" max="7740" width="7.33203125" style="116" customWidth="1"/>
    <col min="7741" max="7741" width="6.6640625" style="116" customWidth="1"/>
    <col min="7742" max="7744" width="15.33203125" style="116" customWidth="1"/>
    <col min="7745" max="7745" width="15.6640625" style="116" customWidth="1"/>
    <col min="7746" max="7746" width="3.33203125" style="116" customWidth="1"/>
    <col min="7747" max="7747" width="7.33203125" style="116" customWidth="1"/>
    <col min="7748" max="7748" width="6.6640625" style="116" customWidth="1"/>
    <col min="7749" max="7751" width="15.33203125" style="116" customWidth="1"/>
    <col min="7752" max="7752" width="15.6640625" style="116" customWidth="1"/>
    <col min="7753" max="7753" width="3.33203125" style="116" customWidth="1"/>
    <col min="7754" max="7763" width="13.5546875" style="116" customWidth="1"/>
    <col min="7764" max="7969" width="12.5546875" style="116"/>
    <col min="7970" max="7970" width="7.44140625" style="116" bestFit="1" customWidth="1"/>
    <col min="7971" max="7971" width="56.5546875" style="116" customWidth="1"/>
    <col min="7972" max="7972" width="17" style="116" customWidth="1"/>
    <col min="7973" max="7973" width="22.33203125" style="116" bestFit="1" customWidth="1"/>
    <col min="7974" max="7974" width="10.33203125" style="116" bestFit="1" customWidth="1"/>
    <col min="7975" max="7975" width="7.6640625" style="116" customWidth="1"/>
    <col min="7976" max="7976" width="6.6640625" style="116" customWidth="1"/>
    <col min="7977" max="7979" width="15.33203125" style="116" customWidth="1"/>
    <col min="7980" max="7980" width="15.6640625" style="116" customWidth="1"/>
    <col min="7981" max="7981" width="3.33203125" style="116" customWidth="1"/>
    <col min="7982" max="7982" width="7.33203125" style="116" customWidth="1"/>
    <col min="7983" max="7983" width="6.6640625" style="116" customWidth="1"/>
    <col min="7984" max="7986" width="15.33203125" style="116" customWidth="1"/>
    <col min="7987" max="7987" width="15.6640625" style="116" customWidth="1"/>
    <col min="7988" max="7988" width="3.33203125" style="116" customWidth="1"/>
    <col min="7989" max="7989" width="7.33203125" style="116" customWidth="1"/>
    <col min="7990" max="7990" width="6.6640625" style="116" customWidth="1"/>
    <col min="7991" max="7993" width="15.33203125" style="116" customWidth="1"/>
    <col min="7994" max="7994" width="15.6640625" style="116" customWidth="1"/>
    <col min="7995" max="7995" width="3.33203125" style="116" customWidth="1"/>
    <col min="7996" max="7996" width="7.33203125" style="116" customWidth="1"/>
    <col min="7997" max="7997" width="6.6640625" style="116" customWidth="1"/>
    <col min="7998" max="8000" width="15.33203125" style="116" customWidth="1"/>
    <col min="8001" max="8001" width="15.6640625" style="116" customWidth="1"/>
    <col min="8002" max="8002" width="3.33203125" style="116" customWidth="1"/>
    <col min="8003" max="8003" width="7.33203125" style="116" customWidth="1"/>
    <col min="8004" max="8004" width="6.6640625" style="116" customWidth="1"/>
    <col min="8005" max="8007" width="15.33203125" style="116" customWidth="1"/>
    <col min="8008" max="8008" width="15.6640625" style="116" customWidth="1"/>
    <col min="8009" max="8009" width="3.33203125" style="116" customWidth="1"/>
    <col min="8010" max="8019" width="13.5546875" style="116" customWidth="1"/>
    <col min="8020" max="8225" width="12.5546875" style="116"/>
    <col min="8226" max="8226" width="7.44140625" style="116" bestFit="1" customWidth="1"/>
    <col min="8227" max="8227" width="56.5546875" style="116" customWidth="1"/>
    <col min="8228" max="8228" width="17" style="116" customWidth="1"/>
    <col min="8229" max="8229" width="22.33203125" style="116" bestFit="1" customWidth="1"/>
    <col min="8230" max="8230" width="10.33203125" style="116" bestFit="1" customWidth="1"/>
    <col min="8231" max="8231" width="7.6640625" style="116" customWidth="1"/>
    <col min="8232" max="8232" width="6.6640625" style="116" customWidth="1"/>
    <col min="8233" max="8235" width="15.33203125" style="116" customWidth="1"/>
    <col min="8236" max="8236" width="15.6640625" style="116" customWidth="1"/>
    <col min="8237" max="8237" width="3.33203125" style="116" customWidth="1"/>
    <col min="8238" max="8238" width="7.33203125" style="116" customWidth="1"/>
    <col min="8239" max="8239" width="6.6640625" style="116" customWidth="1"/>
    <col min="8240" max="8242" width="15.33203125" style="116" customWidth="1"/>
    <col min="8243" max="8243" width="15.6640625" style="116" customWidth="1"/>
    <col min="8244" max="8244" width="3.33203125" style="116" customWidth="1"/>
    <col min="8245" max="8245" width="7.33203125" style="116" customWidth="1"/>
    <col min="8246" max="8246" width="6.6640625" style="116" customWidth="1"/>
    <col min="8247" max="8249" width="15.33203125" style="116" customWidth="1"/>
    <col min="8250" max="8250" width="15.6640625" style="116" customWidth="1"/>
    <col min="8251" max="8251" width="3.33203125" style="116" customWidth="1"/>
    <col min="8252" max="8252" width="7.33203125" style="116" customWidth="1"/>
    <col min="8253" max="8253" width="6.6640625" style="116" customWidth="1"/>
    <col min="8254" max="8256" width="15.33203125" style="116" customWidth="1"/>
    <col min="8257" max="8257" width="15.6640625" style="116" customWidth="1"/>
    <col min="8258" max="8258" width="3.33203125" style="116" customWidth="1"/>
    <col min="8259" max="8259" width="7.33203125" style="116" customWidth="1"/>
    <col min="8260" max="8260" width="6.6640625" style="116" customWidth="1"/>
    <col min="8261" max="8263" width="15.33203125" style="116" customWidth="1"/>
    <col min="8264" max="8264" width="15.6640625" style="116" customWidth="1"/>
    <col min="8265" max="8265" width="3.33203125" style="116" customWidth="1"/>
    <col min="8266" max="8275" width="13.5546875" style="116" customWidth="1"/>
    <col min="8276" max="8481" width="12.5546875" style="116"/>
    <col min="8482" max="8482" width="7.44140625" style="116" bestFit="1" customWidth="1"/>
    <col min="8483" max="8483" width="56.5546875" style="116" customWidth="1"/>
    <col min="8484" max="8484" width="17" style="116" customWidth="1"/>
    <col min="8485" max="8485" width="22.33203125" style="116" bestFit="1" customWidth="1"/>
    <col min="8486" max="8486" width="10.33203125" style="116" bestFit="1" customWidth="1"/>
    <col min="8487" max="8487" width="7.6640625" style="116" customWidth="1"/>
    <col min="8488" max="8488" width="6.6640625" style="116" customWidth="1"/>
    <col min="8489" max="8491" width="15.33203125" style="116" customWidth="1"/>
    <col min="8492" max="8492" width="15.6640625" style="116" customWidth="1"/>
    <col min="8493" max="8493" width="3.33203125" style="116" customWidth="1"/>
    <col min="8494" max="8494" width="7.33203125" style="116" customWidth="1"/>
    <col min="8495" max="8495" width="6.6640625" style="116" customWidth="1"/>
    <col min="8496" max="8498" width="15.33203125" style="116" customWidth="1"/>
    <col min="8499" max="8499" width="15.6640625" style="116" customWidth="1"/>
    <col min="8500" max="8500" width="3.33203125" style="116" customWidth="1"/>
    <col min="8501" max="8501" width="7.33203125" style="116" customWidth="1"/>
    <col min="8502" max="8502" width="6.6640625" style="116" customWidth="1"/>
    <col min="8503" max="8505" width="15.33203125" style="116" customWidth="1"/>
    <col min="8506" max="8506" width="15.6640625" style="116" customWidth="1"/>
    <col min="8507" max="8507" width="3.33203125" style="116" customWidth="1"/>
    <col min="8508" max="8508" width="7.33203125" style="116" customWidth="1"/>
    <col min="8509" max="8509" width="6.6640625" style="116" customWidth="1"/>
    <col min="8510" max="8512" width="15.33203125" style="116" customWidth="1"/>
    <col min="8513" max="8513" width="15.6640625" style="116" customWidth="1"/>
    <col min="8514" max="8514" width="3.33203125" style="116" customWidth="1"/>
    <col min="8515" max="8515" width="7.33203125" style="116" customWidth="1"/>
    <col min="8516" max="8516" width="6.6640625" style="116" customWidth="1"/>
    <col min="8517" max="8519" width="15.33203125" style="116" customWidth="1"/>
    <col min="8520" max="8520" width="15.6640625" style="116" customWidth="1"/>
    <col min="8521" max="8521" width="3.33203125" style="116" customWidth="1"/>
    <col min="8522" max="8531" width="13.5546875" style="116" customWidth="1"/>
    <col min="8532" max="8737" width="12.5546875" style="116"/>
    <col min="8738" max="8738" width="7.44140625" style="116" bestFit="1" customWidth="1"/>
    <col min="8739" max="8739" width="56.5546875" style="116" customWidth="1"/>
    <col min="8740" max="8740" width="17" style="116" customWidth="1"/>
    <col min="8741" max="8741" width="22.33203125" style="116" bestFit="1" customWidth="1"/>
    <col min="8742" max="8742" width="10.33203125" style="116" bestFit="1" customWidth="1"/>
    <col min="8743" max="8743" width="7.6640625" style="116" customWidth="1"/>
    <col min="8744" max="8744" width="6.6640625" style="116" customWidth="1"/>
    <col min="8745" max="8747" width="15.33203125" style="116" customWidth="1"/>
    <col min="8748" max="8748" width="15.6640625" style="116" customWidth="1"/>
    <col min="8749" max="8749" width="3.33203125" style="116" customWidth="1"/>
    <col min="8750" max="8750" width="7.33203125" style="116" customWidth="1"/>
    <col min="8751" max="8751" width="6.6640625" style="116" customWidth="1"/>
    <col min="8752" max="8754" width="15.33203125" style="116" customWidth="1"/>
    <col min="8755" max="8755" width="15.6640625" style="116" customWidth="1"/>
    <col min="8756" max="8756" width="3.33203125" style="116" customWidth="1"/>
    <col min="8757" max="8757" width="7.33203125" style="116" customWidth="1"/>
    <col min="8758" max="8758" width="6.6640625" style="116" customWidth="1"/>
    <col min="8759" max="8761" width="15.33203125" style="116" customWidth="1"/>
    <col min="8762" max="8762" width="15.6640625" style="116" customWidth="1"/>
    <col min="8763" max="8763" width="3.33203125" style="116" customWidth="1"/>
    <col min="8764" max="8764" width="7.33203125" style="116" customWidth="1"/>
    <col min="8765" max="8765" width="6.6640625" style="116" customWidth="1"/>
    <col min="8766" max="8768" width="15.33203125" style="116" customWidth="1"/>
    <col min="8769" max="8769" width="15.6640625" style="116" customWidth="1"/>
    <col min="8770" max="8770" width="3.33203125" style="116" customWidth="1"/>
    <col min="8771" max="8771" width="7.33203125" style="116" customWidth="1"/>
    <col min="8772" max="8772" width="6.6640625" style="116" customWidth="1"/>
    <col min="8773" max="8775" width="15.33203125" style="116" customWidth="1"/>
    <col min="8776" max="8776" width="15.6640625" style="116" customWidth="1"/>
    <col min="8777" max="8777" width="3.33203125" style="116" customWidth="1"/>
    <col min="8778" max="8787" width="13.5546875" style="116" customWidth="1"/>
    <col min="8788" max="8993" width="12.5546875" style="116"/>
    <col min="8994" max="8994" width="7.44140625" style="116" bestFit="1" customWidth="1"/>
    <col min="8995" max="8995" width="56.5546875" style="116" customWidth="1"/>
    <col min="8996" max="8996" width="17" style="116" customWidth="1"/>
    <col min="8997" max="8997" width="22.33203125" style="116" bestFit="1" customWidth="1"/>
    <col min="8998" max="8998" width="10.33203125" style="116" bestFit="1" customWidth="1"/>
    <col min="8999" max="8999" width="7.6640625" style="116" customWidth="1"/>
    <col min="9000" max="9000" width="6.6640625" style="116" customWidth="1"/>
    <col min="9001" max="9003" width="15.33203125" style="116" customWidth="1"/>
    <col min="9004" max="9004" width="15.6640625" style="116" customWidth="1"/>
    <col min="9005" max="9005" width="3.33203125" style="116" customWidth="1"/>
    <col min="9006" max="9006" width="7.33203125" style="116" customWidth="1"/>
    <col min="9007" max="9007" width="6.6640625" style="116" customWidth="1"/>
    <col min="9008" max="9010" width="15.33203125" style="116" customWidth="1"/>
    <col min="9011" max="9011" width="15.6640625" style="116" customWidth="1"/>
    <col min="9012" max="9012" width="3.33203125" style="116" customWidth="1"/>
    <col min="9013" max="9013" width="7.33203125" style="116" customWidth="1"/>
    <col min="9014" max="9014" width="6.6640625" style="116" customWidth="1"/>
    <col min="9015" max="9017" width="15.33203125" style="116" customWidth="1"/>
    <col min="9018" max="9018" width="15.6640625" style="116" customWidth="1"/>
    <col min="9019" max="9019" width="3.33203125" style="116" customWidth="1"/>
    <col min="9020" max="9020" width="7.33203125" style="116" customWidth="1"/>
    <col min="9021" max="9021" width="6.6640625" style="116" customWidth="1"/>
    <col min="9022" max="9024" width="15.33203125" style="116" customWidth="1"/>
    <col min="9025" max="9025" width="15.6640625" style="116" customWidth="1"/>
    <col min="9026" max="9026" width="3.33203125" style="116" customWidth="1"/>
    <col min="9027" max="9027" width="7.33203125" style="116" customWidth="1"/>
    <col min="9028" max="9028" width="6.6640625" style="116" customWidth="1"/>
    <col min="9029" max="9031" width="15.33203125" style="116" customWidth="1"/>
    <col min="9032" max="9032" width="15.6640625" style="116" customWidth="1"/>
    <col min="9033" max="9033" width="3.33203125" style="116" customWidth="1"/>
    <col min="9034" max="9043" width="13.5546875" style="116" customWidth="1"/>
    <col min="9044" max="9249" width="12.5546875" style="116"/>
    <col min="9250" max="9250" width="7.44140625" style="116" bestFit="1" customWidth="1"/>
    <col min="9251" max="9251" width="56.5546875" style="116" customWidth="1"/>
    <col min="9252" max="9252" width="17" style="116" customWidth="1"/>
    <col min="9253" max="9253" width="22.33203125" style="116" bestFit="1" customWidth="1"/>
    <col min="9254" max="9254" width="10.33203125" style="116" bestFit="1" customWidth="1"/>
    <col min="9255" max="9255" width="7.6640625" style="116" customWidth="1"/>
    <col min="9256" max="9256" width="6.6640625" style="116" customWidth="1"/>
    <col min="9257" max="9259" width="15.33203125" style="116" customWidth="1"/>
    <col min="9260" max="9260" width="15.6640625" style="116" customWidth="1"/>
    <col min="9261" max="9261" width="3.33203125" style="116" customWidth="1"/>
    <col min="9262" max="9262" width="7.33203125" style="116" customWidth="1"/>
    <col min="9263" max="9263" width="6.6640625" style="116" customWidth="1"/>
    <col min="9264" max="9266" width="15.33203125" style="116" customWidth="1"/>
    <col min="9267" max="9267" width="15.6640625" style="116" customWidth="1"/>
    <col min="9268" max="9268" width="3.33203125" style="116" customWidth="1"/>
    <col min="9269" max="9269" width="7.33203125" style="116" customWidth="1"/>
    <col min="9270" max="9270" width="6.6640625" style="116" customWidth="1"/>
    <col min="9271" max="9273" width="15.33203125" style="116" customWidth="1"/>
    <col min="9274" max="9274" width="15.6640625" style="116" customWidth="1"/>
    <col min="9275" max="9275" width="3.33203125" style="116" customWidth="1"/>
    <col min="9276" max="9276" width="7.33203125" style="116" customWidth="1"/>
    <col min="9277" max="9277" width="6.6640625" style="116" customWidth="1"/>
    <col min="9278" max="9280" width="15.33203125" style="116" customWidth="1"/>
    <col min="9281" max="9281" width="15.6640625" style="116" customWidth="1"/>
    <col min="9282" max="9282" width="3.33203125" style="116" customWidth="1"/>
    <col min="9283" max="9283" width="7.33203125" style="116" customWidth="1"/>
    <col min="9284" max="9284" width="6.6640625" style="116" customWidth="1"/>
    <col min="9285" max="9287" width="15.33203125" style="116" customWidth="1"/>
    <col min="9288" max="9288" width="15.6640625" style="116" customWidth="1"/>
    <col min="9289" max="9289" width="3.33203125" style="116" customWidth="1"/>
    <col min="9290" max="9299" width="13.5546875" style="116" customWidth="1"/>
    <col min="9300" max="9505" width="12.5546875" style="116"/>
    <col min="9506" max="9506" width="7.44140625" style="116" bestFit="1" customWidth="1"/>
    <col min="9507" max="9507" width="56.5546875" style="116" customWidth="1"/>
    <col min="9508" max="9508" width="17" style="116" customWidth="1"/>
    <col min="9509" max="9509" width="22.33203125" style="116" bestFit="1" customWidth="1"/>
    <col min="9510" max="9510" width="10.33203125" style="116" bestFit="1" customWidth="1"/>
    <col min="9511" max="9511" width="7.6640625" style="116" customWidth="1"/>
    <col min="9512" max="9512" width="6.6640625" style="116" customWidth="1"/>
    <col min="9513" max="9515" width="15.33203125" style="116" customWidth="1"/>
    <col min="9516" max="9516" width="15.6640625" style="116" customWidth="1"/>
    <col min="9517" max="9517" width="3.33203125" style="116" customWidth="1"/>
    <col min="9518" max="9518" width="7.33203125" style="116" customWidth="1"/>
    <col min="9519" max="9519" width="6.6640625" style="116" customWidth="1"/>
    <col min="9520" max="9522" width="15.33203125" style="116" customWidth="1"/>
    <col min="9523" max="9523" width="15.6640625" style="116" customWidth="1"/>
    <col min="9524" max="9524" width="3.33203125" style="116" customWidth="1"/>
    <col min="9525" max="9525" width="7.33203125" style="116" customWidth="1"/>
    <col min="9526" max="9526" width="6.6640625" style="116" customWidth="1"/>
    <col min="9527" max="9529" width="15.33203125" style="116" customWidth="1"/>
    <col min="9530" max="9530" width="15.6640625" style="116" customWidth="1"/>
    <col min="9531" max="9531" width="3.33203125" style="116" customWidth="1"/>
    <col min="9532" max="9532" width="7.33203125" style="116" customWidth="1"/>
    <col min="9533" max="9533" width="6.6640625" style="116" customWidth="1"/>
    <col min="9534" max="9536" width="15.33203125" style="116" customWidth="1"/>
    <col min="9537" max="9537" width="15.6640625" style="116" customWidth="1"/>
    <col min="9538" max="9538" width="3.33203125" style="116" customWidth="1"/>
    <col min="9539" max="9539" width="7.33203125" style="116" customWidth="1"/>
    <col min="9540" max="9540" width="6.6640625" style="116" customWidth="1"/>
    <col min="9541" max="9543" width="15.33203125" style="116" customWidth="1"/>
    <col min="9544" max="9544" width="15.6640625" style="116" customWidth="1"/>
    <col min="9545" max="9545" width="3.33203125" style="116" customWidth="1"/>
    <col min="9546" max="9555" width="13.5546875" style="116" customWidth="1"/>
    <col min="9556" max="9761" width="12.5546875" style="116"/>
    <col min="9762" max="9762" width="7.44140625" style="116" bestFit="1" customWidth="1"/>
    <col min="9763" max="9763" width="56.5546875" style="116" customWidth="1"/>
    <col min="9764" max="9764" width="17" style="116" customWidth="1"/>
    <col min="9765" max="9765" width="22.33203125" style="116" bestFit="1" customWidth="1"/>
    <col min="9766" max="9766" width="10.33203125" style="116" bestFit="1" customWidth="1"/>
    <col min="9767" max="9767" width="7.6640625" style="116" customWidth="1"/>
    <col min="9768" max="9768" width="6.6640625" style="116" customWidth="1"/>
    <col min="9769" max="9771" width="15.33203125" style="116" customWidth="1"/>
    <col min="9772" max="9772" width="15.6640625" style="116" customWidth="1"/>
    <col min="9773" max="9773" width="3.33203125" style="116" customWidth="1"/>
    <col min="9774" max="9774" width="7.33203125" style="116" customWidth="1"/>
    <col min="9775" max="9775" width="6.6640625" style="116" customWidth="1"/>
    <col min="9776" max="9778" width="15.33203125" style="116" customWidth="1"/>
    <col min="9779" max="9779" width="15.6640625" style="116" customWidth="1"/>
    <col min="9780" max="9780" width="3.33203125" style="116" customWidth="1"/>
    <col min="9781" max="9781" width="7.33203125" style="116" customWidth="1"/>
    <col min="9782" max="9782" width="6.6640625" style="116" customWidth="1"/>
    <col min="9783" max="9785" width="15.33203125" style="116" customWidth="1"/>
    <col min="9786" max="9786" width="15.6640625" style="116" customWidth="1"/>
    <col min="9787" max="9787" width="3.33203125" style="116" customWidth="1"/>
    <col min="9788" max="9788" width="7.33203125" style="116" customWidth="1"/>
    <col min="9789" max="9789" width="6.6640625" style="116" customWidth="1"/>
    <col min="9790" max="9792" width="15.33203125" style="116" customWidth="1"/>
    <col min="9793" max="9793" width="15.6640625" style="116" customWidth="1"/>
    <col min="9794" max="9794" width="3.33203125" style="116" customWidth="1"/>
    <col min="9795" max="9795" width="7.33203125" style="116" customWidth="1"/>
    <col min="9796" max="9796" width="6.6640625" style="116" customWidth="1"/>
    <col min="9797" max="9799" width="15.33203125" style="116" customWidth="1"/>
    <col min="9800" max="9800" width="15.6640625" style="116" customWidth="1"/>
    <col min="9801" max="9801" width="3.33203125" style="116" customWidth="1"/>
    <col min="9802" max="9811" width="13.5546875" style="116" customWidth="1"/>
    <col min="9812" max="10017" width="12.5546875" style="116"/>
    <col min="10018" max="10018" width="7.44140625" style="116" bestFit="1" customWidth="1"/>
    <col min="10019" max="10019" width="56.5546875" style="116" customWidth="1"/>
    <col min="10020" max="10020" width="17" style="116" customWidth="1"/>
    <col min="10021" max="10021" width="22.33203125" style="116" bestFit="1" customWidth="1"/>
    <col min="10022" max="10022" width="10.33203125" style="116" bestFit="1" customWidth="1"/>
    <col min="10023" max="10023" width="7.6640625" style="116" customWidth="1"/>
    <col min="10024" max="10024" width="6.6640625" style="116" customWidth="1"/>
    <col min="10025" max="10027" width="15.33203125" style="116" customWidth="1"/>
    <col min="10028" max="10028" width="15.6640625" style="116" customWidth="1"/>
    <col min="10029" max="10029" width="3.33203125" style="116" customWidth="1"/>
    <col min="10030" max="10030" width="7.33203125" style="116" customWidth="1"/>
    <col min="10031" max="10031" width="6.6640625" style="116" customWidth="1"/>
    <col min="10032" max="10034" width="15.33203125" style="116" customWidth="1"/>
    <col min="10035" max="10035" width="15.6640625" style="116" customWidth="1"/>
    <col min="10036" max="10036" width="3.33203125" style="116" customWidth="1"/>
    <col min="10037" max="10037" width="7.33203125" style="116" customWidth="1"/>
    <col min="10038" max="10038" width="6.6640625" style="116" customWidth="1"/>
    <col min="10039" max="10041" width="15.33203125" style="116" customWidth="1"/>
    <col min="10042" max="10042" width="15.6640625" style="116" customWidth="1"/>
    <col min="10043" max="10043" width="3.33203125" style="116" customWidth="1"/>
    <col min="10044" max="10044" width="7.33203125" style="116" customWidth="1"/>
    <col min="10045" max="10045" width="6.6640625" style="116" customWidth="1"/>
    <col min="10046" max="10048" width="15.33203125" style="116" customWidth="1"/>
    <col min="10049" max="10049" width="15.6640625" style="116" customWidth="1"/>
    <col min="10050" max="10050" width="3.33203125" style="116" customWidth="1"/>
    <col min="10051" max="10051" width="7.33203125" style="116" customWidth="1"/>
    <col min="10052" max="10052" width="6.6640625" style="116" customWidth="1"/>
    <col min="10053" max="10055" width="15.33203125" style="116" customWidth="1"/>
    <col min="10056" max="10056" width="15.6640625" style="116" customWidth="1"/>
    <col min="10057" max="10057" width="3.33203125" style="116" customWidth="1"/>
    <col min="10058" max="10067" width="13.5546875" style="116" customWidth="1"/>
    <col min="10068" max="10273" width="12.5546875" style="116"/>
    <col min="10274" max="10274" width="7.44140625" style="116" bestFit="1" customWidth="1"/>
    <col min="10275" max="10275" width="56.5546875" style="116" customWidth="1"/>
    <col min="10276" max="10276" width="17" style="116" customWidth="1"/>
    <col min="10277" max="10277" width="22.33203125" style="116" bestFit="1" customWidth="1"/>
    <col min="10278" max="10278" width="10.33203125" style="116" bestFit="1" customWidth="1"/>
    <col min="10279" max="10279" width="7.6640625" style="116" customWidth="1"/>
    <col min="10280" max="10280" width="6.6640625" style="116" customWidth="1"/>
    <col min="10281" max="10283" width="15.33203125" style="116" customWidth="1"/>
    <col min="10284" max="10284" width="15.6640625" style="116" customWidth="1"/>
    <col min="10285" max="10285" width="3.33203125" style="116" customWidth="1"/>
    <col min="10286" max="10286" width="7.33203125" style="116" customWidth="1"/>
    <col min="10287" max="10287" width="6.6640625" style="116" customWidth="1"/>
    <col min="10288" max="10290" width="15.33203125" style="116" customWidth="1"/>
    <col min="10291" max="10291" width="15.6640625" style="116" customWidth="1"/>
    <col min="10292" max="10292" width="3.33203125" style="116" customWidth="1"/>
    <col min="10293" max="10293" width="7.33203125" style="116" customWidth="1"/>
    <col min="10294" max="10294" width="6.6640625" style="116" customWidth="1"/>
    <col min="10295" max="10297" width="15.33203125" style="116" customWidth="1"/>
    <col min="10298" max="10298" width="15.6640625" style="116" customWidth="1"/>
    <col min="10299" max="10299" width="3.33203125" style="116" customWidth="1"/>
    <col min="10300" max="10300" width="7.33203125" style="116" customWidth="1"/>
    <col min="10301" max="10301" width="6.6640625" style="116" customWidth="1"/>
    <col min="10302" max="10304" width="15.33203125" style="116" customWidth="1"/>
    <col min="10305" max="10305" width="15.6640625" style="116" customWidth="1"/>
    <col min="10306" max="10306" width="3.33203125" style="116" customWidth="1"/>
    <col min="10307" max="10307" width="7.33203125" style="116" customWidth="1"/>
    <col min="10308" max="10308" width="6.6640625" style="116" customWidth="1"/>
    <col min="10309" max="10311" width="15.33203125" style="116" customWidth="1"/>
    <col min="10312" max="10312" width="15.6640625" style="116" customWidth="1"/>
    <col min="10313" max="10313" width="3.33203125" style="116" customWidth="1"/>
    <col min="10314" max="10323" width="13.5546875" style="116" customWidth="1"/>
    <col min="10324" max="10529" width="12.5546875" style="116"/>
    <col min="10530" max="10530" width="7.44140625" style="116" bestFit="1" customWidth="1"/>
    <col min="10531" max="10531" width="56.5546875" style="116" customWidth="1"/>
    <col min="10532" max="10532" width="17" style="116" customWidth="1"/>
    <col min="10533" max="10533" width="22.33203125" style="116" bestFit="1" customWidth="1"/>
    <col min="10534" max="10534" width="10.33203125" style="116" bestFit="1" customWidth="1"/>
    <col min="10535" max="10535" width="7.6640625" style="116" customWidth="1"/>
    <col min="10536" max="10536" width="6.6640625" style="116" customWidth="1"/>
    <col min="10537" max="10539" width="15.33203125" style="116" customWidth="1"/>
    <col min="10540" max="10540" width="15.6640625" style="116" customWidth="1"/>
    <col min="10541" max="10541" width="3.33203125" style="116" customWidth="1"/>
    <col min="10542" max="10542" width="7.33203125" style="116" customWidth="1"/>
    <col min="10543" max="10543" width="6.6640625" style="116" customWidth="1"/>
    <col min="10544" max="10546" width="15.33203125" style="116" customWidth="1"/>
    <col min="10547" max="10547" width="15.6640625" style="116" customWidth="1"/>
    <col min="10548" max="10548" width="3.33203125" style="116" customWidth="1"/>
    <col min="10549" max="10549" width="7.33203125" style="116" customWidth="1"/>
    <col min="10550" max="10550" width="6.6640625" style="116" customWidth="1"/>
    <col min="10551" max="10553" width="15.33203125" style="116" customWidth="1"/>
    <col min="10554" max="10554" width="15.6640625" style="116" customWidth="1"/>
    <col min="10555" max="10555" width="3.33203125" style="116" customWidth="1"/>
    <col min="10556" max="10556" width="7.33203125" style="116" customWidth="1"/>
    <col min="10557" max="10557" width="6.6640625" style="116" customWidth="1"/>
    <col min="10558" max="10560" width="15.33203125" style="116" customWidth="1"/>
    <col min="10561" max="10561" width="15.6640625" style="116" customWidth="1"/>
    <col min="10562" max="10562" width="3.33203125" style="116" customWidth="1"/>
    <col min="10563" max="10563" width="7.33203125" style="116" customWidth="1"/>
    <col min="10564" max="10564" width="6.6640625" style="116" customWidth="1"/>
    <col min="10565" max="10567" width="15.33203125" style="116" customWidth="1"/>
    <col min="10568" max="10568" width="15.6640625" style="116" customWidth="1"/>
    <col min="10569" max="10569" width="3.33203125" style="116" customWidth="1"/>
    <col min="10570" max="10579" width="13.5546875" style="116" customWidth="1"/>
    <col min="10580" max="10785" width="12.5546875" style="116"/>
    <col min="10786" max="10786" width="7.44140625" style="116" bestFit="1" customWidth="1"/>
    <col min="10787" max="10787" width="56.5546875" style="116" customWidth="1"/>
    <col min="10788" max="10788" width="17" style="116" customWidth="1"/>
    <col min="10789" max="10789" width="22.33203125" style="116" bestFit="1" customWidth="1"/>
    <col min="10790" max="10790" width="10.33203125" style="116" bestFit="1" customWidth="1"/>
    <col min="10791" max="10791" width="7.6640625" style="116" customWidth="1"/>
    <col min="10792" max="10792" width="6.6640625" style="116" customWidth="1"/>
    <col min="10793" max="10795" width="15.33203125" style="116" customWidth="1"/>
    <col min="10796" max="10796" width="15.6640625" style="116" customWidth="1"/>
    <col min="10797" max="10797" width="3.33203125" style="116" customWidth="1"/>
    <col min="10798" max="10798" width="7.33203125" style="116" customWidth="1"/>
    <col min="10799" max="10799" width="6.6640625" style="116" customWidth="1"/>
    <col min="10800" max="10802" width="15.33203125" style="116" customWidth="1"/>
    <col min="10803" max="10803" width="15.6640625" style="116" customWidth="1"/>
    <col min="10804" max="10804" width="3.33203125" style="116" customWidth="1"/>
    <col min="10805" max="10805" width="7.33203125" style="116" customWidth="1"/>
    <col min="10806" max="10806" width="6.6640625" style="116" customWidth="1"/>
    <col min="10807" max="10809" width="15.33203125" style="116" customWidth="1"/>
    <col min="10810" max="10810" width="15.6640625" style="116" customWidth="1"/>
    <col min="10811" max="10811" width="3.33203125" style="116" customWidth="1"/>
    <col min="10812" max="10812" width="7.33203125" style="116" customWidth="1"/>
    <col min="10813" max="10813" width="6.6640625" style="116" customWidth="1"/>
    <col min="10814" max="10816" width="15.33203125" style="116" customWidth="1"/>
    <col min="10817" max="10817" width="15.6640625" style="116" customWidth="1"/>
    <col min="10818" max="10818" width="3.33203125" style="116" customWidth="1"/>
    <col min="10819" max="10819" width="7.33203125" style="116" customWidth="1"/>
    <col min="10820" max="10820" width="6.6640625" style="116" customWidth="1"/>
    <col min="10821" max="10823" width="15.33203125" style="116" customWidth="1"/>
    <col min="10824" max="10824" width="15.6640625" style="116" customWidth="1"/>
    <col min="10825" max="10825" width="3.33203125" style="116" customWidth="1"/>
    <col min="10826" max="10835" width="13.5546875" style="116" customWidth="1"/>
    <col min="10836" max="11041" width="12.5546875" style="116"/>
    <col min="11042" max="11042" width="7.44140625" style="116" bestFit="1" customWidth="1"/>
    <col min="11043" max="11043" width="56.5546875" style="116" customWidth="1"/>
    <col min="11044" max="11044" width="17" style="116" customWidth="1"/>
    <col min="11045" max="11045" width="22.33203125" style="116" bestFit="1" customWidth="1"/>
    <col min="11046" max="11046" width="10.33203125" style="116" bestFit="1" customWidth="1"/>
    <col min="11047" max="11047" width="7.6640625" style="116" customWidth="1"/>
    <col min="11048" max="11048" width="6.6640625" style="116" customWidth="1"/>
    <col min="11049" max="11051" width="15.33203125" style="116" customWidth="1"/>
    <col min="11052" max="11052" width="15.6640625" style="116" customWidth="1"/>
    <col min="11053" max="11053" width="3.33203125" style="116" customWidth="1"/>
    <col min="11054" max="11054" width="7.33203125" style="116" customWidth="1"/>
    <col min="11055" max="11055" width="6.6640625" style="116" customWidth="1"/>
    <col min="11056" max="11058" width="15.33203125" style="116" customWidth="1"/>
    <col min="11059" max="11059" width="15.6640625" style="116" customWidth="1"/>
    <col min="11060" max="11060" width="3.33203125" style="116" customWidth="1"/>
    <col min="11061" max="11061" width="7.33203125" style="116" customWidth="1"/>
    <col min="11062" max="11062" width="6.6640625" style="116" customWidth="1"/>
    <col min="11063" max="11065" width="15.33203125" style="116" customWidth="1"/>
    <col min="11066" max="11066" width="15.6640625" style="116" customWidth="1"/>
    <col min="11067" max="11067" width="3.33203125" style="116" customWidth="1"/>
    <col min="11068" max="11068" width="7.33203125" style="116" customWidth="1"/>
    <col min="11069" max="11069" width="6.6640625" style="116" customWidth="1"/>
    <col min="11070" max="11072" width="15.33203125" style="116" customWidth="1"/>
    <col min="11073" max="11073" width="15.6640625" style="116" customWidth="1"/>
    <col min="11074" max="11074" width="3.33203125" style="116" customWidth="1"/>
    <col min="11075" max="11075" width="7.33203125" style="116" customWidth="1"/>
    <col min="11076" max="11076" width="6.6640625" style="116" customWidth="1"/>
    <col min="11077" max="11079" width="15.33203125" style="116" customWidth="1"/>
    <col min="11080" max="11080" width="15.6640625" style="116" customWidth="1"/>
    <col min="11081" max="11081" width="3.33203125" style="116" customWidth="1"/>
    <col min="11082" max="11091" width="13.5546875" style="116" customWidth="1"/>
    <col min="11092" max="11297" width="12.5546875" style="116"/>
    <col min="11298" max="11298" width="7.44140625" style="116" bestFit="1" customWidth="1"/>
    <col min="11299" max="11299" width="56.5546875" style="116" customWidth="1"/>
    <col min="11300" max="11300" width="17" style="116" customWidth="1"/>
    <col min="11301" max="11301" width="22.33203125" style="116" bestFit="1" customWidth="1"/>
    <col min="11302" max="11302" width="10.33203125" style="116" bestFit="1" customWidth="1"/>
    <col min="11303" max="11303" width="7.6640625" style="116" customWidth="1"/>
    <col min="11304" max="11304" width="6.6640625" style="116" customWidth="1"/>
    <col min="11305" max="11307" width="15.33203125" style="116" customWidth="1"/>
    <col min="11308" max="11308" width="15.6640625" style="116" customWidth="1"/>
    <col min="11309" max="11309" width="3.33203125" style="116" customWidth="1"/>
    <col min="11310" max="11310" width="7.33203125" style="116" customWidth="1"/>
    <col min="11311" max="11311" width="6.6640625" style="116" customWidth="1"/>
    <col min="11312" max="11314" width="15.33203125" style="116" customWidth="1"/>
    <col min="11315" max="11315" width="15.6640625" style="116" customWidth="1"/>
    <col min="11316" max="11316" width="3.33203125" style="116" customWidth="1"/>
    <col min="11317" max="11317" width="7.33203125" style="116" customWidth="1"/>
    <col min="11318" max="11318" width="6.6640625" style="116" customWidth="1"/>
    <col min="11319" max="11321" width="15.33203125" style="116" customWidth="1"/>
    <col min="11322" max="11322" width="15.6640625" style="116" customWidth="1"/>
    <col min="11323" max="11323" width="3.33203125" style="116" customWidth="1"/>
    <col min="11324" max="11324" width="7.33203125" style="116" customWidth="1"/>
    <col min="11325" max="11325" width="6.6640625" style="116" customWidth="1"/>
    <col min="11326" max="11328" width="15.33203125" style="116" customWidth="1"/>
    <col min="11329" max="11329" width="15.6640625" style="116" customWidth="1"/>
    <col min="11330" max="11330" width="3.33203125" style="116" customWidth="1"/>
    <col min="11331" max="11331" width="7.33203125" style="116" customWidth="1"/>
    <col min="11332" max="11332" width="6.6640625" style="116" customWidth="1"/>
    <col min="11333" max="11335" width="15.33203125" style="116" customWidth="1"/>
    <col min="11336" max="11336" width="15.6640625" style="116" customWidth="1"/>
    <col min="11337" max="11337" width="3.33203125" style="116" customWidth="1"/>
    <col min="11338" max="11347" width="13.5546875" style="116" customWidth="1"/>
    <col min="11348" max="11553" width="12.5546875" style="116"/>
    <col min="11554" max="11554" width="7.44140625" style="116" bestFit="1" customWidth="1"/>
    <col min="11555" max="11555" width="56.5546875" style="116" customWidth="1"/>
    <col min="11556" max="11556" width="17" style="116" customWidth="1"/>
    <col min="11557" max="11557" width="22.33203125" style="116" bestFit="1" customWidth="1"/>
    <col min="11558" max="11558" width="10.33203125" style="116" bestFit="1" customWidth="1"/>
    <col min="11559" max="11559" width="7.6640625" style="116" customWidth="1"/>
    <col min="11560" max="11560" width="6.6640625" style="116" customWidth="1"/>
    <col min="11561" max="11563" width="15.33203125" style="116" customWidth="1"/>
    <col min="11564" max="11564" width="15.6640625" style="116" customWidth="1"/>
    <col min="11565" max="11565" width="3.33203125" style="116" customWidth="1"/>
    <col min="11566" max="11566" width="7.33203125" style="116" customWidth="1"/>
    <col min="11567" max="11567" width="6.6640625" style="116" customWidth="1"/>
    <col min="11568" max="11570" width="15.33203125" style="116" customWidth="1"/>
    <col min="11571" max="11571" width="15.6640625" style="116" customWidth="1"/>
    <col min="11572" max="11572" width="3.33203125" style="116" customWidth="1"/>
    <col min="11573" max="11573" width="7.33203125" style="116" customWidth="1"/>
    <col min="11574" max="11574" width="6.6640625" style="116" customWidth="1"/>
    <col min="11575" max="11577" width="15.33203125" style="116" customWidth="1"/>
    <col min="11578" max="11578" width="15.6640625" style="116" customWidth="1"/>
    <col min="11579" max="11579" width="3.33203125" style="116" customWidth="1"/>
    <col min="11580" max="11580" width="7.33203125" style="116" customWidth="1"/>
    <col min="11581" max="11581" width="6.6640625" style="116" customWidth="1"/>
    <col min="11582" max="11584" width="15.33203125" style="116" customWidth="1"/>
    <col min="11585" max="11585" width="15.6640625" style="116" customWidth="1"/>
    <col min="11586" max="11586" width="3.33203125" style="116" customWidth="1"/>
    <col min="11587" max="11587" width="7.33203125" style="116" customWidth="1"/>
    <col min="11588" max="11588" width="6.6640625" style="116" customWidth="1"/>
    <col min="11589" max="11591" width="15.33203125" style="116" customWidth="1"/>
    <col min="11592" max="11592" width="15.6640625" style="116" customWidth="1"/>
    <col min="11593" max="11593" width="3.33203125" style="116" customWidth="1"/>
    <col min="11594" max="11603" width="13.5546875" style="116" customWidth="1"/>
    <col min="11604" max="11809" width="12.5546875" style="116"/>
    <col min="11810" max="11810" width="7.44140625" style="116" bestFit="1" customWidth="1"/>
    <col min="11811" max="11811" width="56.5546875" style="116" customWidth="1"/>
    <col min="11812" max="11812" width="17" style="116" customWidth="1"/>
    <col min="11813" max="11813" width="22.33203125" style="116" bestFit="1" customWidth="1"/>
    <col min="11814" max="11814" width="10.33203125" style="116" bestFit="1" customWidth="1"/>
    <col min="11815" max="11815" width="7.6640625" style="116" customWidth="1"/>
    <col min="11816" max="11816" width="6.6640625" style="116" customWidth="1"/>
    <col min="11817" max="11819" width="15.33203125" style="116" customWidth="1"/>
    <col min="11820" max="11820" width="15.6640625" style="116" customWidth="1"/>
    <col min="11821" max="11821" width="3.33203125" style="116" customWidth="1"/>
    <col min="11822" max="11822" width="7.33203125" style="116" customWidth="1"/>
    <col min="11823" max="11823" width="6.6640625" style="116" customWidth="1"/>
    <col min="11824" max="11826" width="15.33203125" style="116" customWidth="1"/>
    <col min="11827" max="11827" width="15.6640625" style="116" customWidth="1"/>
    <col min="11828" max="11828" width="3.33203125" style="116" customWidth="1"/>
    <col min="11829" max="11829" width="7.33203125" style="116" customWidth="1"/>
    <col min="11830" max="11830" width="6.6640625" style="116" customWidth="1"/>
    <col min="11831" max="11833" width="15.33203125" style="116" customWidth="1"/>
    <col min="11834" max="11834" width="15.6640625" style="116" customWidth="1"/>
    <col min="11835" max="11835" width="3.33203125" style="116" customWidth="1"/>
    <col min="11836" max="11836" width="7.33203125" style="116" customWidth="1"/>
    <col min="11837" max="11837" width="6.6640625" style="116" customWidth="1"/>
    <col min="11838" max="11840" width="15.33203125" style="116" customWidth="1"/>
    <col min="11841" max="11841" width="15.6640625" style="116" customWidth="1"/>
    <col min="11842" max="11842" width="3.33203125" style="116" customWidth="1"/>
    <col min="11843" max="11843" width="7.33203125" style="116" customWidth="1"/>
    <col min="11844" max="11844" width="6.6640625" style="116" customWidth="1"/>
    <col min="11845" max="11847" width="15.33203125" style="116" customWidth="1"/>
    <col min="11848" max="11848" width="15.6640625" style="116" customWidth="1"/>
    <col min="11849" max="11849" width="3.33203125" style="116" customWidth="1"/>
    <col min="11850" max="11859" width="13.5546875" style="116" customWidth="1"/>
    <col min="11860" max="12065" width="12.5546875" style="116"/>
    <col min="12066" max="12066" width="7.44140625" style="116" bestFit="1" customWidth="1"/>
    <col min="12067" max="12067" width="56.5546875" style="116" customWidth="1"/>
    <col min="12068" max="12068" width="17" style="116" customWidth="1"/>
    <col min="12069" max="12069" width="22.33203125" style="116" bestFit="1" customWidth="1"/>
    <col min="12070" max="12070" width="10.33203125" style="116" bestFit="1" customWidth="1"/>
    <col min="12071" max="12071" width="7.6640625" style="116" customWidth="1"/>
    <col min="12072" max="12072" width="6.6640625" style="116" customWidth="1"/>
    <col min="12073" max="12075" width="15.33203125" style="116" customWidth="1"/>
    <col min="12076" max="12076" width="15.6640625" style="116" customWidth="1"/>
    <col min="12077" max="12077" width="3.33203125" style="116" customWidth="1"/>
    <col min="12078" max="12078" width="7.33203125" style="116" customWidth="1"/>
    <col min="12079" max="12079" width="6.6640625" style="116" customWidth="1"/>
    <col min="12080" max="12082" width="15.33203125" style="116" customWidth="1"/>
    <col min="12083" max="12083" width="15.6640625" style="116" customWidth="1"/>
    <col min="12084" max="12084" width="3.33203125" style="116" customWidth="1"/>
    <col min="12085" max="12085" width="7.33203125" style="116" customWidth="1"/>
    <col min="12086" max="12086" width="6.6640625" style="116" customWidth="1"/>
    <col min="12087" max="12089" width="15.33203125" style="116" customWidth="1"/>
    <col min="12090" max="12090" width="15.6640625" style="116" customWidth="1"/>
    <col min="12091" max="12091" width="3.33203125" style="116" customWidth="1"/>
    <col min="12092" max="12092" width="7.33203125" style="116" customWidth="1"/>
    <col min="12093" max="12093" width="6.6640625" style="116" customWidth="1"/>
    <col min="12094" max="12096" width="15.33203125" style="116" customWidth="1"/>
    <col min="12097" max="12097" width="15.6640625" style="116" customWidth="1"/>
    <col min="12098" max="12098" width="3.33203125" style="116" customWidth="1"/>
    <col min="12099" max="12099" width="7.33203125" style="116" customWidth="1"/>
    <col min="12100" max="12100" width="6.6640625" style="116" customWidth="1"/>
    <col min="12101" max="12103" width="15.33203125" style="116" customWidth="1"/>
    <col min="12104" max="12104" width="15.6640625" style="116" customWidth="1"/>
    <col min="12105" max="12105" width="3.33203125" style="116" customWidth="1"/>
    <col min="12106" max="12115" width="13.5546875" style="116" customWidth="1"/>
    <col min="12116" max="12321" width="12.5546875" style="116"/>
    <col min="12322" max="12322" width="7.44140625" style="116" bestFit="1" customWidth="1"/>
    <col min="12323" max="12323" width="56.5546875" style="116" customWidth="1"/>
    <col min="12324" max="12324" width="17" style="116" customWidth="1"/>
    <col min="12325" max="12325" width="22.33203125" style="116" bestFit="1" customWidth="1"/>
    <col min="12326" max="12326" width="10.33203125" style="116" bestFit="1" customWidth="1"/>
    <col min="12327" max="12327" width="7.6640625" style="116" customWidth="1"/>
    <col min="12328" max="12328" width="6.6640625" style="116" customWidth="1"/>
    <col min="12329" max="12331" width="15.33203125" style="116" customWidth="1"/>
    <col min="12332" max="12332" width="15.6640625" style="116" customWidth="1"/>
    <col min="12333" max="12333" width="3.33203125" style="116" customWidth="1"/>
    <col min="12334" max="12334" width="7.33203125" style="116" customWidth="1"/>
    <col min="12335" max="12335" width="6.6640625" style="116" customWidth="1"/>
    <col min="12336" max="12338" width="15.33203125" style="116" customWidth="1"/>
    <col min="12339" max="12339" width="15.6640625" style="116" customWidth="1"/>
    <col min="12340" max="12340" width="3.33203125" style="116" customWidth="1"/>
    <col min="12341" max="12341" width="7.33203125" style="116" customWidth="1"/>
    <col min="12342" max="12342" width="6.6640625" style="116" customWidth="1"/>
    <col min="12343" max="12345" width="15.33203125" style="116" customWidth="1"/>
    <col min="12346" max="12346" width="15.6640625" style="116" customWidth="1"/>
    <col min="12347" max="12347" width="3.33203125" style="116" customWidth="1"/>
    <col min="12348" max="12348" width="7.33203125" style="116" customWidth="1"/>
    <col min="12349" max="12349" width="6.6640625" style="116" customWidth="1"/>
    <col min="12350" max="12352" width="15.33203125" style="116" customWidth="1"/>
    <col min="12353" max="12353" width="15.6640625" style="116" customWidth="1"/>
    <col min="12354" max="12354" width="3.33203125" style="116" customWidth="1"/>
    <col min="12355" max="12355" width="7.33203125" style="116" customWidth="1"/>
    <col min="12356" max="12356" width="6.6640625" style="116" customWidth="1"/>
    <col min="12357" max="12359" width="15.33203125" style="116" customWidth="1"/>
    <col min="12360" max="12360" width="15.6640625" style="116" customWidth="1"/>
    <col min="12361" max="12361" width="3.33203125" style="116" customWidth="1"/>
    <col min="12362" max="12371" width="13.5546875" style="116" customWidth="1"/>
    <col min="12372" max="12577" width="12.5546875" style="116"/>
    <col min="12578" max="12578" width="7.44140625" style="116" bestFit="1" customWidth="1"/>
    <col min="12579" max="12579" width="56.5546875" style="116" customWidth="1"/>
    <col min="12580" max="12580" width="17" style="116" customWidth="1"/>
    <col min="12581" max="12581" width="22.33203125" style="116" bestFit="1" customWidth="1"/>
    <col min="12582" max="12582" width="10.33203125" style="116" bestFit="1" customWidth="1"/>
    <col min="12583" max="12583" width="7.6640625" style="116" customWidth="1"/>
    <col min="12584" max="12584" width="6.6640625" style="116" customWidth="1"/>
    <col min="12585" max="12587" width="15.33203125" style="116" customWidth="1"/>
    <col min="12588" max="12588" width="15.6640625" style="116" customWidth="1"/>
    <col min="12589" max="12589" width="3.33203125" style="116" customWidth="1"/>
    <col min="12590" max="12590" width="7.33203125" style="116" customWidth="1"/>
    <col min="12591" max="12591" width="6.6640625" style="116" customWidth="1"/>
    <col min="12592" max="12594" width="15.33203125" style="116" customWidth="1"/>
    <col min="12595" max="12595" width="15.6640625" style="116" customWidth="1"/>
    <col min="12596" max="12596" width="3.33203125" style="116" customWidth="1"/>
    <col min="12597" max="12597" width="7.33203125" style="116" customWidth="1"/>
    <col min="12598" max="12598" width="6.6640625" style="116" customWidth="1"/>
    <col min="12599" max="12601" width="15.33203125" style="116" customWidth="1"/>
    <col min="12602" max="12602" width="15.6640625" style="116" customWidth="1"/>
    <col min="12603" max="12603" width="3.33203125" style="116" customWidth="1"/>
    <col min="12604" max="12604" width="7.33203125" style="116" customWidth="1"/>
    <col min="12605" max="12605" width="6.6640625" style="116" customWidth="1"/>
    <col min="12606" max="12608" width="15.33203125" style="116" customWidth="1"/>
    <col min="12609" max="12609" width="15.6640625" style="116" customWidth="1"/>
    <col min="12610" max="12610" width="3.33203125" style="116" customWidth="1"/>
    <col min="12611" max="12611" width="7.33203125" style="116" customWidth="1"/>
    <col min="12612" max="12612" width="6.6640625" style="116" customWidth="1"/>
    <col min="12613" max="12615" width="15.33203125" style="116" customWidth="1"/>
    <col min="12616" max="12616" width="15.6640625" style="116" customWidth="1"/>
    <col min="12617" max="12617" width="3.33203125" style="116" customWidth="1"/>
    <col min="12618" max="12627" width="13.5546875" style="116" customWidth="1"/>
    <col min="12628" max="12833" width="12.5546875" style="116"/>
    <col min="12834" max="12834" width="7.44140625" style="116" bestFit="1" customWidth="1"/>
    <col min="12835" max="12835" width="56.5546875" style="116" customWidth="1"/>
    <col min="12836" max="12836" width="17" style="116" customWidth="1"/>
    <col min="12837" max="12837" width="22.33203125" style="116" bestFit="1" customWidth="1"/>
    <col min="12838" max="12838" width="10.33203125" style="116" bestFit="1" customWidth="1"/>
    <col min="12839" max="12839" width="7.6640625" style="116" customWidth="1"/>
    <col min="12840" max="12840" width="6.6640625" style="116" customWidth="1"/>
    <col min="12841" max="12843" width="15.33203125" style="116" customWidth="1"/>
    <col min="12844" max="12844" width="15.6640625" style="116" customWidth="1"/>
    <col min="12845" max="12845" width="3.33203125" style="116" customWidth="1"/>
    <col min="12846" max="12846" width="7.33203125" style="116" customWidth="1"/>
    <col min="12847" max="12847" width="6.6640625" style="116" customWidth="1"/>
    <col min="12848" max="12850" width="15.33203125" style="116" customWidth="1"/>
    <col min="12851" max="12851" width="15.6640625" style="116" customWidth="1"/>
    <col min="12852" max="12852" width="3.33203125" style="116" customWidth="1"/>
    <col min="12853" max="12853" width="7.33203125" style="116" customWidth="1"/>
    <col min="12854" max="12854" width="6.6640625" style="116" customWidth="1"/>
    <col min="12855" max="12857" width="15.33203125" style="116" customWidth="1"/>
    <col min="12858" max="12858" width="15.6640625" style="116" customWidth="1"/>
    <col min="12859" max="12859" width="3.33203125" style="116" customWidth="1"/>
    <col min="12860" max="12860" width="7.33203125" style="116" customWidth="1"/>
    <col min="12861" max="12861" width="6.6640625" style="116" customWidth="1"/>
    <col min="12862" max="12864" width="15.33203125" style="116" customWidth="1"/>
    <col min="12865" max="12865" width="15.6640625" style="116" customWidth="1"/>
    <col min="12866" max="12866" width="3.33203125" style="116" customWidth="1"/>
    <col min="12867" max="12867" width="7.33203125" style="116" customWidth="1"/>
    <col min="12868" max="12868" width="6.6640625" style="116" customWidth="1"/>
    <col min="12869" max="12871" width="15.33203125" style="116" customWidth="1"/>
    <col min="12872" max="12872" width="15.6640625" style="116" customWidth="1"/>
    <col min="12873" max="12873" width="3.33203125" style="116" customWidth="1"/>
    <col min="12874" max="12883" width="13.5546875" style="116" customWidth="1"/>
    <col min="12884" max="13089" width="12.5546875" style="116"/>
    <col min="13090" max="13090" width="7.44140625" style="116" bestFit="1" customWidth="1"/>
    <col min="13091" max="13091" width="56.5546875" style="116" customWidth="1"/>
    <col min="13092" max="13092" width="17" style="116" customWidth="1"/>
    <col min="13093" max="13093" width="22.33203125" style="116" bestFit="1" customWidth="1"/>
    <col min="13094" max="13094" width="10.33203125" style="116" bestFit="1" customWidth="1"/>
    <col min="13095" max="13095" width="7.6640625" style="116" customWidth="1"/>
    <col min="13096" max="13096" width="6.6640625" style="116" customWidth="1"/>
    <col min="13097" max="13099" width="15.33203125" style="116" customWidth="1"/>
    <col min="13100" max="13100" width="15.6640625" style="116" customWidth="1"/>
    <col min="13101" max="13101" width="3.33203125" style="116" customWidth="1"/>
    <col min="13102" max="13102" width="7.33203125" style="116" customWidth="1"/>
    <col min="13103" max="13103" width="6.6640625" style="116" customWidth="1"/>
    <col min="13104" max="13106" width="15.33203125" style="116" customWidth="1"/>
    <col min="13107" max="13107" width="15.6640625" style="116" customWidth="1"/>
    <col min="13108" max="13108" width="3.33203125" style="116" customWidth="1"/>
    <col min="13109" max="13109" width="7.33203125" style="116" customWidth="1"/>
    <col min="13110" max="13110" width="6.6640625" style="116" customWidth="1"/>
    <col min="13111" max="13113" width="15.33203125" style="116" customWidth="1"/>
    <col min="13114" max="13114" width="15.6640625" style="116" customWidth="1"/>
    <col min="13115" max="13115" width="3.33203125" style="116" customWidth="1"/>
    <col min="13116" max="13116" width="7.33203125" style="116" customWidth="1"/>
    <col min="13117" max="13117" width="6.6640625" style="116" customWidth="1"/>
    <col min="13118" max="13120" width="15.33203125" style="116" customWidth="1"/>
    <col min="13121" max="13121" width="15.6640625" style="116" customWidth="1"/>
    <col min="13122" max="13122" width="3.33203125" style="116" customWidth="1"/>
    <col min="13123" max="13123" width="7.33203125" style="116" customWidth="1"/>
    <col min="13124" max="13124" width="6.6640625" style="116" customWidth="1"/>
    <col min="13125" max="13127" width="15.33203125" style="116" customWidth="1"/>
    <col min="13128" max="13128" width="15.6640625" style="116" customWidth="1"/>
    <col min="13129" max="13129" width="3.33203125" style="116" customWidth="1"/>
    <col min="13130" max="13139" width="13.5546875" style="116" customWidth="1"/>
    <col min="13140" max="13345" width="12.5546875" style="116"/>
    <col min="13346" max="13346" width="7.44140625" style="116" bestFit="1" customWidth="1"/>
    <col min="13347" max="13347" width="56.5546875" style="116" customWidth="1"/>
    <col min="13348" max="13348" width="17" style="116" customWidth="1"/>
    <col min="13349" max="13349" width="22.33203125" style="116" bestFit="1" customWidth="1"/>
    <col min="13350" max="13350" width="10.33203125" style="116" bestFit="1" customWidth="1"/>
    <col min="13351" max="13351" width="7.6640625" style="116" customWidth="1"/>
    <col min="13352" max="13352" width="6.6640625" style="116" customWidth="1"/>
    <col min="13353" max="13355" width="15.33203125" style="116" customWidth="1"/>
    <col min="13356" max="13356" width="15.6640625" style="116" customWidth="1"/>
    <col min="13357" max="13357" width="3.33203125" style="116" customWidth="1"/>
    <col min="13358" max="13358" width="7.33203125" style="116" customWidth="1"/>
    <col min="13359" max="13359" width="6.6640625" style="116" customWidth="1"/>
    <col min="13360" max="13362" width="15.33203125" style="116" customWidth="1"/>
    <col min="13363" max="13363" width="15.6640625" style="116" customWidth="1"/>
    <col min="13364" max="13364" width="3.33203125" style="116" customWidth="1"/>
    <col min="13365" max="13365" width="7.33203125" style="116" customWidth="1"/>
    <col min="13366" max="13366" width="6.6640625" style="116" customWidth="1"/>
    <col min="13367" max="13369" width="15.33203125" style="116" customWidth="1"/>
    <col min="13370" max="13370" width="15.6640625" style="116" customWidth="1"/>
    <col min="13371" max="13371" width="3.33203125" style="116" customWidth="1"/>
    <col min="13372" max="13372" width="7.33203125" style="116" customWidth="1"/>
    <col min="13373" max="13373" width="6.6640625" style="116" customWidth="1"/>
    <col min="13374" max="13376" width="15.33203125" style="116" customWidth="1"/>
    <col min="13377" max="13377" width="15.6640625" style="116" customWidth="1"/>
    <col min="13378" max="13378" width="3.33203125" style="116" customWidth="1"/>
    <col min="13379" max="13379" width="7.33203125" style="116" customWidth="1"/>
    <col min="13380" max="13380" width="6.6640625" style="116" customWidth="1"/>
    <col min="13381" max="13383" width="15.33203125" style="116" customWidth="1"/>
    <col min="13384" max="13384" width="15.6640625" style="116" customWidth="1"/>
    <col min="13385" max="13385" width="3.33203125" style="116" customWidth="1"/>
    <col min="13386" max="13395" width="13.5546875" style="116" customWidth="1"/>
    <col min="13396" max="13601" width="12.5546875" style="116"/>
    <col min="13602" max="13602" width="7.44140625" style="116" bestFit="1" customWidth="1"/>
    <col min="13603" max="13603" width="56.5546875" style="116" customWidth="1"/>
    <col min="13604" max="13604" width="17" style="116" customWidth="1"/>
    <col min="13605" max="13605" width="22.33203125" style="116" bestFit="1" customWidth="1"/>
    <col min="13606" max="13606" width="10.33203125" style="116" bestFit="1" customWidth="1"/>
    <col min="13607" max="13607" width="7.6640625" style="116" customWidth="1"/>
    <col min="13608" max="13608" width="6.6640625" style="116" customWidth="1"/>
    <col min="13609" max="13611" width="15.33203125" style="116" customWidth="1"/>
    <col min="13612" max="13612" width="15.6640625" style="116" customWidth="1"/>
    <col min="13613" max="13613" width="3.33203125" style="116" customWidth="1"/>
    <col min="13614" max="13614" width="7.33203125" style="116" customWidth="1"/>
    <col min="13615" max="13615" width="6.6640625" style="116" customWidth="1"/>
    <col min="13616" max="13618" width="15.33203125" style="116" customWidth="1"/>
    <col min="13619" max="13619" width="15.6640625" style="116" customWidth="1"/>
    <col min="13620" max="13620" width="3.33203125" style="116" customWidth="1"/>
    <col min="13621" max="13621" width="7.33203125" style="116" customWidth="1"/>
    <col min="13622" max="13622" width="6.6640625" style="116" customWidth="1"/>
    <col min="13623" max="13625" width="15.33203125" style="116" customWidth="1"/>
    <col min="13626" max="13626" width="15.6640625" style="116" customWidth="1"/>
    <col min="13627" max="13627" width="3.33203125" style="116" customWidth="1"/>
    <col min="13628" max="13628" width="7.33203125" style="116" customWidth="1"/>
    <col min="13629" max="13629" width="6.6640625" style="116" customWidth="1"/>
    <col min="13630" max="13632" width="15.33203125" style="116" customWidth="1"/>
    <col min="13633" max="13633" width="15.6640625" style="116" customWidth="1"/>
    <col min="13634" max="13634" width="3.33203125" style="116" customWidth="1"/>
    <col min="13635" max="13635" width="7.33203125" style="116" customWidth="1"/>
    <col min="13636" max="13636" width="6.6640625" style="116" customWidth="1"/>
    <col min="13637" max="13639" width="15.33203125" style="116" customWidth="1"/>
    <col min="13640" max="13640" width="15.6640625" style="116" customWidth="1"/>
    <col min="13641" max="13641" width="3.33203125" style="116" customWidth="1"/>
    <col min="13642" max="13651" width="13.5546875" style="116" customWidth="1"/>
    <col min="13652" max="13857" width="12.5546875" style="116"/>
    <col min="13858" max="13858" width="7.44140625" style="116" bestFit="1" customWidth="1"/>
    <col min="13859" max="13859" width="56.5546875" style="116" customWidth="1"/>
    <col min="13860" max="13860" width="17" style="116" customWidth="1"/>
    <col min="13861" max="13861" width="22.33203125" style="116" bestFit="1" customWidth="1"/>
    <col min="13862" max="13862" width="10.33203125" style="116" bestFit="1" customWidth="1"/>
    <col min="13863" max="13863" width="7.6640625" style="116" customWidth="1"/>
    <col min="13864" max="13864" width="6.6640625" style="116" customWidth="1"/>
    <col min="13865" max="13867" width="15.33203125" style="116" customWidth="1"/>
    <col min="13868" max="13868" width="15.6640625" style="116" customWidth="1"/>
    <col min="13869" max="13869" width="3.33203125" style="116" customWidth="1"/>
    <col min="13870" max="13870" width="7.33203125" style="116" customWidth="1"/>
    <col min="13871" max="13871" width="6.6640625" style="116" customWidth="1"/>
    <col min="13872" max="13874" width="15.33203125" style="116" customWidth="1"/>
    <col min="13875" max="13875" width="15.6640625" style="116" customWidth="1"/>
    <col min="13876" max="13876" width="3.33203125" style="116" customWidth="1"/>
    <col min="13877" max="13877" width="7.33203125" style="116" customWidth="1"/>
    <col min="13878" max="13878" width="6.6640625" style="116" customWidth="1"/>
    <col min="13879" max="13881" width="15.33203125" style="116" customWidth="1"/>
    <col min="13882" max="13882" width="15.6640625" style="116" customWidth="1"/>
    <col min="13883" max="13883" width="3.33203125" style="116" customWidth="1"/>
    <col min="13884" max="13884" width="7.33203125" style="116" customWidth="1"/>
    <col min="13885" max="13885" width="6.6640625" style="116" customWidth="1"/>
    <col min="13886" max="13888" width="15.33203125" style="116" customWidth="1"/>
    <col min="13889" max="13889" width="15.6640625" style="116" customWidth="1"/>
    <col min="13890" max="13890" width="3.33203125" style="116" customWidth="1"/>
    <col min="13891" max="13891" width="7.33203125" style="116" customWidth="1"/>
    <col min="13892" max="13892" width="6.6640625" style="116" customWidth="1"/>
    <col min="13893" max="13895" width="15.33203125" style="116" customWidth="1"/>
    <col min="13896" max="13896" width="15.6640625" style="116" customWidth="1"/>
    <col min="13897" max="13897" width="3.33203125" style="116" customWidth="1"/>
    <col min="13898" max="13907" width="13.5546875" style="116" customWidth="1"/>
    <col min="13908" max="14113" width="12.5546875" style="116"/>
    <col min="14114" max="14114" width="7.44140625" style="116" bestFit="1" customWidth="1"/>
    <col min="14115" max="14115" width="56.5546875" style="116" customWidth="1"/>
    <col min="14116" max="14116" width="17" style="116" customWidth="1"/>
    <col min="14117" max="14117" width="22.33203125" style="116" bestFit="1" customWidth="1"/>
    <col min="14118" max="14118" width="10.33203125" style="116" bestFit="1" customWidth="1"/>
    <col min="14119" max="14119" width="7.6640625" style="116" customWidth="1"/>
    <col min="14120" max="14120" width="6.6640625" style="116" customWidth="1"/>
    <col min="14121" max="14123" width="15.33203125" style="116" customWidth="1"/>
    <col min="14124" max="14124" width="15.6640625" style="116" customWidth="1"/>
    <col min="14125" max="14125" width="3.33203125" style="116" customWidth="1"/>
    <col min="14126" max="14126" width="7.33203125" style="116" customWidth="1"/>
    <col min="14127" max="14127" width="6.6640625" style="116" customWidth="1"/>
    <col min="14128" max="14130" width="15.33203125" style="116" customWidth="1"/>
    <col min="14131" max="14131" width="15.6640625" style="116" customWidth="1"/>
    <col min="14132" max="14132" width="3.33203125" style="116" customWidth="1"/>
    <col min="14133" max="14133" width="7.33203125" style="116" customWidth="1"/>
    <col min="14134" max="14134" width="6.6640625" style="116" customWidth="1"/>
    <col min="14135" max="14137" width="15.33203125" style="116" customWidth="1"/>
    <col min="14138" max="14138" width="15.6640625" style="116" customWidth="1"/>
    <col min="14139" max="14139" width="3.33203125" style="116" customWidth="1"/>
    <col min="14140" max="14140" width="7.33203125" style="116" customWidth="1"/>
    <col min="14141" max="14141" width="6.6640625" style="116" customWidth="1"/>
    <col min="14142" max="14144" width="15.33203125" style="116" customWidth="1"/>
    <col min="14145" max="14145" width="15.6640625" style="116" customWidth="1"/>
    <col min="14146" max="14146" width="3.33203125" style="116" customWidth="1"/>
    <col min="14147" max="14147" width="7.33203125" style="116" customWidth="1"/>
    <col min="14148" max="14148" width="6.6640625" style="116" customWidth="1"/>
    <col min="14149" max="14151" width="15.33203125" style="116" customWidth="1"/>
    <col min="14152" max="14152" width="15.6640625" style="116" customWidth="1"/>
    <col min="14153" max="14153" width="3.33203125" style="116" customWidth="1"/>
    <col min="14154" max="14163" width="13.5546875" style="116" customWidth="1"/>
    <col min="14164" max="14369" width="12.5546875" style="116"/>
    <col min="14370" max="14370" width="7.44140625" style="116" bestFit="1" customWidth="1"/>
    <col min="14371" max="14371" width="56.5546875" style="116" customWidth="1"/>
    <col min="14372" max="14372" width="17" style="116" customWidth="1"/>
    <col min="14373" max="14373" width="22.33203125" style="116" bestFit="1" customWidth="1"/>
    <col min="14374" max="14374" width="10.33203125" style="116" bestFit="1" customWidth="1"/>
    <col min="14375" max="14375" width="7.6640625" style="116" customWidth="1"/>
    <col min="14376" max="14376" width="6.6640625" style="116" customWidth="1"/>
    <col min="14377" max="14379" width="15.33203125" style="116" customWidth="1"/>
    <col min="14380" max="14380" width="15.6640625" style="116" customWidth="1"/>
    <col min="14381" max="14381" width="3.33203125" style="116" customWidth="1"/>
    <col min="14382" max="14382" width="7.33203125" style="116" customWidth="1"/>
    <col min="14383" max="14383" width="6.6640625" style="116" customWidth="1"/>
    <col min="14384" max="14386" width="15.33203125" style="116" customWidth="1"/>
    <col min="14387" max="14387" width="15.6640625" style="116" customWidth="1"/>
    <col min="14388" max="14388" width="3.33203125" style="116" customWidth="1"/>
    <col min="14389" max="14389" width="7.33203125" style="116" customWidth="1"/>
    <col min="14390" max="14390" width="6.6640625" style="116" customWidth="1"/>
    <col min="14391" max="14393" width="15.33203125" style="116" customWidth="1"/>
    <col min="14394" max="14394" width="15.6640625" style="116" customWidth="1"/>
    <col min="14395" max="14395" width="3.33203125" style="116" customWidth="1"/>
    <col min="14396" max="14396" width="7.33203125" style="116" customWidth="1"/>
    <col min="14397" max="14397" width="6.6640625" style="116" customWidth="1"/>
    <col min="14398" max="14400" width="15.33203125" style="116" customWidth="1"/>
    <col min="14401" max="14401" width="15.6640625" style="116" customWidth="1"/>
    <col min="14402" max="14402" width="3.33203125" style="116" customWidth="1"/>
    <col min="14403" max="14403" width="7.33203125" style="116" customWidth="1"/>
    <col min="14404" max="14404" width="6.6640625" style="116" customWidth="1"/>
    <col min="14405" max="14407" width="15.33203125" style="116" customWidth="1"/>
    <col min="14408" max="14408" width="15.6640625" style="116" customWidth="1"/>
    <col min="14409" max="14409" width="3.33203125" style="116" customWidth="1"/>
    <col min="14410" max="14419" width="13.5546875" style="116" customWidth="1"/>
    <col min="14420" max="14625" width="12.5546875" style="116"/>
    <col min="14626" max="14626" width="7.44140625" style="116" bestFit="1" customWidth="1"/>
    <col min="14627" max="14627" width="56.5546875" style="116" customWidth="1"/>
    <col min="14628" max="14628" width="17" style="116" customWidth="1"/>
    <col min="14629" max="14629" width="22.33203125" style="116" bestFit="1" customWidth="1"/>
    <col min="14630" max="14630" width="10.33203125" style="116" bestFit="1" customWidth="1"/>
    <col min="14631" max="14631" width="7.6640625" style="116" customWidth="1"/>
    <col min="14632" max="14632" width="6.6640625" style="116" customWidth="1"/>
    <col min="14633" max="14635" width="15.33203125" style="116" customWidth="1"/>
    <col min="14636" max="14636" width="15.6640625" style="116" customWidth="1"/>
    <col min="14637" max="14637" width="3.33203125" style="116" customWidth="1"/>
    <col min="14638" max="14638" width="7.33203125" style="116" customWidth="1"/>
    <col min="14639" max="14639" width="6.6640625" style="116" customWidth="1"/>
    <col min="14640" max="14642" width="15.33203125" style="116" customWidth="1"/>
    <col min="14643" max="14643" width="15.6640625" style="116" customWidth="1"/>
    <col min="14644" max="14644" width="3.33203125" style="116" customWidth="1"/>
    <col min="14645" max="14645" width="7.33203125" style="116" customWidth="1"/>
    <col min="14646" max="14646" width="6.6640625" style="116" customWidth="1"/>
    <col min="14647" max="14649" width="15.33203125" style="116" customWidth="1"/>
    <col min="14650" max="14650" width="15.6640625" style="116" customWidth="1"/>
    <col min="14651" max="14651" width="3.33203125" style="116" customWidth="1"/>
    <col min="14652" max="14652" width="7.33203125" style="116" customWidth="1"/>
    <col min="14653" max="14653" width="6.6640625" style="116" customWidth="1"/>
    <col min="14654" max="14656" width="15.33203125" style="116" customWidth="1"/>
    <col min="14657" max="14657" width="15.6640625" style="116" customWidth="1"/>
    <col min="14658" max="14658" width="3.33203125" style="116" customWidth="1"/>
    <col min="14659" max="14659" width="7.33203125" style="116" customWidth="1"/>
    <col min="14660" max="14660" width="6.6640625" style="116" customWidth="1"/>
    <col min="14661" max="14663" width="15.33203125" style="116" customWidth="1"/>
    <col min="14664" max="14664" width="15.6640625" style="116" customWidth="1"/>
    <col min="14665" max="14665" width="3.33203125" style="116" customWidth="1"/>
    <col min="14666" max="14675" width="13.5546875" style="116" customWidth="1"/>
    <col min="14676" max="14881" width="12.5546875" style="116"/>
    <col min="14882" max="14882" width="7.44140625" style="116" bestFit="1" customWidth="1"/>
    <col min="14883" max="14883" width="56.5546875" style="116" customWidth="1"/>
    <col min="14884" max="14884" width="17" style="116" customWidth="1"/>
    <col min="14885" max="14885" width="22.33203125" style="116" bestFit="1" customWidth="1"/>
    <col min="14886" max="14886" width="10.33203125" style="116" bestFit="1" customWidth="1"/>
    <col min="14887" max="14887" width="7.6640625" style="116" customWidth="1"/>
    <col min="14888" max="14888" width="6.6640625" style="116" customWidth="1"/>
    <col min="14889" max="14891" width="15.33203125" style="116" customWidth="1"/>
    <col min="14892" max="14892" width="15.6640625" style="116" customWidth="1"/>
    <col min="14893" max="14893" width="3.33203125" style="116" customWidth="1"/>
    <col min="14894" max="14894" width="7.33203125" style="116" customWidth="1"/>
    <col min="14895" max="14895" width="6.6640625" style="116" customWidth="1"/>
    <col min="14896" max="14898" width="15.33203125" style="116" customWidth="1"/>
    <col min="14899" max="14899" width="15.6640625" style="116" customWidth="1"/>
    <col min="14900" max="14900" width="3.33203125" style="116" customWidth="1"/>
    <col min="14901" max="14901" width="7.33203125" style="116" customWidth="1"/>
    <col min="14902" max="14902" width="6.6640625" style="116" customWidth="1"/>
    <col min="14903" max="14905" width="15.33203125" style="116" customWidth="1"/>
    <col min="14906" max="14906" width="15.6640625" style="116" customWidth="1"/>
    <col min="14907" max="14907" width="3.33203125" style="116" customWidth="1"/>
    <col min="14908" max="14908" width="7.33203125" style="116" customWidth="1"/>
    <col min="14909" max="14909" width="6.6640625" style="116" customWidth="1"/>
    <col min="14910" max="14912" width="15.33203125" style="116" customWidth="1"/>
    <col min="14913" max="14913" width="15.6640625" style="116" customWidth="1"/>
    <col min="14914" max="14914" width="3.33203125" style="116" customWidth="1"/>
    <col min="14915" max="14915" width="7.33203125" style="116" customWidth="1"/>
    <col min="14916" max="14916" width="6.6640625" style="116" customWidth="1"/>
    <col min="14917" max="14919" width="15.33203125" style="116" customWidth="1"/>
    <col min="14920" max="14920" width="15.6640625" style="116" customWidth="1"/>
    <col min="14921" max="14921" width="3.33203125" style="116" customWidth="1"/>
    <col min="14922" max="14931" width="13.5546875" style="116" customWidth="1"/>
    <col min="14932" max="15137" width="12.5546875" style="116"/>
    <col min="15138" max="15138" width="7.44140625" style="116" bestFit="1" customWidth="1"/>
    <col min="15139" max="15139" width="56.5546875" style="116" customWidth="1"/>
    <col min="15140" max="15140" width="17" style="116" customWidth="1"/>
    <col min="15141" max="15141" width="22.33203125" style="116" bestFit="1" customWidth="1"/>
    <col min="15142" max="15142" width="10.33203125" style="116" bestFit="1" customWidth="1"/>
    <col min="15143" max="15143" width="7.6640625" style="116" customWidth="1"/>
    <col min="15144" max="15144" width="6.6640625" style="116" customWidth="1"/>
    <col min="15145" max="15147" width="15.33203125" style="116" customWidth="1"/>
    <col min="15148" max="15148" width="15.6640625" style="116" customWidth="1"/>
    <col min="15149" max="15149" width="3.33203125" style="116" customWidth="1"/>
    <col min="15150" max="15150" width="7.33203125" style="116" customWidth="1"/>
    <col min="15151" max="15151" width="6.6640625" style="116" customWidth="1"/>
    <col min="15152" max="15154" width="15.33203125" style="116" customWidth="1"/>
    <col min="15155" max="15155" width="15.6640625" style="116" customWidth="1"/>
    <col min="15156" max="15156" width="3.33203125" style="116" customWidth="1"/>
    <col min="15157" max="15157" width="7.33203125" style="116" customWidth="1"/>
    <col min="15158" max="15158" width="6.6640625" style="116" customWidth="1"/>
    <col min="15159" max="15161" width="15.33203125" style="116" customWidth="1"/>
    <col min="15162" max="15162" width="15.6640625" style="116" customWidth="1"/>
    <col min="15163" max="15163" width="3.33203125" style="116" customWidth="1"/>
    <col min="15164" max="15164" width="7.33203125" style="116" customWidth="1"/>
    <col min="15165" max="15165" width="6.6640625" style="116" customWidth="1"/>
    <col min="15166" max="15168" width="15.33203125" style="116" customWidth="1"/>
    <col min="15169" max="15169" width="15.6640625" style="116" customWidth="1"/>
    <col min="15170" max="15170" width="3.33203125" style="116" customWidth="1"/>
    <col min="15171" max="15171" width="7.33203125" style="116" customWidth="1"/>
    <col min="15172" max="15172" width="6.6640625" style="116" customWidth="1"/>
    <col min="15173" max="15175" width="15.33203125" style="116" customWidth="1"/>
    <col min="15176" max="15176" width="15.6640625" style="116" customWidth="1"/>
    <col min="15177" max="15177" width="3.33203125" style="116" customWidth="1"/>
    <col min="15178" max="15187" width="13.5546875" style="116" customWidth="1"/>
    <col min="15188" max="15393" width="12.5546875" style="116"/>
    <col min="15394" max="15394" width="7.44140625" style="116" bestFit="1" customWidth="1"/>
    <col min="15395" max="15395" width="56.5546875" style="116" customWidth="1"/>
    <col min="15396" max="15396" width="17" style="116" customWidth="1"/>
    <col min="15397" max="15397" width="22.33203125" style="116" bestFit="1" customWidth="1"/>
    <col min="15398" max="15398" width="10.33203125" style="116" bestFit="1" customWidth="1"/>
    <col min="15399" max="15399" width="7.6640625" style="116" customWidth="1"/>
    <col min="15400" max="15400" width="6.6640625" style="116" customWidth="1"/>
    <col min="15401" max="15403" width="15.33203125" style="116" customWidth="1"/>
    <col min="15404" max="15404" width="15.6640625" style="116" customWidth="1"/>
    <col min="15405" max="15405" width="3.33203125" style="116" customWidth="1"/>
    <col min="15406" max="15406" width="7.33203125" style="116" customWidth="1"/>
    <col min="15407" max="15407" width="6.6640625" style="116" customWidth="1"/>
    <col min="15408" max="15410" width="15.33203125" style="116" customWidth="1"/>
    <col min="15411" max="15411" width="15.6640625" style="116" customWidth="1"/>
    <col min="15412" max="15412" width="3.33203125" style="116" customWidth="1"/>
    <col min="15413" max="15413" width="7.33203125" style="116" customWidth="1"/>
    <col min="15414" max="15414" width="6.6640625" style="116" customWidth="1"/>
    <col min="15415" max="15417" width="15.33203125" style="116" customWidth="1"/>
    <col min="15418" max="15418" width="15.6640625" style="116" customWidth="1"/>
    <col min="15419" max="15419" width="3.33203125" style="116" customWidth="1"/>
    <col min="15420" max="15420" width="7.33203125" style="116" customWidth="1"/>
    <col min="15421" max="15421" width="6.6640625" style="116" customWidth="1"/>
    <col min="15422" max="15424" width="15.33203125" style="116" customWidth="1"/>
    <col min="15425" max="15425" width="15.6640625" style="116" customWidth="1"/>
    <col min="15426" max="15426" width="3.33203125" style="116" customWidth="1"/>
    <col min="15427" max="15427" width="7.33203125" style="116" customWidth="1"/>
    <col min="15428" max="15428" width="6.6640625" style="116" customWidth="1"/>
    <col min="15429" max="15431" width="15.33203125" style="116" customWidth="1"/>
    <col min="15432" max="15432" width="15.6640625" style="116" customWidth="1"/>
    <col min="15433" max="15433" width="3.33203125" style="116" customWidth="1"/>
    <col min="15434" max="15443" width="13.5546875" style="116" customWidth="1"/>
    <col min="15444" max="15649" width="12.5546875" style="116"/>
    <col min="15650" max="15650" width="7.44140625" style="116" bestFit="1" customWidth="1"/>
    <col min="15651" max="15651" width="56.5546875" style="116" customWidth="1"/>
    <col min="15652" max="15652" width="17" style="116" customWidth="1"/>
    <col min="15653" max="15653" width="22.33203125" style="116" bestFit="1" customWidth="1"/>
    <col min="15654" max="15654" width="10.33203125" style="116" bestFit="1" customWidth="1"/>
    <col min="15655" max="15655" width="7.6640625" style="116" customWidth="1"/>
    <col min="15656" max="15656" width="6.6640625" style="116" customWidth="1"/>
    <col min="15657" max="15659" width="15.33203125" style="116" customWidth="1"/>
    <col min="15660" max="15660" width="15.6640625" style="116" customWidth="1"/>
    <col min="15661" max="15661" width="3.33203125" style="116" customWidth="1"/>
    <col min="15662" max="15662" width="7.33203125" style="116" customWidth="1"/>
    <col min="15663" max="15663" width="6.6640625" style="116" customWidth="1"/>
    <col min="15664" max="15666" width="15.33203125" style="116" customWidth="1"/>
    <col min="15667" max="15667" width="15.6640625" style="116" customWidth="1"/>
    <col min="15668" max="15668" width="3.33203125" style="116" customWidth="1"/>
    <col min="15669" max="15669" width="7.33203125" style="116" customWidth="1"/>
    <col min="15670" max="15670" width="6.6640625" style="116" customWidth="1"/>
    <col min="15671" max="15673" width="15.33203125" style="116" customWidth="1"/>
    <col min="15674" max="15674" width="15.6640625" style="116" customWidth="1"/>
    <col min="15675" max="15675" width="3.33203125" style="116" customWidth="1"/>
    <col min="15676" max="15676" width="7.33203125" style="116" customWidth="1"/>
    <col min="15677" max="15677" width="6.6640625" style="116" customWidth="1"/>
    <col min="15678" max="15680" width="15.33203125" style="116" customWidth="1"/>
    <col min="15681" max="15681" width="15.6640625" style="116" customWidth="1"/>
    <col min="15682" max="15682" width="3.33203125" style="116" customWidth="1"/>
    <col min="15683" max="15683" width="7.33203125" style="116" customWidth="1"/>
    <col min="15684" max="15684" width="6.6640625" style="116" customWidth="1"/>
    <col min="15685" max="15687" width="15.33203125" style="116" customWidth="1"/>
    <col min="15688" max="15688" width="15.6640625" style="116" customWidth="1"/>
    <col min="15689" max="15689" width="3.33203125" style="116" customWidth="1"/>
    <col min="15690" max="15699" width="13.5546875" style="116" customWidth="1"/>
    <col min="15700" max="15905" width="12.5546875" style="116"/>
    <col min="15906" max="15906" width="7.44140625" style="116" bestFit="1" customWidth="1"/>
    <col min="15907" max="15907" width="56.5546875" style="116" customWidth="1"/>
    <col min="15908" max="15908" width="17" style="116" customWidth="1"/>
    <col min="15909" max="15909" width="22.33203125" style="116" bestFit="1" customWidth="1"/>
    <col min="15910" max="15910" width="10.33203125" style="116" bestFit="1" customWidth="1"/>
    <col min="15911" max="15911" width="7.6640625" style="116" customWidth="1"/>
    <col min="15912" max="15912" width="6.6640625" style="116" customWidth="1"/>
    <col min="15913" max="15915" width="15.33203125" style="116" customWidth="1"/>
    <col min="15916" max="15916" width="15.6640625" style="116" customWidth="1"/>
    <col min="15917" max="15917" width="3.33203125" style="116" customWidth="1"/>
    <col min="15918" max="15918" width="7.33203125" style="116" customWidth="1"/>
    <col min="15919" max="15919" width="6.6640625" style="116" customWidth="1"/>
    <col min="15920" max="15922" width="15.33203125" style="116" customWidth="1"/>
    <col min="15923" max="15923" width="15.6640625" style="116" customWidth="1"/>
    <col min="15924" max="15924" width="3.33203125" style="116" customWidth="1"/>
    <col min="15925" max="15925" width="7.33203125" style="116" customWidth="1"/>
    <col min="15926" max="15926" width="6.6640625" style="116" customWidth="1"/>
    <col min="15927" max="15929" width="15.33203125" style="116" customWidth="1"/>
    <col min="15930" max="15930" width="15.6640625" style="116" customWidth="1"/>
    <col min="15931" max="15931" width="3.33203125" style="116" customWidth="1"/>
    <col min="15932" max="15932" width="7.33203125" style="116" customWidth="1"/>
    <col min="15933" max="15933" width="6.6640625" style="116" customWidth="1"/>
    <col min="15934" max="15936" width="15.33203125" style="116" customWidth="1"/>
    <col min="15937" max="15937" width="15.6640625" style="116" customWidth="1"/>
    <col min="15938" max="15938" width="3.33203125" style="116" customWidth="1"/>
    <col min="15939" max="15939" width="7.33203125" style="116" customWidth="1"/>
    <col min="15940" max="15940" width="6.6640625" style="116" customWidth="1"/>
    <col min="15941" max="15943" width="15.33203125" style="116" customWidth="1"/>
    <col min="15944" max="15944" width="15.6640625" style="116" customWidth="1"/>
    <col min="15945" max="15945" width="3.33203125" style="116" customWidth="1"/>
    <col min="15946" max="15955" width="13.5546875" style="116" customWidth="1"/>
    <col min="15956" max="16384" width="12.5546875" style="116"/>
  </cols>
  <sheetData>
    <row r="1" spans="1:13" ht="23.4" customHeight="1" x14ac:dyDescent="0.3"/>
    <row r="2" spans="1:13" ht="15" thickBot="1" x14ac:dyDescent="0.35"/>
    <row r="3" spans="1:13" ht="24" customHeight="1" x14ac:dyDescent="0.3">
      <c r="C3" s="441" t="s">
        <v>56</v>
      </c>
      <c r="D3" s="442"/>
      <c r="G3" s="447">
        <f>'Pricing Sheet'!C6</f>
        <v>0</v>
      </c>
      <c r="H3" s="448"/>
      <c r="I3" s="448"/>
      <c r="J3" s="448"/>
      <c r="K3" s="448"/>
      <c r="L3" s="449"/>
      <c r="M3" s="116"/>
    </row>
    <row r="4" spans="1:13" ht="15" customHeight="1" x14ac:dyDescent="0.3">
      <c r="C4" s="276" t="s">
        <v>433</v>
      </c>
      <c r="D4" s="297" t="str">
        <f>'Pricing Sheet'!$C$8</f>
        <v>&lt;enter subcontractor company name&gt;</v>
      </c>
      <c r="G4" s="450"/>
      <c r="H4" s="451"/>
      <c r="I4" s="451"/>
      <c r="J4" s="451"/>
      <c r="K4" s="451"/>
      <c r="L4" s="452"/>
      <c r="M4" s="116"/>
    </row>
    <row r="5" spans="1:13" ht="15.75" customHeight="1" x14ac:dyDescent="0.3">
      <c r="C5" s="276" t="s">
        <v>869</v>
      </c>
      <c r="D5" s="297" t="str">
        <f>'Pricing Sheet'!$C$12</f>
        <v>May 31, 2023</v>
      </c>
      <c r="G5" s="450"/>
      <c r="H5" s="451"/>
      <c r="I5" s="451"/>
      <c r="J5" s="451"/>
      <c r="K5" s="451"/>
      <c r="L5" s="452"/>
      <c r="M5" s="116"/>
    </row>
    <row r="6" spans="1:13" ht="15.75" customHeight="1" thickBot="1" x14ac:dyDescent="0.35">
      <c r="C6" s="276" t="s">
        <v>227</v>
      </c>
      <c r="D6" s="400">
        <v>1701</v>
      </c>
      <c r="E6" s="119"/>
      <c r="F6" s="120"/>
      <c r="G6" s="453"/>
      <c r="H6" s="454"/>
      <c r="I6" s="454"/>
      <c r="J6" s="454"/>
      <c r="K6" s="454"/>
      <c r="L6" s="455"/>
      <c r="M6" s="116"/>
    </row>
    <row r="7" spans="1:13" ht="18" thickBot="1" x14ac:dyDescent="0.35">
      <c r="C7" s="278" t="s">
        <v>228</v>
      </c>
      <c r="D7" s="401">
        <v>319</v>
      </c>
      <c r="E7" s="119"/>
      <c r="F7" s="120"/>
      <c r="G7" s="120"/>
      <c r="H7" s="121"/>
      <c r="I7" s="116"/>
      <c r="J7" s="123"/>
      <c r="K7" s="122"/>
      <c r="L7" s="122"/>
      <c r="M7" s="122"/>
    </row>
    <row r="8" spans="1:13" ht="18" thickBot="1" x14ac:dyDescent="0.35">
      <c r="B8" s="237"/>
      <c r="C8" s="234" t="s">
        <v>871</v>
      </c>
      <c r="D8" s="126"/>
      <c r="E8" s="127" t="s">
        <v>862</v>
      </c>
      <c r="F8" s="203"/>
      <c r="G8" s="456" t="s">
        <v>432</v>
      </c>
      <c r="H8" s="457"/>
      <c r="I8" s="458"/>
      <c r="J8" s="206"/>
      <c r="K8" s="207"/>
      <c r="L8" s="208"/>
      <c r="M8" s="122"/>
    </row>
    <row r="9" spans="1:13" ht="16.2" hidden="1" outlineLevel="1" thickBot="1" x14ac:dyDescent="0.35">
      <c r="A9" s="121"/>
      <c r="B9" s="398"/>
      <c r="C9" s="397" t="s">
        <v>870</v>
      </c>
      <c r="D9" s="179"/>
      <c r="E9" s="124" t="s">
        <v>127</v>
      </c>
      <c r="F9" s="204"/>
      <c r="G9" s="437" t="s">
        <v>128</v>
      </c>
      <c r="H9" s="438"/>
      <c r="I9" s="262">
        <v>10</v>
      </c>
      <c r="J9" s="298"/>
      <c r="K9" s="298"/>
      <c r="L9" s="299"/>
      <c r="M9" s="122"/>
    </row>
    <row r="10" spans="1:13" ht="15.6" hidden="1" outlineLevel="1" x14ac:dyDescent="0.3">
      <c r="A10" s="121"/>
      <c r="B10" s="398"/>
      <c r="C10" s="235"/>
      <c r="D10" s="179"/>
      <c r="E10" s="124" t="s">
        <v>778</v>
      </c>
      <c r="F10" s="204"/>
      <c r="G10" s="437" t="s">
        <v>516</v>
      </c>
      <c r="H10" s="438"/>
      <c r="I10" s="262">
        <v>24</v>
      </c>
      <c r="J10" s="298"/>
      <c r="K10" s="298"/>
      <c r="L10" s="299"/>
      <c r="M10" s="122"/>
    </row>
    <row r="11" spans="1:13" ht="15.6" hidden="1" outlineLevel="1" x14ac:dyDescent="0.3">
      <c r="A11" s="121"/>
      <c r="B11" s="398"/>
      <c r="C11" s="235"/>
      <c r="D11" s="179"/>
      <c r="E11" s="124" t="s">
        <v>779</v>
      </c>
      <c r="F11" s="204"/>
      <c r="G11" s="437" t="s">
        <v>517</v>
      </c>
      <c r="H11" s="438"/>
      <c r="I11" s="262">
        <v>0</v>
      </c>
      <c r="J11" s="298"/>
      <c r="K11" s="298"/>
      <c r="L11" s="299"/>
      <c r="M11" s="122"/>
    </row>
    <row r="12" spans="1:13" ht="15.6" hidden="1" outlineLevel="1" x14ac:dyDescent="0.3">
      <c r="A12" s="121"/>
      <c r="B12" s="398"/>
      <c r="C12" s="235"/>
      <c r="D12" s="179"/>
      <c r="E12" s="124" t="s">
        <v>780</v>
      </c>
      <c r="F12" s="204"/>
      <c r="G12" s="437" t="s">
        <v>457</v>
      </c>
      <c r="H12" s="438"/>
      <c r="I12" s="262">
        <v>0</v>
      </c>
      <c r="J12" s="300"/>
      <c r="K12" s="298"/>
      <c r="L12" s="301"/>
      <c r="M12" s="122"/>
    </row>
    <row r="13" spans="1:13" ht="15.6" hidden="1" outlineLevel="1" x14ac:dyDescent="0.3">
      <c r="A13" s="121"/>
      <c r="B13" s="398"/>
      <c r="C13" s="235"/>
      <c r="D13" s="179"/>
      <c r="E13" s="124" t="s">
        <v>781</v>
      </c>
      <c r="F13" s="204"/>
      <c r="G13" s="437" t="s">
        <v>458</v>
      </c>
      <c r="H13" s="438"/>
      <c r="I13" s="262">
        <v>4</v>
      </c>
      <c r="J13" s="300"/>
      <c r="K13" s="298"/>
      <c r="L13" s="301"/>
      <c r="M13" s="122"/>
    </row>
    <row r="14" spans="1:13" ht="15.6" hidden="1" outlineLevel="1" x14ac:dyDescent="0.3">
      <c r="A14" s="121"/>
      <c r="B14" s="398"/>
      <c r="C14" s="235"/>
      <c r="D14" s="179"/>
      <c r="E14" s="124" t="s">
        <v>782</v>
      </c>
      <c r="F14" s="204"/>
      <c r="G14" s="437" t="s">
        <v>455</v>
      </c>
      <c r="H14" s="438"/>
      <c r="I14" s="262">
        <v>18</v>
      </c>
      <c r="J14" s="300"/>
      <c r="K14" s="298"/>
      <c r="L14" s="301"/>
      <c r="M14" s="122"/>
    </row>
    <row r="15" spans="1:13" ht="15.6" hidden="1" outlineLevel="1" x14ac:dyDescent="0.3">
      <c r="A15" s="121"/>
      <c r="B15" s="398"/>
      <c r="C15" s="235"/>
      <c r="D15" s="179"/>
      <c r="E15" s="124" t="s">
        <v>783</v>
      </c>
      <c r="F15" s="204"/>
      <c r="G15" s="437" t="s">
        <v>456</v>
      </c>
      <c r="H15" s="438"/>
      <c r="I15" s="262"/>
      <c r="J15" s="300"/>
      <c r="K15" s="298"/>
      <c r="L15" s="301"/>
      <c r="M15" s="122"/>
    </row>
    <row r="16" spans="1:13" ht="17.399999999999999" hidden="1" outlineLevel="1" x14ac:dyDescent="0.25">
      <c r="A16" s="121"/>
      <c r="B16" s="398"/>
      <c r="C16" s="235"/>
      <c r="D16" s="179"/>
      <c r="E16" s="124" t="s">
        <v>785</v>
      </c>
      <c r="F16" s="204"/>
      <c r="G16" s="437" t="s">
        <v>454</v>
      </c>
      <c r="H16" s="438"/>
      <c r="I16" s="262">
        <v>1</v>
      </c>
      <c r="J16" s="302"/>
      <c r="K16" s="303"/>
      <c r="L16" s="304"/>
      <c r="M16" s="122"/>
    </row>
    <row r="17" spans="1:13" ht="17.399999999999999" hidden="1" outlineLevel="1" x14ac:dyDescent="0.25">
      <c r="A17" s="121"/>
      <c r="B17" s="398"/>
      <c r="C17" s="235"/>
      <c r="D17" s="179"/>
      <c r="E17" s="124" t="s">
        <v>784</v>
      </c>
      <c r="F17" s="204"/>
      <c r="G17" s="437" t="s">
        <v>453</v>
      </c>
      <c r="H17" s="438"/>
      <c r="I17" s="262">
        <v>0</v>
      </c>
      <c r="J17" s="302"/>
      <c r="K17" s="303"/>
      <c r="L17" s="304"/>
      <c r="M17" s="122"/>
    </row>
    <row r="18" spans="1:13" ht="18" hidden="1" outlineLevel="1" thickBot="1" x14ac:dyDescent="0.3">
      <c r="A18" s="121"/>
      <c r="B18" s="399"/>
      <c r="C18" s="235"/>
      <c r="D18" s="179"/>
      <c r="E18" s="124" t="s">
        <v>786</v>
      </c>
      <c r="F18" s="204"/>
      <c r="G18" s="439" t="s">
        <v>452</v>
      </c>
      <c r="H18" s="440"/>
      <c r="I18" s="262">
        <v>8</v>
      </c>
      <c r="J18" s="302"/>
      <c r="K18" s="303"/>
      <c r="L18" s="304"/>
      <c r="M18" s="122"/>
    </row>
    <row r="19" spans="1:13" ht="33.6" hidden="1" outlineLevel="1" thickBot="1" x14ac:dyDescent="0.35">
      <c r="B19" s="238"/>
      <c r="C19" s="236"/>
      <c r="D19" s="180"/>
      <c r="E19" s="125"/>
      <c r="F19" s="205"/>
      <c r="G19" s="443"/>
      <c r="H19" s="444"/>
      <c r="I19" s="445" t="s">
        <v>229</v>
      </c>
      <c r="J19" s="446"/>
      <c r="K19" s="445" t="s">
        <v>230</v>
      </c>
      <c r="L19" s="446"/>
      <c r="M19" s="122"/>
    </row>
    <row r="20" spans="1:13" s="128" customFormat="1" ht="28.2" collapsed="1" thickBot="1" x14ac:dyDescent="0.3">
      <c r="A20" s="346" t="s">
        <v>875</v>
      </c>
      <c r="B20" s="195" t="s">
        <v>231</v>
      </c>
      <c r="C20" s="196" t="s">
        <v>232</v>
      </c>
      <c r="D20" s="197" t="s">
        <v>233</v>
      </c>
      <c r="E20" s="198" t="s">
        <v>428</v>
      </c>
      <c r="F20" s="199" t="s">
        <v>52</v>
      </c>
      <c r="G20" s="435" t="s">
        <v>234</v>
      </c>
      <c r="H20" s="436"/>
      <c r="I20" s="200" t="s">
        <v>380</v>
      </c>
      <c r="J20" s="201" t="s">
        <v>429</v>
      </c>
      <c r="K20" s="198" t="s">
        <v>430</v>
      </c>
      <c r="L20" s="202" t="s">
        <v>235</v>
      </c>
      <c r="M20" s="118"/>
    </row>
    <row r="21" spans="1:13" x14ac:dyDescent="0.3">
      <c r="A21" s="347"/>
      <c r="B21" s="381" t="s">
        <v>236</v>
      </c>
      <c r="C21" s="380" t="s">
        <v>249</v>
      </c>
      <c r="D21" s="187"/>
      <c r="E21" s="112"/>
      <c r="F21" s="189"/>
      <c r="G21" s="190"/>
      <c r="H21" s="191"/>
      <c r="I21" s="321"/>
      <c r="J21" s="322"/>
      <c r="K21" s="323"/>
      <c r="L21" s="210"/>
    </row>
    <row r="22" spans="1:13" ht="15" customHeight="1" outlineLevel="1" x14ac:dyDescent="0.3">
      <c r="A22" s="347"/>
      <c r="B22" s="211" t="s">
        <v>237</v>
      </c>
      <c r="C22" s="264" t="s">
        <v>976</v>
      </c>
      <c r="D22" s="182" t="s">
        <v>756</v>
      </c>
      <c r="E22" s="239" t="s">
        <v>101</v>
      </c>
      <c r="F22" s="136"/>
      <c r="G22" s="395">
        <v>6</v>
      </c>
      <c r="H22" s="137" t="s">
        <v>766</v>
      </c>
      <c r="I22" s="307"/>
      <c r="J22" s="308">
        <v>0</v>
      </c>
      <c r="K22" s="307"/>
      <c r="L22" s="212">
        <f>G22*J22</f>
        <v>0</v>
      </c>
    </row>
    <row r="23" spans="1:13" ht="15" customHeight="1" outlineLevel="1" x14ac:dyDescent="0.3">
      <c r="A23" s="347"/>
      <c r="B23" s="211" t="s">
        <v>239</v>
      </c>
      <c r="C23" s="264" t="s">
        <v>977</v>
      </c>
      <c r="D23" s="182" t="s">
        <v>756</v>
      </c>
      <c r="E23" s="239" t="s">
        <v>978</v>
      </c>
      <c r="F23" s="136"/>
      <c r="G23" s="395">
        <v>8</v>
      </c>
      <c r="H23" s="137" t="s">
        <v>766</v>
      </c>
      <c r="I23" s="307"/>
      <c r="J23" s="308">
        <v>0</v>
      </c>
      <c r="K23" s="307"/>
      <c r="L23" s="212">
        <f t="shared" ref="L23:L28" si="0">G23*J23</f>
        <v>0</v>
      </c>
    </row>
    <row r="24" spans="1:13" ht="15" customHeight="1" outlineLevel="1" x14ac:dyDescent="0.3">
      <c r="A24" s="347"/>
      <c r="B24" s="211" t="s">
        <v>240</v>
      </c>
      <c r="C24" s="264" t="s">
        <v>979</v>
      </c>
      <c r="D24" s="182" t="s">
        <v>756</v>
      </c>
      <c r="E24" s="293" t="s">
        <v>978</v>
      </c>
      <c r="F24" s="136"/>
      <c r="G24" s="395">
        <v>10</v>
      </c>
      <c r="H24" s="137" t="s">
        <v>766</v>
      </c>
      <c r="I24" s="307"/>
      <c r="J24" s="308">
        <v>0</v>
      </c>
      <c r="K24" s="307"/>
      <c r="L24" s="212">
        <f t="shared" si="0"/>
        <v>0</v>
      </c>
    </row>
    <row r="25" spans="1:13" ht="15" customHeight="1" outlineLevel="1" x14ac:dyDescent="0.3">
      <c r="A25" s="347"/>
      <c r="B25" s="211" t="s">
        <v>241</v>
      </c>
      <c r="C25" s="264" t="s">
        <v>489</v>
      </c>
      <c r="D25" s="182" t="s">
        <v>756</v>
      </c>
      <c r="E25" s="293" t="s">
        <v>978</v>
      </c>
      <c r="F25" s="136"/>
      <c r="G25" s="395">
        <v>21</v>
      </c>
      <c r="H25" s="137" t="s">
        <v>766</v>
      </c>
      <c r="I25" s="307"/>
      <c r="J25" s="308">
        <v>0</v>
      </c>
      <c r="K25" s="307"/>
      <c r="L25" s="212">
        <f t="shared" si="0"/>
        <v>0</v>
      </c>
    </row>
    <row r="26" spans="1:13" ht="15" customHeight="1" outlineLevel="1" x14ac:dyDescent="0.3">
      <c r="A26" s="347"/>
      <c r="B26" s="211" t="s">
        <v>242</v>
      </c>
      <c r="C26" s="264" t="s">
        <v>980</v>
      </c>
      <c r="D26" s="182" t="s">
        <v>756</v>
      </c>
      <c r="E26" s="293" t="s">
        <v>978</v>
      </c>
      <c r="F26" s="136"/>
      <c r="G26" s="395">
        <v>5</v>
      </c>
      <c r="H26" s="137" t="s">
        <v>766</v>
      </c>
      <c r="I26" s="307"/>
      <c r="J26" s="308">
        <v>0</v>
      </c>
      <c r="K26" s="307"/>
      <c r="L26" s="212">
        <f t="shared" si="0"/>
        <v>0</v>
      </c>
    </row>
    <row r="27" spans="1:13" ht="15" customHeight="1" outlineLevel="1" x14ac:dyDescent="0.3">
      <c r="A27" s="347"/>
      <c r="B27" s="211" t="s">
        <v>243</v>
      </c>
      <c r="C27" s="264" t="s">
        <v>981</v>
      </c>
      <c r="D27" s="182" t="s">
        <v>756</v>
      </c>
      <c r="E27" s="239" t="s">
        <v>59</v>
      </c>
      <c r="F27" s="136"/>
      <c r="G27" s="395">
        <v>24</v>
      </c>
      <c r="H27" s="137" t="s">
        <v>766</v>
      </c>
      <c r="I27" s="307"/>
      <c r="J27" s="308">
        <v>0</v>
      </c>
      <c r="K27" s="307"/>
      <c r="L27" s="212">
        <f t="shared" si="0"/>
        <v>0</v>
      </c>
    </row>
    <row r="28" spans="1:13" ht="15" customHeight="1" outlineLevel="1" x14ac:dyDescent="0.3">
      <c r="A28" s="347"/>
      <c r="B28" s="211" t="s">
        <v>244</v>
      </c>
      <c r="C28" s="264" t="s">
        <v>982</v>
      </c>
      <c r="D28" s="182" t="s">
        <v>756</v>
      </c>
      <c r="E28" s="239" t="s">
        <v>59</v>
      </c>
      <c r="F28" s="136"/>
      <c r="G28" s="395">
        <v>76</v>
      </c>
      <c r="H28" s="137" t="s">
        <v>766</v>
      </c>
      <c r="I28" s="307"/>
      <c r="J28" s="308">
        <v>0</v>
      </c>
      <c r="K28" s="307"/>
      <c r="L28" s="212">
        <f t="shared" si="0"/>
        <v>0</v>
      </c>
    </row>
    <row r="29" spans="1:13" ht="15.6" customHeight="1" outlineLevel="1" x14ac:dyDescent="0.3">
      <c r="A29" s="347"/>
      <c r="B29" s="211" t="s">
        <v>245</v>
      </c>
      <c r="C29" s="264" t="s">
        <v>490</v>
      </c>
      <c r="D29" s="182" t="s">
        <v>756</v>
      </c>
      <c r="E29" s="239" t="s">
        <v>262</v>
      </c>
      <c r="F29" s="136"/>
      <c r="G29" s="395">
        <v>28</v>
      </c>
      <c r="H29" s="137" t="s">
        <v>766</v>
      </c>
      <c r="I29" s="307"/>
      <c r="J29" s="308">
        <v>0</v>
      </c>
      <c r="K29" s="307"/>
      <c r="L29" s="212">
        <f t="shared" ref="L29:L71" si="1">G29*J29</f>
        <v>0</v>
      </c>
    </row>
    <row r="30" spans="1:13" ht="10.95" customHeight="1" outlineLevel="1" x14ac:dyDescent="0.3">
      <c r="A30" s="347"/>
      <c r="B30" s="211" t="s">
        <v>246</v>
      </c>
      <c r="C30" s="264" t="s">
        <v>983</v>
      </c>
      <c r="D30" s="182" t="s">
        <v>756</v>
      </c>
      <c r="E30" s="239" t="s">
        <v>984</v>
      </c>
      <c r="F30" s="136"/>
      <c r="G30" s="395">
        <v>15</v>
      </c>
      <c r="H30" s="137" t="s">
        <v>766</v>
      </c>
      <c r="I30" s="307"/>
      <c r="J30" s="308">
        <v>0</v>
      </c>
      <c r="K30" s="307"/>
      <c r="L30" s="212">
        <f t="shared" si="1"/>
        <v>0</v>
      </c>
    </row>
    <row r="31" spans="1:13" ht="18" customHeight="1" outlineLevel="1" x14ac:dyDescent="0.3">
      <c r="A31" s="347"/>
      <c r="B31" s="211" t="s">
        <v>247</v>
      </c>
      <c r="C31" s="264" t="s">
        <v>491</v>
      </c>
      <c r="D31" s="182" t="s">
        <v>756</v>
      </c>
      <c r="E31" s="239" t="s">
        <v>500</v>
      </c>
      <c r="F31" s="136"/>
      <c r="G31" s="395">
        <v>15</v>
      </c>
      <c r="H31" s="137" t="s">
        <v>766</v>
      </c>
      <c r="I31" s="307"/>
      <c r="J31" s="308">
        <v>0</v>
      </c>
      <c r="K31" s="307"/>
      <c r="L31" s="212">
        <f t="shared" si="1"/>
        <v>0</v>
      </c>
    </row>
    <row r="32" spans="1:13" ht="22.95" customHeight="1" outlineLevel="1" x14ac:dyDescent="0.3">
      <c r="A32" s="347"/>
      <c r="B32" s="211" t="s">
        <v>381</v>
      </c>
      <c r="C32" s="264" t="s">
        <v>492</v>
      </c>
      <c r="D32" s="182" t="s">
        <v>756</v>
      </c>
      <c r="E32" s="239" t="s">
        <v>501</v>
      </c>
      <c r="F32" s="136"/>
      <c r="G32" s="395">
        <v>17</v>
      </c>
      <c r="H32" s="137" t="s">
        <v>766</v>
      </c>
      <c r="I32" s="307"/>
      <c r="J32" s="308">
        <v>0</v>
      </c>
      <c r="K32" s="307"/>
      <c r="L32" s="212">
        <f t="shared" si="1"/>
        <v>0</v>
      </c>
    </row>
    <row r="33" spans="1:12" ht="16.95" customHeight="1" outlineLevel="1" x14ac:dyDescent="0.3">
      <c r="A33" s="347"/>
      <c r="B33" s="211" t="s">
        <v>382</v>
      </c>
      <c r="C33" s="264" t="s">
        <v>254</v>
      </c>
      <c r="D33" s="182" t="s">
        <v>756</v>
      </c>
      <c r="E33" s="239" t="s">
        <v>63</v>
      </c>
      <c r="F33" s="136"/>
      <c r="G33" s="395">
        <v>12</v>
      </c>
      <c r="H33" s="137" t="s">
        <v>766</v>
      </c>
      <c r="I33" s="307"/>
      <c r="J33" s="308">
        <v>0</v>
      </c>
      <c r="K33" s="307"/>
      <c r="L33" s="212">
        <f t="shared" si="1"/>
        <v>0</v>
      </c>
    </row>
    <row r="34" spans="1:12" ht="16.2" customHeight="1" outlineLevel="1" x14ac:dyDescent="0.3">
      <c r="A34" s="347"/>
      <c r="B34" s="211" t="s">
        <v>383</v>
      </c>
      <c r="C34" s="264" t="s">
        <v>493</v>
      </c>
      <c r="D34" s="182" t="s">
        <v>756</v>
      </c>
      <c r="E34" s="291" t="s">
        <v>67</v>
      </c>
      <c r="F34" s="136"/>
      <c r="G34" s="395">
        <v>1</v>
      </c>
      <c r="H34" s="137" t="s">
        <v>766</v>
      </c>
      <c r="I34" s="307"/>
      <c r="J34" s="308">
        <v>0</v>
      </c>
      <c r="K34" s="307"/>
      <c r="L34" s="212">
        <f t="shared" si="1"/>
        <v>0</v>
      </c>
    </row>
    <row r="35" spans="1:12" ht="16.95" customHeight="1" outlineLevel="1" x14ac:dyDescent="0.3">
      <c r="A35" s="347"/>
      <c r="B35" s="211" t="s">
        <v>384</v>
      </c>
      <c r="C35" s="264" t="s">
        <v>985</v>
      </c>
      <c r="D35" s="182" t="s">
        <v>756</v>
      </c>
      <c r="E35" s="239" t="s">
        <v>252</v>
      </c>
      <c r="F35" s="136"/>
      <c r="G35" s="395">
        <v>4</v>
      </c>
      <c r="H35" s="137" t="s">
        <v>766</v>
      </c>
      <c r="I35" s="307"/>
      <c r="J35" s="308">
        <v>0</v>
      </c>
      <c r="K35" s="307"/>
      <c r="L35" s="212">
        <f t="shared" si="1"/>
        <v>0</v>
      </c>
    </row>
    <row r="36" spans="1:12" ht="22.2" customHeight="1" outlineLevel="1" x14ac:dyDescent="0.3">
      <c r="A36" s="347"/>
      <c r="B36" s="211" t="s">
        <v>385</v>
      </c>
      <c r="C36" s="264" t="s">
        <v>1012</v>
      </c>
      <c r="D36" s="182" t="s">
        <v>756</v>
      </c>
      <c r="E36" s="239" t="s">
        <v>256</v>
      </c>
      <c r="F36" s="136"/>
      <c r="G36" s="395">
        <v>4</v>
      </c>
      <c r="H36" s="137" t="s">
        <v>766</v>
      </c>
      <c r="I36" s="307"/>
      <c r="J36" s="308">
        <v>0</v>
      </c>
      <c r="K36" s="307"/>
      <c r="L36" s="212">
        <f t="shared" si="1"/>
        <v>0</v>
      </c>
    </row>
    <row r="37" spans="1:12" ht="22.95" customHeight="1" outlineLevel="1" x14ac:dyDescent="0.3">
      <c r="A37" s="347"/>
      <c r="B37" s="211" t="s">
        <v>386</v>
      </c>
      <c r="C37" s="264" t="s">
        <v>986</v>
      </c>
      <c r="D37" s="182" t="s">
        <v>756</v>
      </c>
      <c r="E37" s="239" t="s">
        <v>502</v>
      </c>
      <c r="F37" s="136"/>
      <c r="G37" s="395">
        <v>3</v>
      </c>
      <c r="H37" s="137" t="s">
        <v>766</v>
      </c>
      <c r="I37" s="307"/>
      <c r="J37" s="308">
        <v>0</v>
      </c>
      <c r="K37" s="307"/>
      <c r="L37" s="212">
        <f t="shared" si="1"/>
        <v>0</v>
      </c>
    </row>
    <row r="38" spans="1:12" ht="22.2" customHeight="1" outlineLevel="1" x14ac:dyDescent="0.3">
      <c r="A38" s="347"/>
      <c r="B38" s="211" t="s">
        <v>387</v>
      </c>
      <c r="C38" s="264" t="s">
        <v>987</v>
      </c>
      <c r="D38" s="182" t="s">
        <v>756</v>
      </c>
      <c r="E38" s="239" t="s">
        <v>89</v>
      </c>
      <c r="F38" s="136"/>
      <c r="G38" s="395">
        <v>13</v>
      </c>
      <c r="H38" s="137" t="s">
        <v>766</v>
      </c>
      <c r="I38" s="307"/>
      <c r="J38" s="308">
        <v>0</v>
      </c>
      <c r="K38" s="307"/>
      <c r="L38" s="212">
        <f t="shared" si="1"/>
        <v>0</v>
      </c>
    </row>
    <row r="39" spans="1:12" ht="25.2" customHeight="1" outlineLevel="1" x14ac:dyDescent="0.3">
      <c r="A39" s="347"/>
      <c r="B39" s="211" t="s">
        <v>388</v>
      </c>
      <c r="C39" s="264" t="s">
        <v>988</v>
      </c>
      <c r="D39" s="182" t="s">
        <v>756</v>
      </c>
      <c r="E39" s="239" t="s">
        <v>264</v>
      </c>
      <c r="F39" s="136"/>
      <c r="G39" s="395"/>
      <c r="H39" s="137" t="s">
        <v>766</v>
      </c>
      <c r="I39" s="307"/>
      <c r="J39" s="308">
        <v>0</v>
      </c>
      <c r="K39" s="307"/>
      <c r="L39" s="212">
        <f t="shared" si="1"/>
        <v>0</v>
      </c>
    </row>
    <row r="40" spans="1:12" ht="21" customHeight="1" outlineLevel="1" x14ac:dyDescent="0.3">
      <c r="A40" s="347"/>
      <c r="B40" s="211" t="s">
        <v>389</v>
      </c>
      <c r="C40" s="264" t="s">
        <v>989</v>
      </c>
      <c r="D40" s="182" t="s">
        <v>756</v>
      </c>
      <c r="E40" s="293" t="s">
        <v>978</v>
      </c>
      <c r="F40" s="136"/>
      <c r="G40" s="395"/>
      <c r="H40" s="137" t="s">
        <v>766</v>
      </c>
      <c r="I40" s="307"/>
      <c r="J40" s="308">
        <v>0</v>
      </c>
      <c r="K40" s="307"/>
      <c r="L40" s="212">
        <f t="shared" si="1"/>
        <v>0</v>
      </c>
    </row>
    <row r="41" spans="1:12" ht="19.95" customHeight="1" outlineLevel="1" x14ac:dyDescent="0.3">
      <c r="A41" s="347"/>
      <c r="B41" s="211" t="s">
        <v>390</v>
      </c>
      <c r="C41" s="264" t="s">
        <v>441</v>
      </c>
      <c r="D41" s="182" t="s">
        <v>756</v>
      </c>
      <c r="E41" s="293" t="s">
        <v>978</v>
      </c>
      <c r="F41" s="136"/>
      <c r="G41" s="395">
        <v>7</v>
      </c>
      <c r="H41" s="137" t="s">
        <v>766</v>
      </c>
      <c r="I41" s="307"/>
      <c r="J41" s="308">
        <v>0</v>
      </c>
      <c r="K41" s="307"/>
      <c r="L41" s="212">
        <f t="shared" si="1"/>
        <v>0</v>
      </c>
    </row>
    <row r="42" spans="1:12" ht="16.2" customHeight="1" outlineLevel="1" x14ac:dyDescent="0.3">
      <c r="A42" s="347"/>
      <c r="B42" s="211" t="s">
        <v>391</v>
      </c>
      <c r="C42" s="264" t="s">
        <v>442</v>
      </c>
      <c r="D42" s="182" t="s">
        <v>756</v>
      </c>
      <c r="E42" s="293" t="s">
        <v>978</v>
      </c>
      <c r="F42" s="136"/>
      <c r="G42" s="395">
        <v>3</v>
      </c>
      <c r="H42" s="137" t="s">
        <v>766</v>
      </c>
      <c r="I42" s="307"/>
      <c r="J42" s="308">
        <v>0</v>
      </c>
      <c r="K42" s="307"/>
      <c r="L42" s="212">
        <f t="shared" si="1"/>
        <v>0</v>
      </c>
    </row>
    <row r="43" spans="1:12" ht="22.2" customHeight="1" outlineLevel="1" x14ac:dyDescent="0.3">
      <c r="A43" s="347"/>
      <c r="B43" s="211" t="s">
        <v>392</v>
      </c>
      <c r="C43" s="264" t="s">
        <v>993</v>
      </c>
      <c r="D43" s="182" t="s">
        <v>756</v>
      </c>
      <c r="E43" s="293" t="s">
        <v>978</v>
      </c>
      <c r="F43" s="136"/>
      <c r="G43" s="395">
        <v>4</v>
      </c>
      <c r="H43" s="137" t="s">
        <v>766</v>
      </c>
      <c r="I43" s="307"/>
      <c r="J43" s="308">
        <v>0</v>
      </c>
      <c r="K43" s="307"/>
      <c r="L43" s="212">
        <f t="shared" si="1"/>
        <v>0</v>
      </c>
    </row>
    <row r="44" spans="1:12" ht="15" customHeight="1" outlineLevel="1" x14ac:dyDescent="0.3">
      <c r="A44" s="347"/>
      <c r="B44" s="211" t="s">
        <v>393</v>
      </c>
      <c r="C44" s="264" t="s">
        <v>994</v>
      </c>
      <c r="D44" s="182" t="s">
        <v>756</v>
      </c>
      <c r="E44" s="293" t="s">
        <v>978</v>
      </c>
      <c r="F44" s="136"/>
      <c r="G44" s="395">
        <v>5</v>
      </c>
      <c r="H44" s="137" t="s">
        <v>766</v>
      </c>
      <c r="I44" s="307"/>
      <c r="J44" s="308">
        <v>0</v>
      </c>
      <c r="K44" s="307"/>
      <c r="L44" s="212">
        <f t="shared" si="1"/>
        <v>0</v>
      </c>
    </row>
    <row r="45" spans="1:12" ht="18" customHeight="1" outlineLevel="1" x14ac:dyDescent="0.3">
      <c r="A45" s="347"/>
      <c r="B45" s="211" t="s">
        <v>394</v>
      </c>
      <c r="C45" s="264" t="s">
        <v>990</v>
      </c>
      <c r="D45" s="182" t="s">
        <v>756</v>
      </c>
      <c r="E45" s="293" t="s">
        <v>978</v>
      </c>
      <c r="F45" s="136"/>
      <c r="G45" s="395">
        <v>3</v>
      </c>
      <c r="H45" s="137" t="s">
        <v>766</v>
      </c>
      <c r="I45" s="307"/>
      <c r="J45" s="308">
        <v>0</v>
      </c>
      <c r="K45" s="307"/>
      <c r="L45" s="212">
        <f t="shared" si="1"/>
        <v>0</v>
      </c>
    </row>
    <row r="46" spans="1:12" ht="19.95" customHeight="1" outlineLevel="1" x14ac:dyDescent="0.3">
      <c r="A46" s="347"/>
      <c r="B46" s="211" t="s">
        <v>395</v>
      </c>
      <c r="C46" s="264" t="s">
        <v>991</v>
      </c>
      <c r="D46" s="182" t="s">
        <v>756</v>
      </c>
      <c r="E46" s="293" t="s">
        <v>978</v>
      </c>
      <c r="F46" s="136"/>
      <c r="G46" s="395">
        <v>3</v>
      </c>
      <c r="H46" s="137" t="s">
        <v>766</v>
      </c>
      <c r="I46" s="307"/>
      <c r="J46" s="308">
        <v>0</v>
      </c>
      <c r="K46" s="307"/>
      <c r="L46" s="212">
        <f t="shared" si="1"/>
        <v>0</v>
      </c>
    </row>
    <row r="47" spans="1:12" ht="22.95" customHeight="1" outlineLevel="1" x14ac:dyDescent="0.3">
      <c r="A47" s="347"/>
      <c r="B47" s="211" t="s">
        <v>396</v>
      </c>
      <c r="C47" s="264" t="s">
        <v>992</v>
      </c>
      <c r="D47" s="182" t="s">
        <v>756</v>
      </c>
      <c r="E47" s="293" t="s">
        <v>978</v>
      </c>
      <c r="F47" s="136"/>
      <c r="G47" s="395">
        <v>2</v>
      </c>
      <c r="H47" s="137" t="s">
        <v>766</v>
      </c>
      <c r="I47" s="307"/>
      <c r="J47" s="308">
        <v>0</v>
      </c>
      <c r="K47" s="307"/>
      <c r="L47" s="212">
        <f t="shared" si="1"/>
        <v>0</v>
      </c>
    </row>
    <row r="48" spans="1:12" ht="18" customHeight="1" outlineLevel="1" x14ac:dyDescent="0.3">
      <c r="A48" s="347"/>
      <c r="B48" s="211" t="s">
        <v>397</v>
      </c>
      <c r="C48" s="264" t="s">
        <v>494</v>
      </c>
      <c r="D48" s="182" t="s">
        <v>756</v>
      </c>
      <c r="E48" s="293" t="s">
        <v>978</v>
      </c>
      <c r="F48" s="136"/>
      <c r="G48" s="395">
        <v>21</v>
      </c>
      <c r="H48" s="137" t="s">
        <v>766</v>
      </c>
      <c r="I48" s="307"/>
      <c r="J48" s="308">
        <v>0</v>
      </c>
      <c r="K48" s="307"/>
      <c r="L48" s="212">
        <f t="shared" si="1"/>
        <v>0</v>
      </c>
    </row>
    <row r="49" spans="1:12" ht="18" customHeight="1" outlineLevel="1" x14ac:dyDescent="0.3">
      <c r="A49" s="347"/>
      <c r="B49" s="211" t="s">
        <v>398</v>
      </c>
      <c r="C49" s="264" t="s">
        <v>495</v>
      </c>
      <c r="D49" s="182" t="s">
        <v>756</v>
      </c>
      <c r="E49" s="293" t="s">
        <v>978</v>
      </c>
      <c r="F49" s="136"/>
      <c r="G49" s="395">
        <v>34</v>
      </c>
      <c r="H49" s="137" t="s">
        <v>766</v>
      </c>
      <c r="I49" s="307"/>
      <c r="J49" s="308">
        <v>0</v>
      </c>
      <c r="K49" s="307"/>
      <c r="L49" s="212">
        <f t="shared" si="1"/>
        <v>0</v>
      </c>
    </row>
    <row r="50" spans="1:12" ht="22.2" customHeight="1" outlineLevel="1" x14ac:dyDescent="0.3">
      <c r="A50" s="347"/>
      <c r="B50" s="211" t="s">
        <v>399</v>
      </c>
      <c r="C50" s="396" t="s">
        <v>995</v>
      </c>
      <c r="D50" s="182" t="s">
        <v>756</v>
      </c>
      <c r="E50" s="293" t="s">
        <v>978</v>
      </c>
      <c r="F50" s="136"/>
      <c r="G50" s="395"/>
      <c r="H50" s="137" t="s">
        <v>766</v>
      </c>
      <c r="I50" s="307"/>
      <c r="J50" s="308">
        <v>0</v>
      </c>
      <c r="K50" s="307"/>
      <c r="L50" s="212">
        <f t="shared" si="1"/>
        <v>0</v>
      </c>
    </row>
    <row r="51" spans="1:12" ht="21" customHeight="1" outlineLevel="1" x14ac:dyDescent="0.3">
      <c r="A51" s="347"/>
      <c r="B51" s="211" t="s">
        <v>400</v>
      </c>
      <c r="C51" s="396" t="s">
        <v>996</v>
      </c>
      <c r="D51" s="182" t="s">
        <v>756</v>
      </c>
      <c r="E51" s="293" t="s">
        <v>978</v>
      </c>
      <c r="F51" s="136"/>
      <c r="G51" s="395">
        <v>3</v>
      </c>
      <c r="H51" s="137" t="s">
        <v>766</v>
      </c>
      <c r="I51" s="307"/>
      <c r="J51" s="308">
        <v>0</v>
      </c>
      <c r="K51" s="307"/>
      <c r="L51" s="212">
        <f t="shared" si="1"/>
        <v>0</v>
      </c>
    </row>
    <row r="52" spans="1:12" ht="22.95" customHeight="1" outlineLevel="1" x14ac:dyDescent="0.3">
      <c r="A52" s="347"/>
      <c r="B52" s="211" t="s">
        <v>401</v>
      </c>
      <c r="C52" s="264" t="s">
        <v>496</v>
      </c>
      <c r="D52" s="182" t="s">
        <v>756</v>
      </c>
      <c r="E52" s="293" t="s">
        <v>978</v>
      </c>
      <c r="F52" s="136"/>
      <c r="G52" s="395">
        <v>3</v>
      </c>
      <c r="H52" s="137" t="s">
        <v>766</v>
      </c>
      <c r="I52" s="307"/>
      <c r="J52" s="308">
        <v>0</v>
      </c>
      <c r="K52" s="307"/>
      <c r="L52" s="212">
        <f t="shared" si="1"/>
        <v>0</v>
      </c>
    </row>
    <row r="53" spans="1:12" ht="28.2" customHeight="1" outlineLevel="1" x14ac:dyDescent="0.3">
      <c r="A53" s="347"/>
      <c r="B53" s="211" t="s">
        <v>402</v>
      </c>
      <c r="C53" s="264" t="s">
        <v>997</v>
      </c>
      <c r="D53" s="182" t="s">
        <v>756</v>
      </c>
      <c r="E53" s="293" t="s">
        <v>978</v>
      </c>
      <c r="F53" s="136"/>
      <c r="G53" s="395">
        <v>0</v>
      </c>
      <c r="H53" s="137" t="s">
        <v>766</v>
      </c>
      <c r="I53" s="307"/>
      <c r="J53" s="308">
        <v>0</v>
      </c>
      <c r="K53" s="307"/>
      <c r="L53" s="212">
        <f t="shared" si="1"/>
        <v>0</v>
      </c>
    </row>
    <row r="54" spans="1:12" ht="22.95" customHeight="1" outlineLevel="1" x14ac:dyDescent="0.3">
      <c r="A54" s="347"/>
      <c r="B54" s="211" t="s">
        <v>403</v>
      </c>
      <c r="C54" s="264" t="s">
        <v>998</v>
      </c>
      <c r="D54" s="182" t="s">
        <v>756</v>
      </c>
      <c r="E54" s="239" t="s">
        <v>95</v>
      </c>
      <c r="F54" s="136"/>
      <c r="G54" s="395">
        <v>0</v>
      </c>
      <c r="H54" s="137" t="s">
        <v>766</v>
      </c>
      <c r="I54" s="307"/>
      <c r="J54" s="308">
        <v>0</v>
      </c>
      <c r="K54" s="307"/>
      <c r="L54" s="212">
        <f t="shared" si="1"/>
        <v>0</v>
      </c>
    </row>
    <row r="55" spans="1:12" ht="22.2" customHeight="1" outlineLevel="1" x14ac:dyDescent="0.3">
      <c r="A55" s="347"/>
      <c r="B55" s="211" t="s">
        <v>404</v>
      </c>
      <c r="C55" s="264" t="s">
        <v>1000</v>
      </c>
      <c r="D55" s="182" t="s">
        <v>756</v>
      </c>
      <c r="E55" s="239" t="s">
        <v>999</v>
      </c>
      <c r="F55" s="136"/>
      <c r="G55" s="395">
        <v>0</v>
      </c>
      <c r="H55" s="137" t="s">
        <v>766</v>
      </c>
      <c r="I55" s="307"/>
      <c r="J55" s="308">
        <v>0</v>
      </c>
      <c r="K55" s="307"/>
      <c r="L55" s="212">
        <f t="shared" si="1"/>
        <v>0</v>
      </c>
    </row>
    <row r="56" spans="1:12" ht="19.95" customHeight="1" outlineLevel="1" x14ac:dyDescent="0.3">
      <c r="A56" s="347"/>
      <c r="B56" s="211" t="s">
        <v>405</v>
      </c>
      <c r="C56" s="264" t="s">
        <v>1002</v>
      </c>
      <c r="D56" s="182" t="s">
        <v>756</v>
      </c>
      <c r="E56" s="239" t="s">
        <v>1001</v>
      </c>
      <c r="F56" s="136"/>
      <c r="G56" s="395">
        <v>0</v>
      </c>
      <c r="H56" s="137" t="s">
        <v>766</v>
      </c>
      <c r="I56" s="307"/>
      <c r="J56" s="308">
        <v>0</v>
      </c>
      <c r="K56" s="307"/>
      <c r="L56" s="212">
        <f t="shared" si="1"/>
        <v>0</v>
      </c>
    </row>
    <row r="57" spans="1:12" ht="22.95" customHeight="1" outlineLevel="1" x14ac:dyDescent="0.3">
      <c r="A57" s="347"/>
      <c r="B57" s="211" t="s">
        <v>406</v>
      </c>
      <c r="C57" s="264" t="s">
        <v>1003</v>
      </c>
      <c r="D57" s="182" t="s">
        <v>756</v>
      </c>
      <c r="E57" s="239"/>
      <c r="F57" s="136"/>
      <c r="G57" s="395">
        <v>0</v>
      </c>
      <c r="H57" s="137" t="s">
        <v>766</v>
      </c>
      <c r="I57" s="307"/>
      <c r="J57" s="308">
        <v>0</v>
      </c>
      <c r="K57" s="307"/>
      <c r="L57" s="212">
        <f t="shared" si="1"/>
        <v>0</v>
      </c>
    </row>
    <row r="58" spans="1:12" ht="22.95" customHeight="1" outlineLevel="1" x14ac:dyDescent="0.3">
      <c r="A58" s="347"/>
      <c r="B58" s="211" t="s">
        <v>407</v>
      </c>
      <c r="C58" s="264" t="s">
        <v>1004</v>
      </c>
      <c r="D58" s="182" t="s">
        <v>756</v>
      </c>
      <c r="E58" s="239"/>
      <c r="F58" s="136"/>
      <c r="G58" s="395">
        <v>0</v>
      </c>
      <c r="H58" s="137" t="s">
        <v>766</v>
      </c>
      <c r="I58" s="307"/>
      <c r="J58" s="308">
        <v>0</v>
      </c>
      <c r="K58" s="307"/>
      <c r="L58" s="212">
        <f t="shared" si="1"/>
        <v>0</v>
      </c>
    </row>
    <row r="59" spans="1:12" ht="25.2" customHeight="1" outlineLevel="1" x14ac:dyDescent="0.3">
      <c r="A59" s="347"/>
      <c r="B59" s="211" t="s">
        <v>408</v>
      </c>
      <c r="C59" s="264" t="s">
        <v>1013</v>
      </c>
      <c r="D59" s="182" t="s">
        <v>756</v>
      </c>
      <c r="E59" s="239"/>
      <c r="F59" s="136"/>
      <c r="G59" s="395">
        <v>0</v>
      </c>
      <c r="H59" s="137" t="s">
        <v>766</v>
      </c>
      <c r="I59" s="307"/>
      <c r="J59" s="308">
        <v>0</v>
      </c>
      <c r="K59" s="307"/>
      <c r="L59" s="212">
        <f t="shared" si="1"/>
        <v>0</v>
      </c>
    </row>
    <row r="60" spans="1:12" ht="31.2" customHeight="1" outlineLevel="1" x14ac:dyDescent="0.3">
      <c r="A60" s="347"/>
      <c r="B60" s="211" t="s">
        <v>409</v>
      </c>
      <c r="C60" s="264" t="s">
        <v>497</v>
      </c>
      <c r="D60" s="182" t="s">
        <v>756</v>
      </c>
      <c r="E60" s="239"/>
      <c r="F60" s="136"/>
      <c r="G60" s="395">
        <v>10</v>
      </c>
      <c r="H60" s="137" t="s">
        <v>766</v>
      </c>
      <c r="I60" s="307"/>
      <c r="J60" s="308">
        <v>0</v>
      </c>
      <c r="K60" s="307"/>
      <c r="L60" s="212">
        <f t="shared" si="1"/>
        <v>0</v>
      </c>
    </row>
    <row r="61" spans="1:12" ht="30" customHeight="1" outlineLevel="1" x14ac:dyDescent="0.3">
      <c r="A61" s="347"/>
      <c r="B61" s="211" t="s">
        <v>410</v>
      </c>
      <c r="C61" s="264" t="s">
        <v>1014</v>
      </c>
      <c r="D61" s="182" t="s">
        <v>756</v>
      </c>
      <c r="E61" s="239"/>
      <c r="F61" s="136"/>
      <c r="G61" s="395">
        <v>1</v>
      </c>
      <c r="H61" s="137" t="s">
        <v>766</v>
      </c>
      <c r="I61" s="307"/>
      <c r="J61" s="308">
        <v>0</v>
      </c>
      <c r="K61" s="307"/>
      <c r="L61" s="212">
        <f t="shared" si="1"/>
        <v>0</v>
      </c>
    </row>
    <row r="62" spans="1:12" ht="28.2" customHeight="1" outlineLevel="1" x14ac:dyDescent="0.3">
      <c r="A62" s="347"/>
      <c r="B62" s="211" t="s">
        <v>411</v>
      </c>
      <c r="C62" s="264" t="s">
        <v>498</v>
      </c>
      <c r="D62" s="182" t="s">
        <v>756</v>
      </c>
      <c r="E62" s="239"/>
      <c r="F62" s="136"/>
      <c r="G62" s="395">
        <v>16</v>
      </c>
      <c r="H62" s="137" t="s">
        <v>766</v>
      </c>
      <c r="I62" s="307"/>
      <c r="J62" s="308">
        <v>0</v>
      </c>
      <c r="K62" s="307"/>
      <c r="L62" s="212">
        <f t="shared" si="1"/>
        <v>0</v>
      </c>
    </row>
    <row r="63" spans="1:12" ht="28.95" customHeight="1" outlineLevel="1" x14ac:dyDescent="0.3">
      <c r="A63" s="347"/>
      <c r="B63" s="211" t="s">
        <v>412</v>
      </c>
      <c r="C63" s="264" t="s">
        <v>499</v>
      </c>
      <c r="D63" s="182" t="s">
        <v>756</v>
      </c>
      <c r="E63" s="239" t="s">
        <v>265</v>
      </c>
      <c r="F63" s="136"/>
      <c r="G63" s="395">
        <v>10</v>
      </c>
      <c r="H63" s="137" t="s">
        <v>766</v>
      </c>
      <c r="I63" s="307"/>
      <c r="J63" s="308">
        <v>0</v>
      </c>
      <c r="K63" s="307"/>
      <c r="L63" s="212">
        <f t="shared" si="1"/>
        <v>0</v>
      </c>
    </row>
    <row r="64" spans="1:12" ht="25.95" customHeight="1" outlineLevel="1" x14ac:dyDescent="0.3">
      <c r="A64" s="347"/>
      <c r="B64" s="211" t="s">
        <v>413</v>
      </c>
      <c r="C64" s="264"/>
      <c r="D64" s="182"/>
      <c r="E64" s="239"/>
      <c r="F64" s="136"/>
      <c r="G64" s="395"/>
      <c r="H64" s="137" t="s">
        <v>766</v>
      </c>
      <c r="I64" s="307"/>
      <c r="J64" s="308">
        <v>0</v>
      </c>
      <c r="K64" s="307"/>
      <c r="L64" s="212">
        <f t="shared" si="1"/>
        <v>0</v>
      </c>
    </row>
    <row r="65" spans="1:12" outlineLevel="1" x14ac:dyDescent="0.3">
      <c r="A65" s="347"/>
      <c r="B65" s="211" t="s">
        <v>414</v>
      </c>
      <c r="C65" s="222"/>
      <c r="D65" s="221"/>
      <c r="E65" s="220"/>
      <c r="F65" s="136"/>
      <c r="G65" s="370"/>
      <c r="H65" s="137" t="s">
        <v>766</v>
      </c>
      <c r="I65" s="307"/>
      <c r="J65" s="308">
        <v>0</v>
      </c>
      <c r="K65" s="307"/>
      <c r="L65" s="212">
        <f t="shared" si="1"/>
        <v>0</v>
      </c>
    </row>
    <row r="66" spans="1:12" outlineLevel="1" x14ac:dyDescent="0.3">
      <c r="A66" s="347"/>
      <c r="B66" s="211" t="s">
        <v>415</v>
      </c>
      <c r="C66" s="177"/>
      <c r="D66" s="182"/>
      <c r="E66" s="134"/>
      <c r="F66" s="136"/>
      <c r="G66" s="370"/>
      <c r="H66" s="137" t="s">
        <v>766</v>
      </c>
      <c r="I66" s="307"/>
      <c r="J66" s="308">
        <v>0</v>
      </c>
      <c r="K66" s="307"/>
      <c r="L66" s="212">
        <f t="shared" si="1"/>
        <v>0</v>
      </c>
    </row>
    <row r="67" spans="1:12" outlineLevel="1" x14ac:dyDescent="0.3">
      <c r="A67" s="347"/>
      <c r="B67" s="211" t="s">
        <v>416</v>
      </c>
      <c r="C67" s="177"/>
      <c r="D67" s="182"/>
      <c r="E67" s="134"/>
      <c r="F67" s="136"/>
      <c r="G67" s="370"/>
      <c r="H67" s="137" t="s">
        <v>766</v>
      </c>
      <c r="I67" s="307"/>
      <c r="J67" s="308">
        <v>0</v>
      </c>
      <c r="K67" s="307"/>
      <c r="L67" s="212">
        <f>G67*J67</f>
        <v>0</v>
      </c>
    </row>
    <row r="68" spans="1:12" outlineLevel="1" x14ac:dyDescent="0.3">
      <c r="A68" s="347"/>
      <c r="B68" s="211" t="s">
        <v>417</v>
      </c>
      <c r="C68" s="177"/>
      <c r="D68" s="182"/>
      <c r="E68" s="134"/>
      <c r="F68" s="136"/>
      <c r="G68" s="370"/>
      <c r="H68" s="137" t="s">
        <v>766</v>
      </c>
      <c r="I68" s="307"/>
      <c r="J68" s="308">
        <v>0</v>
      </c>
      <c r="K68" s="307"/>
      <c r="L68" s="212">
        <f>G68*J68</f>
        <v>0</v>
      </c>
    </row>
    <row r="69" spans="1:12" outlineLevel="1" x14ac:dyDescent="0.3">
      <c r="A69" s="347"/>
      <c r="B69" s="211" t="s">
        <v>418</v>
      </c>
      <c r="C69" s="177"/>
      <c r="D69" s="182"/>
      <c r="E69" s="134"/>
      <c r="F69" s="136"/>
      <c r="G69" s="259"/>
      <c r="H69" s="137" t="s">
        <v>766</v>
      </c>
      <c r="I69" s="307"/>
      <c r="J69" s="308">
        <v>0</v>
      </c>
      <c r="K69" s="307"/>
      <c r="L69" s="212">
        <f t="shared" si="1"/>
        <v>0</v>
      </c>
    </row>
    <row r="70" spans="1:12" outlineLevel="1" x14ac:dyDescent="0.3">
      <c r="A70" s="347"/>
      <c r="B70" s="211" t="s">
        <v>419</v>
      </c>
      <c r="C70" s="177"/>
      <c r="D70" s="182"/>
      <c r="E70" s="134"/>
      <c r="F70" s="136"/>
      <c r="G70" s="259"/>
      <c r="H70" s="137" t="s">
        <v>766</v>
      </c>
      <c r="I70" s="307"/>
      <c r="J70" s="308">
        <v>0</v>
      </c>
      <c r="K70" s="307"/>
      <c r="L70" s="212">
        <f t="shared" si="1"/>
        <v>0</v>
      </c>
    </row>
    <row r="71" spans="1:12" outlineLevel="1" x14ac:dyDescent="0.3">
      <c r="A71" s="347"/>
      <c r="B71" s="211" t="s">
        <v>420</v>
      </c>
      <c r="C71" s="177"/>
      <c r="D71" s="182"/>
      <c r="E71" s="134"/>
      <c r="F71" s="136"/>
      <c r="G71" s="259"/>
      <c r="H71" s="137" t="s">
        <v>766</v>
      </c>
      <c r="I71" s="307"/>
      <c r="J71" s="308">
        <v>0</v>
      </c>
      <c r="K71" s="307"/>
      <c r="L71" s="212">
        <f t="shared" si="1"/>
        <v>0</v>
      </c>
    </row>
    <row r="72" spans="1:12" x14ac:dyDescent="0.3">
      <c r="A72" s="347"/>
      <c r="B72" s="213"/>
      <c r="C72" s="139"/>
      <c r="D72" s="183"/>
      <c r="E72" s="111"/>
      <c r="F72" s="140"/>
      <c r="G72" s="141"/>
      <c r="H72" s="142"/>
      <c r="I72" s="143"/>
      <c r="J72" s="144"/>
      <c r="K72" s="145">
        <f>SUM(K22:K71)</f>
        <v>0</v>
      </c>
      <c r="L72" s="214">
        <f>SUM(L22:L71)</f>
        <v>0</v>
      </c>
    </row>
    <row r="73" spans="1:12" ht="13.8" x14ac:dyDescent="0.25">
      <c r="A73" s="376" t="s">
        <v>504</v>
      </c>
      <c r="B73" s="240" t="s">
        <v>248</v>
      </c>
      <c r="C73" s="241" t="s">
        <v>282</v>
      </c>
      <c r="D73" s="181"/>
      <c r="E73" s="112"/>
      <c r="F73" s="146"/>
      <c r="G73" s="130"/>
      <c r="H73" s="131"/>
      <c r="I73" s="318"/>
      <c r="J73" s="319"/>
      <c r="K73" s="320"/>
      <c r="L73" s="215"/>
    </row>
    <row r="74" spans="1:12" ht="24" customHeight="1" outlineLevel="1" x14ac:dyDescent="0.3">
      <c r="A74" s="288" t="s">
        <v>505</v>
      </c>
      <c r="B74" s="211" t="s">
        <v>250</v>
      </c>
      <c r="C74" s="223" t="s">
        <v>503</v>
      </c>
      <c r="D74" s="286" t="s">
        <v>756</v>
      </c>
      <c r="E74" s="288"/>
      <c r="F74" s="287"/>
      <c r="G74" s="260">
        <v>10</v>
      </c>
      <c r="H74" s="137" t="s">
        <v>766</v>
      </c>
      <c r="I74" s="307"/>
      <c r="J74" s="308">
        <v>0</v>
      </c>
      <c r="K74" s="307"/>
      <c r="L74" s="212">
        <f t="shared" ref="L74:L83" si="2">G74*J74</f>
        <v>0</v>
      </c>
    </row>
    <row r="75" spans="1:12" ht="16.2" customHeight="1" outlineLevel="1" x14ac:dyDescent="0.3">
      <c r="A75" s="288" t="s">
        <v>506</v>
      </c>
      <c r="B75" s="211" t="s">
        <v>251</v>
      </c>
      <c r="C75" s="223" t="s">
        <v>773</v>
      </c>
      <c r="D75" s="286" t="s">
        <v>756</v>
      </c>
      <c r="E75" s="288"/>
      <c r="F75" s="287"/>
      <c r="G75" s="260">
        <v>6</v>
      </c>
      <c r="H75" s="137" t="s">
        <v>766</v>
      </c>
      <c r="I75" s="307"/>
      <c r="J75" s="308">
        <v>0</v>
      </c>
      <c r="K75" s="307"/>
      <c r="L75" s="212">
        <f t="shared" si="2"/>
        <v>0</v>
      </c>
    </row>
    <row r="76" spans="1:12" ht="19.95" customHeight="1" outlineLevel="1" x14ac:dyDescent="0.3">
      <c r="A76" s="288" t="s">
        <v>507</v>
      </c>
      <c r="B76" s="211" t="s">
        <v>253</v>
      </c>
      <c r="C76" s="223" t="s">
        <v>774</v>
      </c>
      <c r="D76" s="286" t="s">
        <v>756</v>
      </c>
      <c r="E76" s="288"/>
      <c r="F76" s="287"/>
      <c r="G76" s="260">
        <v>26</v>
      </c>
      <c r="H76" s="137" t="s">
        <v>766</v>
      </c>
      <c r="I76" s="307"/>
      <c r="J76" s="308">
        <v>0</v>
      </c>
      <c r="K76" s="307"/>
      <c r="L76" s="212">
        <f t="shared" si="2"/>
        <v>0</v>
      </c>
    </row>
    <row r="77" spans="1:12" ht="16.95" customHeight="1" outlineLevel="1" x14ac:dyDescent="0.3">
      <c r="A77" s="288" t="s">
        <v>508</v>
      </c>
      <c r="B77" s="211" t="s">
        <v>255</v>
      </c>
      <c r="C77" s="223" t="s">
        <v>775</v>
      </c>
      <c r="D77" s="286" t="s">
        <v>756</v>
      </c>
      <c r="E77" s="288"/>
      <c r="F77" s="287"/>
      <c r="G77" s="260">
        <v>0</v>
      </c>
      <c r="H77" s="137" t="s">
        <v>766</v>
      </c>
      <c r="I77" s="307"/>
      <c r="J77" s="308">
        <v>0</v>
      </c>
      <c r="K77" s="307"/>
      <c r="L77" s="212">
        <f t="shared" si="2"/>
        <v>0</v>
      </c>
    </row>
    <row r="78" spans="1:12" ht="22.2" customHeight="1" outlineLevel="1" x14ac:dyDescent="0.3">
      <c r="A78" s="288" t="s">
        <v>509</v>
      </c>
      <c r="B78" s="211" t="s">
        <v>257</v>
      </c>
      <c r="C78" s="223" t="s">
        <v>776</v>
      </c>
      <c r="D78" s="286" t="s">
        <v>756</v>
      </c>
      <c r="E78" s="288"/>
      <c r="F78" s="287"/>
      <c r="G78" s="260">
        <v>139</v>
      </c>
      <c r="H78" s="137" t="s">
        <v>766</v>
      </c>
      <c r="I78" s="307"/>
      <c r="J78" s="308">
        <v>0</v>
      </c>
      <c r="K78" s="307"/>
      <c r="L78" s="212">
        <f t="shared" si="2"/>
        <v>0</v>
      </c>
    </row>
    <row r="79" spans="1:12" ht="16.95" customHeight="1" outlineLevel="1" x14ac:dyDescent="0.3">
      <c r="A79" s="288" t="s">
        <v>510</v>
      </c>
      <c r="B79" s="211" t="s">
        <v>258</v>
      </c>
      <c r="C79" s="223" t="s">
        <v>777</v>
      </c>
      <c r="D79" s="286" t="s">
        <v>756</v>
      </c>
      <c r="E79" s="288"/>
      <c r="F79" s="287"/>
      <c r="G79" s="260">
        <v>0</v>
      </c>
      <c r="H79" s="137" t="s">
        <v>766</v>
      </c>
      <c r="I79" s="307"/>
      <c r="J79" s="308">
        <v>0</v>
      </c>
      <c r="K79" s="307"/>
      <c r="L79" s="212">
        <f t="shared" si="2"/>
        <v>0</v>
      </c>
    </row>
    <row r="80" spans="1:12" outlineLevel="1" x14ac:dyDescent="0.3">
      <c r="A80" s="348"/>
      <c r="B80" s="211" t="s">
        <v>259</v>
      </c>
      <c r="C80" s="223"/>
      <c r="D80" s="182"/>
      <c r="E80" s="134"/>
      <c r="F80" s="136"/>
      <c r="G80" s="259"/>
      <c r="H80" s="137" t="s">
        <v>766</v>
      </c>
      <c r="I80" s="307"/>
      <c r="J80" s="308">
        <v>0</v>
      </c>
      <c r="K80" s="307"/>
      <c r="L80" s="212">
        <f t="shared" si="2"/>
        <v>0</v>
      </c>
    </row>
    <row r="81" spans="1:12" outlineLevel="1" x14ac:dyDescent="0.3">
      <c r="A81" s="348"/>
      <c r="B81" s="211" t="s">
        <v>260</v>
      </c>
      <c r="C81" s="223"/>
      <c r="D81" s="182"/>
      <c r="E81" s="134" t="s">
        <v>60</v>
      </c>
      <c r="F81" s="136"/>
      <c r="G81" s="259"/>
      <c r="H81" s="137" t="s">
        <v>766</v>
      </c>
      <c r="I81" s="307"/>
      <c r="J81" s="308">
        <v>0</v>
      </c>
      <c r="K81" s="307"/>
      <c r="L81" s="212">
        <f t="shared" si="2"/>
        <v>0</v>
      </c>
    </row>
    <row r="82" spans="1:12" outlineLevel="1" x14ac:dyDescent="0.3">
      <c r="A82" s="348"/>
      <c r="B82" s="211" t="s">
        <v>261</v>
      </c>
      <c r="C82" s="223"/>
      <c r="D82" s="182"/>
      <c r="E82" s="134" t="s">
        <v>60</v>
      </c>
      <c r="F82" s="136"/>
      <c r="G82" s="259"/>
      <c r="H82" s="137" t="s">
        <v>766</v>
      </c>
      <c r="I82" s="307"/>
      <c r="J82" s="308">
        <v>0</v>
      </c>
      <c r="K82" s="307"/>
      <c r="L82" s="212">
        <f t="shared" si="2"/>
        <v>0</v>
      </c>
    </row>
    <row r="83" spans="1:12" outlineLevel="1" x14ac:dyDescent="0.3">
      <c r="A83" s="348"/>
      <c r="B83" s="211" t="s">
        <v>263</v>
      </c>
      <c r="C83" s="223"/>
      <c r="D83" s="182"/>
      <c r="E83" s="134" t="s">
        <v>60</v>
      </c>
      <c r="F83" s="136"/>
      <c r="G83" s="259"/>
      <c r="H83" s="137" t="s">
        <v>766</v>
      </c>
      <c r="I83" s="307"/>
      <c r="J83" s="308">
        <v>0</v>
      </c>
      <c r="K83" s="307"/>
      <c r="L83" s="212">
        <f t="shared" si="2"/>
        <v>0</v>
      </c>
    </row>
    <row r="84" spans="1:12" ht="17.399999999999999" customHeight="1" x14ac:dyDescent="0.25">
      <c r="A84" s="348"/>
      <c r="B84" s="213"/>
      <c r="C84" s="224"/>
      <c r="D84" s="183"/>
      <c r="E84" s="111"/>
      <c r="F84" s="140"/>
      <c r="G84" s="141"/>
      <c r="H84" s="142"/>
      <c r="I84" s="143"/>
      <c r="J84" s="144"/>
      <c r="K84" s="145">
        <f>SUM(K74:K83)</f>
        <v>0</v>
      </c>
      <c r="L84" s="214">
        <f>SUM(L74:L83)</f>
        <v>0</v>
      </c>
    </row>
    <row r="85" spans="1:12" ht="13.8" x14ac:dyDescent="0.25">
      <c r="A85" s="376" t="s">
        <v>504</v>
      </c>
      <c r="B85" s="240" t="s">
        <v>266</v>
      </c>
      <c r="C85" s="241" t="s">
        <v>294</v>
      </c>
      <c r="D85" s="181"/>
      <c r="E85" s="112"/>
      <c r="F85" s="146"/>
      <c r="G85" s="130"/>
      <c r="H85" s="131"/>
      <c r="I85" s="132"/>
      <c r="J85" s="133"/>
      <c r="K85" s="147"/>
      <c r="L85" s="215"/>
    </row>
    <row r="86" spans="1:12" ht="25.95" customHeight="1" outlineLevel="1" x14ac:dyDescent="0.3">
      <c r="A86" s="288" t="s">
        <v>511</v>
      </c>
      <c r="B86" s="211" t="s">
        <v>267</v>
      </c>
      <c r="C86" s="223" t="s">
        <v>767</v>
      </c>
      <c r="D86" s="286" t="s">
        <v>756</v>
      </c>
      <c r="E86" s="288"/>
      <c r="F86" s="287"/>
      <c r="G86" s="262">
        <v>19</v>
      </c>
      <c r="H86" s="137" t="s">
        <v>766</v>
      </c>
      <c r="I86" s="307"/>
      <c r="J86" s="308">
        <v>0</v>
      </c>
      <c r="K86" s="307"/>
      <c r="L86" s="212">
        <f t="shared" ref="L86:L94" si="3">G86*J86</f>
        <v>0</v>
      </c>
    </row>
    <row r="87" spans="1:12" ht="25.2" customHeight="1" outlineLevel="1" x14ac:dyDescent="0.3">
      <c r="A87" s="288" t="s">
        <v>512</v>
      </c>
      <c r="B87" s="211" t="s">
        <v>268</v>
      </c>
      <c r="C87" s="223" t="s">
        <v>768</v>
      </c>
      <c r="D87" s="286" t="s">
        <v>756</v>
      </c>
      <c r="E87" s="288"/>
      <c r="F87" s="287"/>
      <c r="G87" s="262">
        <v>46</v>
      </c>
      <c r="H87" s="137" t="s">
        <v>766</v>
      </c>
      <c r="I87" s="307"/>
      <c r="J87" s="308">
        <v>0</v>
      </c>
      <c r="K87" s="307"/>
      <c r="L87" s="212">
        <f t="shared" si="3"/>
        <v>0</v>
      </c>
    </row>
    <row r="88" spans="1:12" ht="22.2" customHeight="1" outlineLevel="1" x14ac:dyDescent="0.3">
      <c r="A88" s="288" t="s">
        <v>513</v>
      </c>
      <c r="B88" s="211" t="s">
        <v>270</v>
      </c>
      <c r="C88" s="223" t="s">
        <v>769</v>
      </c>
      <c r="D88" s="286" t="s">
        <v>756</v>
      </c>
      <c r="E88" s="288"/>
      <c r="F88" s="287"/>
      <c r="G88" s="262">
        <v>12</v>
      </c>
      <c r="H88" s="137" t="s">
        <v>766</v>
      </c>
      <c r="I88" s="307"/>
      <c r="J88" s="308">
        <v>0</v>
      </c>
      <c r="K88" s="307"/>
      <c r="L88" s="212">
        <f t="shared" si="3"/>
        <v>0</v>
      </c>
    </row>
    <row r="89" spans="1:12" ht="16.95" customHeight="1" outlineLevel="1" x14ac:dyDescent="0.3">
      <c r="A89" s="288" t="s">
        <v>514</v>
      </c>
      <c r="B89" s="211" t="s">
        <v>271</v>
      </c>
      <c r="C89" s="223" t="s">
        <v>770</v>
      </c>
      <c r="D89" s="286" t="s">
        <v>756</v>
      </c>
      <c r="E89" s="288"/>
      <c r="F89" s="287"/>
      <c r="G89" s="262">
        <v>0</v>
      </c>
      <c r="H89" s="137" t="s">
        <v>766</v>
      </c>
      <c r="I89" s="307"/>
      <c r="J89" s="308">
        <v>0</v>
      </c>
      <c r="K89" s="307"/>
      <c r="L89" s="212">
        <f t="shared" si="3"/>
        <v>0</v>
      </c>
    </row>
    <row r="90" spans="1:12" ht="15" customHeight="1" outlineLevel="1" x14ac:dyDescent="0.3">
      <c r="A90" s="288" t="s">
        <v>515</v>
      </c>
      <c r="B90" s="211" t="s">
        <v>273</v>
      </c>
      <c r="C90" s="223" t="s">
        <v>771</v>
      </c>
      <c r="D90" s="286" t="s">
        <v>756</v>
      </c>
      <c r="E90" s="288"/>
      <c r="F90" s="287"/>
      <c r="G90" s="262">
        <v>0</v>
      </c>
      <c r="H90" s="137" t="s">
        <v>766</v>
      </c>
      <c r="I90" s="307"/>
      <c r="J90" s="308">
        <v>0</v>
      </c>
      <c r="K90" s="307"/>
      <c r="L90" s="212">
        <f t="shared" si="3"/>
        <v>0</v>
      </c>
    </row>
    <row r="91" spans="1:12" outlineLevel="1" x14ac:dyDescent="0.3">
      <c r="A91" s="348"/>
      <c r="B91" s="211" t="s">
        <v>274</v>
      </c>
      <c r="C91" s="134" t="s">
        <v>60</v>
      </c>
      <c r="D91" s="182"/>
      <c r="E91" s="134" t="s">
        <v>60</v>
      </c>
      <c r="F91" s="136"/>
      <c r="G91" s="219"/>
      <c r="H91" s="137" t="s">
        <v>766</v>
      </c>
      <c r="I91" s="307"/>
      <c r="J91" s="308">
        <v>0</v>
      </c>
      <c r="K91" s="307"/>
      <c r="L91" s="212">
        <f t="shared" si="3"/>
        <v>0</v>
      </c>
    </row>
    <row r="92" spans="1:12" outlineLevel="1" x14ac:dyDescent="0.3">
      <c r="A92" s="348"/>
      <c r="B92" s="211" t="s">
        <v>276</v>
      </c>
      <c r="C92" s="134" t="s">
        <v>60</v>
      </c>
      <c r="D92" s="182"/>
      <c r="E92" s="134" t="s">
        <v>60</v>
      </c>
      <c r="F92" s="136"/>
      <c r="G92" s="219"/>
      <c r="H92" s="137" t="s">
        <v>766</v>
      </c>
      <c r="I92" s="307"/>
      <c r="J92" s="308">
        <v>0</v>
      </c>
      <c r="K92" s="307"/>
      <c r="L92" s="212">
        <f t="shared" si="3"/>
        <v>0</v>
      </c>
    </row>
    <row r="93" spans="1:12" outlineLevel="1" x14ac:dyDescent="0.3">
      <c r="A93" s="348"/>
      <c r="B93" s="211" t="s">
        <v>277</v>
      </c>
      <c r="C93" s="134" t="s">
        <v>60</v>
      </c>
      <c r="D93" s="182"/>
      <c r="E93" s="134" t="s">
        <v>60</v>
      </c>
      <c r="F93" s="136"/>
      <c r="G93" s="219"/>
      <c r="H93" s="137" t="s">
        <v>766</v>
      </c>
      <c r="I93" s="307"/>
      <c r="J93" s="308">
        <v>0</v>
      </c>
      <c r="K93" s="307"/>
      <c r="L93" s="212">
        <f t="shared" si="3"/>
        <v>0</v>
      </c>
    </row>
    <row r="94" spans="1:12" outlineLevel="1" x14ac:dyDescent="0.3">
      <c r="A94" s="348"/>
      <c r="B94" s="211" t="s">
        <v>278</v>
      </c>
      <c r="C94" s="134" t="s">
        <v>60</v>
      </c>
      <c r="D94" s="182"/>
      <c r="E94" s="134" t="s">
        <v>60</v>
      </c>
      <c r="F94" s="136"/>
      <c r="G94" s="259"/>
      <c r="H94" s="137" t="s">
        <v>766</v>
      </c>
      <c r="I94" s="307"/>
      <c r="J94" s="308">
        <v>0</v>
      </c>
      <c r="K94" s="307"/>
      <c r="L94" s="212">
        <f t="shared" si="3"/>
        <v>0</v>
      </c>
    </row>
    <row r="95" spans="1:12" outlineLevel="1" x14ac:dyDescent="0.3">
      <c r="A95" s="348"/>
      <c r="B95" s="211" t="s">
        <v>279</v>
      </c>
      <c r="C95" s="135"/>
      <c r="D95" s="182"/>
      <c r="E95" s="148"/>
      <c r="F95" s="136"/>
      <c r="G95" s="149"/>
      <c r="H95" s="137" t="s">
        <v>766</v>
      </c>
      <c r="I95" s="307"/>
      <c r="J95" s="308">
        <v>0</v>
      </c>
      <c r="K95" s="307"/>
      <c r="L95" s="212">
        <f>G95*J95</f>
        <v>0</v>
      </c>
    </row>
    <row r="96" spans="1:12" ht="13.8" x14ac:dyDescent="0.25">
      <c r="A96" s="348"/>
      <c r="B96" s="213"/>
      <c r="C96" s="139"/>
      <c r="D96" s="183"/>
      <c r="E96" s="111"/>
      <c r="F96" s="140"/>
      <c r="G96" s="141"/>
      <c r="H96" s="142"/>
      <c r="I96" s="143"/>
      <c r="J96" s="144"/>
      <c r="K96" s="145">
        <f>SUM(K86:K95)</f>
        <v>0</v>
      </c>
      <c r="L96" s="214">
        <f>SUM(L86:L95)</f>
        <v>0</v>
      </c>
    </row>
    <row r="97" spans="1:14" ht="13.8" x14ac:dyDescent="0.25">
      <c r="A97" s="376" t="s">
        <v>504</v>
      </c>
      <c r="B97" s="240" t="s">
        <v>281</v>
      </c>
      <c r="C97" s="241" t="s">
        <v>305</v>
      </c>
      <c r="D97" s="181"/>
      <c r="E97" s="112"/>
      <c r="F97" s="146"/>
      <c r="G97" s="130"/>
      <c r="H97" s="131"/>
      <c r="I97" s="132"/>
      <c r="J97" s="133"/>
      <c r="K97" s="147"/>
      <c r="L97" s="215"/>
    </row>
    <row r="98" spans="1:14" ht="19.2" customHeight="1" outlineLevel="1" x14ac:dyDescent="0.3">
      <c r="A98" s="285" t="s">
        <v>128</v>
      </c>
      <c r="B98" s="211" t="s">
        <v>283</v>
      </c>
      <c r="C98" s="284" t="s">
        <v>127</v>
      </c>
      <c r="D98" s="182" t="s">
        <v>756</v>
      </c>
      <c r="E98" s="285"/>
      <c r="F98" s="136"/>
      <c r="G98" s="262">
        <v>10</v>
      </c>
      <c r="H98" s="137" t="s">
        <v>766</v>
      </c>
      <c r="I98" s="307"/>
      <c r="J98" s="308">
        <v>0</v>
      </c>
      <c r="K98" s="307"/>
      <c r="L98" s="212">
        <f t="shared" ref="L98:L106" si="4">G98*J98</f>
        <v>0</v>
      </c>
      <c r="N98" s="116" t="s">
        <v>60</v>
      </c>
    </row>
    <row r="99" spans="1:14" ht="27" customHeight="1" outlineLevel="1" x14ac:dyDescent="0.3">
      <c r="A99" s="285" t="s">
        <v>516</v>
      </c>
      <c r="B99" s="211" t="s">
        <v>284</v>
      </c>
      <c r="C99" s="284" t="s">
        <v>778</v>
      </c>
      <c r="D99" s="182" t="s">
        <v>756</v>
      </c>
      <c r="E99" s="285"/>
      <c r="F99" s="136"/>
      <c r="G99" s="262">
        <v>24</v>
      </c>
      <c r="H99" s="137" t="s">
        <v>766</v>
      </c>
      <c r="I99" s="307"/>
      <c r="J99" s="308">
        <v>0</v>
      </c>
      <c r="K99" s="307"/>
      <c r="L99" s="212">
        <f t="shared" si="4"/>
        <v>0</v>
      </c>
    </row>
    <row r="100" spans="1:14" ht="25.2" customHeight="1" outlineLevel="1" x14ac:dyDescent="0.3">
      <c r="A100" s="285" t="s">
        <v>517</v>
      </c>
      <c r="B100" s="211" t="s">
        <v>285</v>
      </c>
      <c r="C100" s="284" t="s">
        <v>779</v>
      </c>
      <c r="D100" s="182" t="s">
        <v>756</v>
      </c>
      <c r="E100" s="285"/>
      <c r="F100" s="136"/>
      <c r="G100" s="262">
        <v>0</v>
      </c>
      <c r="H100" s="137" t="s">
        <v>766</v>
      </c>
      <c r="I100" s="307"/>
      <c r="J100" s="308">
        <v>0</v>
      </c>
      <c r="K100" s="307"/>
      <c r="L100" s="212">
        <f t="shared" si="4"/>
        <v>0</v>
      </c>
      <c r="N100" s="116" t="s">
        <v>60</v>
      </c>
    </row>
    <row r="101" spans="1:14" ht="18" customHeight="1" outlineLevel="1" x14ac:dyDescent="0.3">
      <c r="A101" s="285" t="s">
        <v>457</v>
      </c>
      <c r="B101" s="211" t="s">
        <v>286</v>
      </c>
      <c r="C101" s="284" t="s">
        <v>780</v>
      </c>
      <c r="D101" s="182" t="s">
        <v>756</v>
      </c>
      <c r="E101" s="285"/>
      <c r="F101" s="136"/>
      <c r="G101" s="262">
        <v>0</v>
      </c>
      <c r="H101" s="137" t="s">
        <v>766</v>
      </c>
      <c r="I101" s="307"/>
      <c r="J101" s="308">
        <v>0</v>
      </c>
      <c r="K101" s="307"/>
      <c r="L101" s="212">
        <f t="shared" si="4"/>
        <v>0</v>
      </c>
      <c r="N101" s="116" t="s">
        <v>60</v>
      </c>
    </row>
    <row r="102" spans="1:14" ht="18" customHeight="1" outlineLevel="1" x14ac:dyDescent="0.3">
      <c r="A102" s="285" t="s">
        <v>458</v>
      </c>
      <c r="B102" s="211" t="s">
        <v>287</v>
      </c>
      <c r="C102" s="284" t="s">
        <v>781</v>
      </c>
      <c r="D102" s="182" t="s">
        <v>756</v>
      </c>
      <c r="E102" s="285"/>
      <c r="F102" s="136"/>
      <c r="G102" s="262">
        <v>4</v>
      </c>
      <c r="H102" s="137" t="s">
        <v>766</v>
      </c>
      <c r="I102" s="307"/>
      <c r="J102" s="308">
        <v>0</v>
      </c>
      <c r="K102" s="307"/>
      <c r="L102" s="212">
        <f t="shared" si="4"/>
        <v>0</v>
      </c>
      <c r="N102" s="116" t="s">
        <v>60</v>
      </c>
    </row>
    <row r="103" spans="1:14" ht="19.95" customHeight="1" outlineLevel="1" x14ac:dyDescent="0.3">
      <c r="A103" s="285" t="s">
        <v>455</v>
      </c>
      <c r="B103" s="211" t="s">
        <v>288</v>
      </c>
      <c r="C103" s="284" t="s">
        <v>782</v>
      </c>
      <c r="D103" s="182" t="s">
        <v>756</v>
      </c>
      <c r="E103" s="285"/>
      <c r="F103" s="136"/>
      <c r="G103" s="262">
        <v>18</v>
      </c>
      <c r="H103" s="137" t="s">
        <v>766</v>
      </c>
      <c r="I103" s="307"/>
      <c r="J103" s="308">
        <v>0</v>
      </c>
      <c r="K103" s="307"/>
      <c r="L103" s="212">
        <f t="shared" si="4"/>
        <v>0</v>
      </c>
      <c r="N103" s="116" t="s">
        <v>60</v>
      </c>
    </row>
    <row r="104" spans="1:14" ht="25.2" customHeight="1" outlineLevel="1" x14ac:dyDescent="0.3">
      <c r="A104" s="285" t="s">
        <v>456</v>
      </c>
      <c r="B104" s="211" t="s">
        <v>289</v>
      </c>
      <c r="C104" s="284" t="s">
        <v>783</v>
      </c>
      <c r="D104" s="182" t="s">
        <v>756</v>
      </c>
      <c r="E104" s="285"/>
      <c r="F104" s="136"/>
      <c r="G104" s="262"/>
      <c r="H104" s="137" t="s">
        <v>766</v>
      </c>
      <c r="I104" s="307"/>
      <c r="J104" s="308">
        <v>0</v>
      </c>
      <c r="K104" s="307"/>
      <c r="L104" s="212">
        <f t="shared" si="4"/>
        <v>0</v>
      </c>
      <c r="N104" s="116" t="s">
        <v>60</v>
      </c>
    </row>
    <row r="105" spans="1:14" outlineLevel="1" x14ac:dyDescent="0.3">
      <c r="A105" s="134"/>
      <c r="B105" s="211" t="s">
        <v>290</v>
      </c>
      <c r="C105" s="134"/>
      <c r="D105" s="182"/>
      <c r="E105" s="134"/>
      <c r="F105" s="134"/>
      <c r="G105" s="134"/>
      <c r="H105" s="137" t="s">
        <v>766</v>
      </c>
      <c r="I105" s="307"/>
      <c r="J105" s="308">
        <v>0</v>
      </c>
      <c r="K105" s="307"/>
      <c r="L105" s="212">
        <f t="shared" si="4"/>
        <v>0</v>
      </c>
      <c r="N105" s="116" t="s">
        <v>60</v>
      </c>
    </row>
    <row r="106" spans="1:14" outlineLevel="1" x14ac:dyDescent="0.3">
      <c r="A106" s="134"/>
      <c r="B106" s="211" t="s">
        <v>291</v>
      </c>
      <c r="C106" s="233" t="s">
        <v>133</v>
      </c>
      <c r="D106" s="182"/>
      <c r="E106" s="134"/>
      <c r="F106" s="136"/>
      <c r="G106" s="219"/>
      <c r="H106" s="137" t="s">
        <v>766</v>
      </c>
      <c r="I106" s="307"/>
      <c r="J106" s="308">
        <v>0</v>
      </c>
      <c r="K106" s="307"/>
      <c r="L106" s="212">
        <f t="shared" si="4"/>
        <v>0</v>
      </c>
      <c r="N106" s="116" t="s">
        <v>60</v>
      </c>
    </row>
    <row r="107" spans="1:14" ht="25.95" customHeight="1" outlineLevel="1" x14ac:dyDescent="0.3">
      <c r="A107" s="289" t="s">
        <v>602</v>
      </c>
      <c r="B107" s="211" t="s">
        <v>292</v>
      </c>
      <c r="C107" s="232" t="s">
        <v>603</v>
      </c>
      <c r="D107" s="286" t="s">
        <v>756</v>
      </c>
      <c r="E107" s="289"/>
      <c r="F107" s="287"/>
      <c r="G107" s="262">
        <v>20</v>
      </c>
      <c r="H107" s="137" t="s">
        <v>766</v>
      </c>
      <c r="I107" s="307"/>
      <c r="J107" s="308">
        <v>0</v>
      </c>
      <c r="K107" s="307"/>
      <c r="L107" s="212">
        <f t="shared" ref="L107:L112" si="5">G107*J107</f>
        <v>0</v>
      </c>
      <c r="N107" s="116" t="s">
        <v>60</v>
      </c>
    </row>
    <row r="108" spans="1:14" ht="19.2" customHeight="1" outlineLevel="1" x14ac:dyDescent="0.3">
      <c r="A108" s="288" t="s">
        <v>519</v>
      </c>
      <c r="B108" s="211" t="s">
        <v>459</v>
      </c>
      <c r="C108" s="232" t="s">
        <v>518</v>
      </c>
      <c r="D108" s="286" t="s">
        <v>756</v>
      </c>
      <c r="E108" s="288"/>
      <c r="F108" s="287"/>
      <c r="G108" s="262"/>
      <c r="H108" s="137" t="s">
        <v>766</v>
      </c>
      <c r="I108" s="307"/>
      <c r="J108" s="308">
        <v>0</v>
      </c>
      <c r="K108" s="307"/>
      <c r="L108" s="212">
        <f t="shared" si="5"/>
        <v>0</v>
      </c>
      <c r="N108" s="116" t="s">
        <v>60</v>
      </c>
    </row>
    <row r="109" spans="1:14" ht="19.2" customHeight="1" outlineLevel="1" x14ac:dyDescent="0.3">
      <c r="A109" s="288" t="s">
        <v>520</v>
      </c>
      <c r="B109" s="211" t="s">
        <v>460</v>
      </c>
      <c r="C109" s="177" t="s">
        <v>441</v>
      </c>
      <c r="D109" s="286" t="s">
        <v>756</v>
      </c>
      <c r="E109" s="288"/>
      <c r="F109" s="287"/>
      <c r="G109" s="262">
        <v>7</v>
      </c>
      <c r="H109" s="137" t="s">
        <v>766</v>
      </c>
      <c r="I109" s="307"/>
      <c r="J109" s="308">
        <v>0</v>
      </c>
      <c r="K109" s="307"/>
      <c r="L109" s="212">
        <f t="shared" si="5"/>
        <v>0</v>
      </c>
      <c r="N109" s="116" t="s">
        <v>60</v>
      </c>
    </row>
    <row r="110" spans="1:14" ht="21" customHeight="1" outlineLevel="1" x14ac:dyDescent="0.3">
      <c r="A110" s="288" t="s">
        <v>521</v>
      </c>
      <c r="B110" s="211" t="s">
        <v>461</v>
      </c>
      <c r="C110" s="177" t="s">
        <v>442</v>
      </c>
      <c r="D110" s="286" t="s">
        <v>756</v>
      </c>
      <c r="E110" s="288"/>
      <c r="F110" s="287"/>
      <c r="G110" s="262">
        <v>3</v>
      </c>
      <c r="H110" s="137" t="s">
        <v>766</v>
      </c>
      <c r="I110" s="307"/>
      <c r="J110" s="308">
        <v>0</v>
      </c>
      <c r="K110" s="307"/>
      <c r="L110" s="212">
        <f t="shared" si="5"/>
        <v>0</v>
      </c>
      <c r="N110" s="116" t="s">
        <v>60</v>
      </c>
    </row>
    <row r="111" spans="1:14" ht="16.95" customHeight="1" outlineLevel="1" x14ac:dyDescent="0.3">
      <c r="A111" s="288" t="s">
        <v>522</v>
      </c>
      <c r="B111" s="211" t="s">
        <v>462</v>
      </c>
      <c r="C111" s="177" t="s">
        <v>443</v>
      </c>
      <c r="D111" s="286" t="s">
        <v>756</v>
      </c>
      <c r="E111" s="288"/>
      <c r="F111" s="287"/>
      <c r="G111" s="262">
        <v>13</v>
      </c>
      <c r="H111" s="137" t="s">
        <v>766</v>
      </c>
      <c r="I111" s="307"/>
      <c r="J111" s="308">
        <v>0</v>
      </c>
      <c r="K111" s="307"/>
      <c r="L111" s="212">
        <f t="shared" si="5"/>
        <v>0</v>
      </c>
      <c r="N111" s="116" t="s">
        <v>60</v>
      </c>
    </row>
    <row r="112" spans="1:14" ht="21" customHeight="1" outlineLevel="1" x14ac:dyDescent="0.3">
      <c r="A112" s="288" t="s">
        <v>523</v>
      </c>
      <c r="B112" s="211" t="s">
        <v>463</v>
      </c>
      <c r="C112" s="177" t="s">
        <v>444</v>
      </c>
      <c r="D112" s="286" t="s">
        <v>756</v>
      </c>
      <c r="E112" s="288"/>
      <c r="F112" s="287"/>
      <c r="G112" s="262">
        <v>4</v>
      </c>
      <c r="H112" s="137" t="s">
        <v>766</v>
      </c>
      <c r="I112" s="307"/>
      <c r="J112" s="308">
        <v>0</v>
      </c>
      <c r="K112" s="307"/>
      <c r="L112" s="212">
        <f t="shared" si="5"/>
        <v>0</v>
      </c>
      <c r="N112" s="116" t="s">
        <v>60</v>
      </c>
    </row>
    <row r="113" spans="1:14" ht="16.95" customHeight="1" outlineLevel="1" x14ac:dyDescent="0.3">
      <c r="A113" s="288" t="s">
        <v>524</v>
      </c>
      <c r="B113" s="211" t="s">
        <v>464</v>
      </c>
      <c r="C113" s="177" t="s">
        <v>445</v>
      </c>
      <c r="D113" s="286" t="s">
        <v>756</v>
      </c>
      <c r="E113" s="288"/>
      <c r="F113" s="287"/>
      <c r="G113" s="262">
        <v>4</v>
      </c>
      <c r="H113" s="137" t="s">
        <v>766</v>
      </c>
      <c r="I113" s="307"/>
      <c r="J113" s="308">
        <v>0</v>
      </c>
      <c r="K113" s="307"/>
      <c r="L113" s="212">
        <f>G113*J113</f>
        <v>0</v>
      </c>
      <c r="N113" s="116" t="s">
        <v>60</v>
      </c>
    </row>
    <row r="114" spans="1:14" ht="13.95" customHeight="1" outlineLevel="1" x14ac:dyDescent="0.3">
      <c r="A114" s="288" t="s">
        <v>525</v>
      </c>
      <c r="B114" s="211" t="s">
        <v>465</v>
      </c>
      <c r="C114" s="177" t="s">
        <v>446</v>
      </c>
      <c r="D114" s="286" t="s">
        <v>756</v>
      </c>
      <c r="E114" s="288"/>
      <c r="F114" s="287"/>
      <c r="G114" s="262">
        <v>3</v>
      </c>
      <c r="H114" s="137" t="s">
        <v>766</v>
      </c>
      <c r="I114" s="307"/>
      <c r="J114" s="308">
        <v>0</v>
      </c>
      <c r="K114" s="307"/>
      <c r="L114" s="212">
        <f>G114*J114</f>
        <v>0</v>
      </c>
      <c r="N114" s="116" t="s">
        <v>60</v>
      </c>
    </row>
    <row r="115" spans="1:14" outlineLevel="1" x14ac:dyDescent="0.3">
      <c r="A115" s="348"/>
      <c r="B115" s="211" t="s">
        <v>466</v>
      </c>
      <c r="C115" s="134"/>
      <c r="D115" s="182"/>
      <c r="E115" s="134"/>
      <c r="F115" s="136"/>
      <c r="G115" s="219"/>
      <c r="H115" s="137" t="s">
        <v>766</v>
      </c>
      <c r="I115" s="307"/>
      <c r="J115" s="308">
        <v>0</v>
      </c>
      <c r="K115" s="307"/>
      <c r="L115" s="212">
        <f>G115*J115</f>
        <v>0</v>
      </c>
      <c r="N115" s="116" t="s">
        <v>60</v>
      </c>
    </row>
    <row r="116" spans="1:14" outlineLevel="1" x14ac:dyDescent="0.3">
      <c r="A116" s="348"/>
      <c r="B116" s="211" t="s">
        <v>467</v>
      </c>
      <c r="C116" s="134"/>
      <c r="D116" s="182"/>
      <c r="E116" s="134"/>
      <c r="F116" s="136"/>
      <c r="G116" s="219"/>
      <c r="H116" s="137" t="s">
        <v>766</v>
      </c>
      <c r="I116" s="307"/>
      <c r="J116" s="308">
        <v>0</v>
      </c>
      <c r="K116" s="307"/>
      <c r="L116" s="212">
        <f>G116*J116</f>
        <v>0</v>
      </c>
      <c r="N116" s="116" t="s">
        <v>60</v>
      </c>
    </row>
    <row r="117" spans="1:14" outlineLevel="1" x14ac:dyDescent="0.3">
      <c r="A117" s="348"/>
      <c r="B117" s="211" t="s">
        <v>468</v>
      </c>
      <c r="C117" s="134"/>
      <c r="D117" s="182"/>
      <c r="E117" s="134"/>
      <c r="F117" s="136"/>
      <c r="G117" s="219"/>
      <c r="H117" s="137" t="s">
        <v>766</v>
      </c>
      <c r="I117" s="307"/>
      <c r="J117" s="308">
        <v>0</v>
      </c>
      <c r="K117" s="307"/>
      <c r="L117" s="212">
        <f>G117*J117</f>
        <v>0</v>
      </c>
      <c r="N117" s="116" t="s">
        <v>60</v>
      </c>
    </row>
    <row r="118" spans="1:14" ht="13.8" x14ac:dyDescent="0.25">
      <c r="A118" s="348"/>
      <c r="B118" s="213"/>
      <c r="C118" s="139"/>
      <c r="D118" s="183"/>
      <c r="E118" s="111"/>
      <c r="F118" s="140"/>
      <c r="G118" s="141"/>
      <c r="H118" s="142"/>
      <c r="I118" s="143"/>
      <c r="J118" s="144"/>
      <c r="K118" s="145">
        <f>SUM(K98:K117)</f>
        <v>0</v>
      </c>
      <c r="L118" s="214">
        <f>SUM(L98:L117)</f>
        <v>0</v>
      </c>
    </row>
    <row r="119" spans="1:14" ht="13.8" x14ac:dyDescent="0.25">
      <c r="A119" s="376" t="s">
        <v>504</v>
      </c>
      <c r="B119" s="240" t="s">
        <v>293</v>
      </c>
      <c r="C119" s="241" t="s">
        <v>434</v>
      </c>
      <c r="D119" s="181"/>
      <c r="E119" s="112"/>
      <c r="F119" s="146"/>
      <c r="G119" s="130"/>
      <c r="H119" s="131"/>
      <c r="I119" s="132"/>
      <c r="J119" s="133"/>
      <c r="K119" s="147"/>
      <c r="L119" s="215"/>
    </row>
    <row r="120" spans="1:14" ht="21" customHeight="1" outlineLevel="1" x14ac:dyDescent="0.3">
      <c r="A120" s="288" t="s">
        <v>454</v>
      </c>
      <c r="B120" s="211" t="s">
        <v>295</v>
      </c>
      <c r="C120" s="223" t="s">
        <v>526</v>
      </c>
      <c r="D120" s="286" t="s">
        <v>756</v>
      </c>
      <c r="E120" s="288"/>
      <c r="F120" s="287"/>
      <c r="G120" s="262">
        <v>1</v>
      </c>
      <c r="H120" s="137" t="s">
        <v>766</v>
      </c>
      <c r="I120" s="307"/>
      <c r="J120" s="308">
        <v>0</v>
      </c>
      <c r="K120" s="307"/>
      <c r="L120" s="212">
        <f t="shared" ref="L120:L129" si="6">G120*J120</f>
        <v>0</v>
      </c>
      <c r="N120" s="116" t="s">
        <v>60</v>
      </c>
    </row>
    <row r="121" spans="1:14" ht="19.95" customHeight="1" outlineLevel="1" x14ac:dyDescent="0.3">
      <c r="A121" s="288" t="s">
        <v>453</v>
      </c>
      <c r="B121" s="211" t="s">
        <v>296</v>
      </c>
      <c r="C121" s="223" t="s">
        <v>527</v>
      </c>
      <c r="D121" s="286" t="s">
        <v>756</v>
      </c>
      <c r="E121" s="288"/>
      <c r="F121" s="287"/>
      <c r="G121" s="262">
        <v>0</v>
      </c>
      <c r="H121" s="137" t="s">
        <v>766</v>
      </c>
      <c r="I121" s="307"/>
      <c r="J121" s="308">
        <v>0</v>
      </c>
      <c r="K121" s="307"/>
      <c r="L121" s="212">
        <f t="shared" si="6"/>
        <v>0</v>
      </c>
      <c r="N121" s="116" t="s">
        <v>60</v>
      </c>
    </row>
    <row r="122" spans="1:14" ht="18" customHeight="1" outlineLevel="1" x14ac:dyDescent="0.3">
      <c r="A122" s="288" t="s">
        <v>452</v>
      </c>
      <c r="B122" s="211" t="s">
        <v>297</v>
      </c>
      <c r="C122" s="223" t="s">
        <v>528</v>
      </c>
      <c r="D122" s="286" t="s">
        <v>756</v>
      </c>
      <c r="E122" s="288"/>
      <c r="F122" s="287"/>
      <c r="G122" s="262">
        <v>8</v>
      </c>
      <c r="H122" s="137" t="s">
        <v>766</v>
      </c>
      <c r="I122" s="307"/>
      <c r="J122" s="308">
        <v>0</v>
      </c>
      <c r="K122" s="307"/>
      <c r="L122" s="212">
        <f t="shared" si="6"/>
        <v>0</v>
      </c>
      <c r="N122" s="116" t="s">
        <v>60</v>
      </c>
    </row>
    <row r="123" spans="1:14" ht="19.2" customHeight="1" outlineLevel="1" x14ac:dyDescent="0.3">
      <c r="A123" s="288" t="s">
        <v>143</v>
      </c>
      <c r="B123" s="211" t="s">
        <v>298</v>
      </c>
      <c r="C123" s="223" t="s">
        <v>529</v>
      </c>
      <c r="D123" s="286" t="s">
        <v>756</v>
      </c>
      <c r="E123" s="288"/>
      <c r="F123" s="287"/>
      <c r="G123" s="262">
        <v>121</v>
      </c>
      <c r="H123" s="137" t="s">
        <v>766</v>
      </c>
      <c r="I123" s="307"/>
      <c r="J123" s="308">
        <v>0</v>
      </c>
      <c r="K123" s="307"/>
      <c r="L123" s="212">
        <f t="shared" si="6"/>
        <v>0</v>
      </c>
    </row>
    <row r="124" spans="1:14" ht="19.95" customHeight="1" outlineLevel="1" x14ac:dyDescent="0.3">
      <c r="A124" s="288" t="s">
        <v>533</v>
      </c>
      <c r="B124" s="211" t="s">
        <v>299</v>
      </c>
      <c r="C124" s="223" t="s">
        <v>530</v>
      </c>
      <c r="D124" s="286" t="s">
        <v>756</v>
      </c>
      <c r="E124" s="288"/>
      <c r="F124" s="287"/>
      <c r="G124" s="262">
        <v>15</v>
      </c>
      <c r="H124" s="137" t="s">
        <v>766</v>
      </c>
      <c r="I124" s="307"/>
      <c r="J124" s="308">
        <v>0</v>
      </c>
      <c r="K124" s="307"/>
      <c r="L124" s="212">
        <f t="shared" si="6"/>
        <v>0</v>
      </c>
    </row>
    <row r="125" spans="1:14" ht="16.95" customHeight="1" outlineLevel="1" x14ac:dyDescent="0.3">
      <c r="A125" s="288" t="s">
        <v>534</v>
      </c>
      <c r="B125" s="211" t="s">
        <v>300</v>
      </c>
      <c r="C125" s="223" t="s">
        <v>531</v>
      </c>
      <c r="D125" s="286" t="s">
        <v>756</v>
      </c>
      <c r="E125" s="288"/>
      <c r="F125" s="287"/>
      <c r="G125" s="262">
        <v>36</v>
      </c>
      <c r="H125" s="137" t="s">
        <v>766</v>
      </c>
      <c r="I125" s="307"/>
      <c r="J125" s="308">
        <v>0</v>
      </c>
      <c r="K125" s="307"/>
      <c r="L125" s="212">
        <f t="shared" si="6"/>
        <v>0</v>
      </c>
    </row>
    <row r="126" spans="1:14" ht="22.95" customHeight="1" outlineLevel="1" x14ac:dyDescent="0.3">
      <c r="A126" s="288" t="s">
        <v>535</v>
      </c>
      <c r="B126" s="211" t="s">
        <v>301</v>
      </c>
      <c r="C126" s="223" t="s">
        <v>532</v>
      </c>
      <c r="D126" s="286" t="s">
        <v>756</v>
      </c>
      <c r="E126" s="288"/>
      <c r="F126" s="290"/>
      <c r="G126" s="263">
        <v>7</v>
      </c>
      <c r="H126" s="137" t="s">
        <v>766</v>
      </c>
      <c r="I126" s="307"/>
      <c r="J126" s="308">
        <v>0</v>
      </c>
      <c r="K126" s="307"/>
      <c r="L126" s="212">
        <f t="shared" si="6"/>
        <v>0</v>
      </c>
      <c r="N126" s="116" t="s">
        <v>60</v>
      </c>
    </row>
    <row r="127" spans="1:14" outlineLevel="1" x14ac:dyDescent="0.3">
      <c r="A127" s="348"/>
      <c r="B127" s="211" t="s">
        <v>302</v>
      </c>
      <c r="C127" s="177"/>
      <c r="D127" s="182"/>
      <c r="E127" s="134"/>
      <c r="F127" s="136"/>
      <c r="G127" s="219"/>
      <c r="H127" s="137" t="s">
        <v>766</v>
      </c>
      <c r="I127" s="307"/>
      <c r="J127" s="308">
        <v>0</v>
      </c>
      <c r="K127" s="307"/>
      <c r="L127" s="212">
        <f t="shared" si="6"/>
        <v>0</v>
      </c>
      <c r="N127" s="116" t="s">
        <v>60</v>
      </c>
    </row>
    <row r="128" spans="1:14" outlineLevel="1" x14ac:dyDescent="0.3">
      <c r="A128" s="348"/>
      <c r="B128" s="211" t="s">
        <v>303</v>
      </c>
      <c r="C128" s="116"/>
      <c r="D128" s="182"/>
      <c r="E128" s="134"/>
      <c r="F128" s="136"/>
      <c r="G128" s="219"/>
      <c r="H128" s="137" t="s">
        <v>766</v>
      </c>
      <c r="I128" s="307"/>
      <c r="J128" s="308">
        <v>0</v>
      </c>
      <c r="K128" s="307"/>
      <c r="L128" s="212">
        <f t="shared" si="6"/>
        <v>0</v>
      </c>
      <c r="N128" s="116" t="s">
        <v>60</v>
      </c>
    </row>
    <row r="129" spans="1:14" outlineLevel="1" x14ac:dyDescent="0.3">
      <c r="A129" s="348"/>
      <c r="B129" s="211" t="s">
        <v>422</v>
      </c>
      <c r="C129" s="134" t="s">
        <v>60</v>
      </c>
      <c r="D129" s="182"/>
      <c r="E129" s="134" t="s">
        <v>60</v>
      </c>
      <c r="F129" s="136"/>
      <c r="G129" s="219"/>
      <c r="H129" s="137" t="s">
        <v>766</v>
      </c>
      <c r="I129" s="307"/>
      <c r="J129" s="308">
        <v>0</v>
      </c>
      <c r="K129" s="307"/>
      <c r="L129" s="212">
        <f t="shared" si="6"/>
        <v>0</v>
      </c>
      <c r="N129" s="116" t="s">
        <v>60</v>
      </c>
    </row>
    <row r="130" spans="1:14" ht="13.8" x14ac:dyDescent="0.25">
      <c r="A130" s="348"/>
      <c r="B130" s="213"/>
      <c r="C130" s="139"/>
      <c r="D130" s="183"/>
      <c r="E130" s="111"/>
      <c r="F130" s="140"/>
      <c r="G130" s="141"/>
      <c r="H130" s="142"/>
      <c r="I130" s="143"/>
      <c r="J130" s="144"/>
      <c r="K130" s="145">
        <f>SUM(K120:K129)</f>
        <v>0</v>
      </c>
      <c r="L130" s="214">
        <f>SUM(L120:L129)</f>
        <v>0</v>
      </c>
    </row>
    <row r="131" spans="1:14" ht="13.8" x14ac:dyDescent="0.25">
      <c r="A131" s="376" t="s">
        <v>504</v>
      </c>
      <c r="B131" s="240" t="s">
        <v>304</v>
      </c>
      <c r="C131" s="241" t="s">
        <v>431</v>
      </c>
      <c r="D131" s="181"/>
      <c r="E131" s="112"/>
      <c r="F131" s="146"/>
      <c r="G131" s="130"/>
      <c r="H131" s="131"/>
      <c r="I131" s="132"/>
      <c r="J131" s="133"/>
      <c r="K131" s="147"/>
      <c r="L131" s="215"/>
    </row>
    <row r="132" spans="1:14" ht="22.95" customHeight="1" outlineLevel="1" x14ac:dyDescent="0.3">
      <c r="A132" s="288" t="s">
        <v>547</v>
      </c>
      <c r="B132" s="211" t="s">
        <v>306</v>
      </c>
      <c r="C132" s="223" t="s">
        <v>536</v>
      </c>
      <c r="D132" s="286" t="s">
        <v>756</v>
      </c>
      <c r="E132" s="288"/>
      <c r="F132" s="287"/>
      <c r="G132" s="260">
        <v>628</v>
      </c>
      <c r="H132" s="137" t="s">
        <v>766</v>
      </c>
      <c r="I132" s="307"/>
      <c r="J132" s="308">
        <v>0</v>
      </c>
      <c r="K132" s="307"/>
      <c r="L132" s="212">
        <f t="shared" ref="L132:L151" si="7">G132*J132</f>
        <v>0</v>
      </c>
      <c r="N132" s="116" t="s">
        <v>60</v>
      </c>
    </row>
    <row r="133" spans="1:14" ht="24" customHeight="1" outlineLevel="1" x14ac:dyDescent="0.3">
      <c r="A133" s="288" t="s">
        <v>548</v>
      </c>
      <c r="B133" s="211" t="s">
        <v>307</v>
      </c>
      <c r="C133" s="223" t="s">
        <v>537</v>
      </c>
      <c r="D133" s="286" t="s">
        <v>756</v>
      </c>
      <c r="E133" s="288"/>
      <c r="F133" s="287"/>
      <c r="G133" s="260">
        <v>33</v>
      </c>
      <c r="H133" s="137" t="s">
        <v>766</v>
      </c>
      <c r="I133" s="307"/>
      <c r="J133" s="308">
        <v>0</v>
      </c>
      <c r="K133" s="307"/>
      <c r="L133" s="212">
        <f t="shared" si="7"/>
        <v>0</v>
      </c>
      <c r="N133" s="116" t="s">
        <v>60</v>
      </c>
    </row>
    <row r="134" spans="1:14" ht="19.95" customHeight="1" outlineLevel="1" x14ac:dyDescent="0.3">
      <c r="A134" s="288" t="s">
        <v>549</v>
      </c>
      <c r="B134" s="211" t="s">
        <v>308</v>
      </c>
      <c r="C134" s="223" t="s">
        <v>538</v>
      </c>
      <c r="D134" s="286" t="s">
        <v>756</v>
      </c>
      <c r="E134" s="288"/>
      <c r="F134" s="287"/>
      <c r="G134" s="260">
        <v>0</v>
      </c>
      <c r="H134" s="137" t="s">
        <v>766</v>
      </c>
      <c r="I134" s="307"/>
      <c r="J134" s="308">
        <v>0</v>
      </c>
      <c r="K134" s="307"/>
      <c r="L134" s="212">
        <f t="shared" si="7"/>
        <v>0</v>
      </c>
      <c r="N134" s="116" t="s">
        <v>60</v>
      </c>
    </row>
    <row r="135" spans="1:14" ht="21" customHeight="1" outlineLevel="1" x14ac:dyDescent="0.3">
      <c r="A135" s="288" t="s">
        <v>550</v>
      </c>
      <c r="B135" s="211" t="s">
        <v>309</v>
      </c>
      <c r="C135" s="223" t="s">
        <v>539</v>
      </c>
      <c r="D135" s="286" t="s">
        <v>756</v>
      </c>
      <c r="E135" s="288"/>
      <c r="F135" s="287"/>
      <c r="G135" s="260">
        <v>16</v>
      </c>
      <c r="H135" s="137" t="s">
        <v>766</v>
      </c>
      <c r="I135" s="307"/>
      <c r="J135" s="308">
        <v>0</v>
      </c>
      <c r="K135" s="307"/>
      <c r="L135" s="212">
        <f t="shared" si="7"/>
        <v>0</v>
      </c>
      <c r="N135" s="116" t="s">
        <v>60</v>
      </c>
    </row>
    <row r="136" spans="1:14" ht="21" customHeight="1" outlineLevel="1" x14ac:dyDescent="0.3">
      <c r="A136" s="288" t="s">
        <v>551</v>
      </c>
      <c r="B136" s="211" t="s">
        <v>310</v>
      </c>
      <c r="C136" s="223" t="s">
        <v>540</v>
      </c>
      <c r="D136" s="286" t="s">
        <v>756</v>
      </c>
      <c r="E136" s="288"/>
      <c r="F136" s="287"/>
      <c r="G136" s="260">
        <v>0</v>
      </c>
      <c r="H136" s="137" t="s">
        <v>766</v>
      </c>
      <c r="I136" s="307"/>
      <c r="J136" s="308">
        <v>0</v>
      </c>
      <c r="K136" s="307"/>
      <c r="L136" s="212">
        <f t="shared" si="7"/>
        <v>0</v>
      </c>
      <c r="N136" s="116" t="s">
        <v>60</v>
      </c>
    </row>
    <row r="137" spans="1:14" ht="18" customHeight="1" outlineLevel="1" x14ac:dyDescent="0.3">
      <c r="A137" s="288" t="s">
        <v>552</v>
      </c>
      <c r="B137" s="211" t="s">
        <v>311</v>
      </c>
      <c r="C137" s="223" t="s">
        <v>541</v>
      </c>
      <c r="D137" s="286" t="s">
        <v>756</v>
      </c>
      <c r="E137" s="288"/>
      <c r="F137" s="287"/>
      <c r="G137" s="260">
        <v>47</v>
      </c>
      <c r="H137" s="137" t="s">
        <v>766</v>
      </c>
      <c r="I137" s="307"/>
      <c r="J137" s="308">
        <v>0</v>
      </c>
      <c r="K137" s="307"/>
      <c r="L137" s="212">
        <f t="shared" si="7"/>
        <v>0</v>
      </c>
      <c r="N137" s="116" t="s">
        <v>60</v>
      </c>
    </row>
    <row r="138" spans="1:14" ht="25.2" customHeight="1" outlineLevel="1" x14ac:dyDescent="0.3">
      <c r="A138" s="288" t="s">
        <v>553</v>
      </c>
      <c r="B138" s="211" t="s">
        <v>312</v>
      </c>
      <c r="C138" s="223" t="s">
        <v>542</v>
      </c>
      <c r="D138" s="286" t="s">
        <v>756</v>
      </c>
      <c r="E138" s="288"/>
      <c r="F138" s="287"/>
      <c r="G138" s="260">
        <v>27</v>
      </c>
      <c r="H138" s="137" t="s">
        <v>766</v>
      </c>
      <c r="I138" s="307"/>
      <c r="J138" s="308">
        <v>0</v>
      </c>
      <c r="K138" s="307"/>
      <c r="L138" s="212">
        <f t="shared" si="7"/>
        <v>0</v>
      </c>
      <c r="N138" s="116" t="s">
        <v>60</v>
      </c>
    </row>
    <row r="139" spans="1:14" ht="27" customHeight="1" outlineLevel="1" x14ac:dyDescent="0.3">
      <c r="A139" s="288" t="s">
        <v>554</v>
      </c>
      <c r="B139" s="211" t="s">
        <v>313</v>
      </c>
      <c r="C139" s="223" t="s">
        <v>543</v>
      </c>
      <c r="D139" s="286" t="s">
        <v>756</v>
      </c>
      <c r="E139" s="288"/>
      <c r="F139" s="287"/>
      <c r="G139" s="260">
        <v>40</v>
      </c>
      <c r="H139" s="137" t="s">
        <v>766</v>
      </c>
      <c r="I139" s="307"/>
      <c r="J139" s="308">
        <v>0</v>
      </c>
      <c r="K139" s="307"/>
      <c r="L139" s="212">
        <f t="shared" ref="L139:L148" si="8">G139*J139</f>
        <v>0</v>
      </c>
    </row>
    <row r="140" spans="1:14" ht="22.2" customHeight="1" outlineLevel="1" x14ac:dyDescent="0.3">
      <c r="A140" s="288" t="s">
        <v>555</v>
      </c>
      <c r="B140" s="211" t="s">
        <v>314</v>
      </c>
      <c r="C140" s="223" t="s">
        <v>544</v>
      </c>
      <c r="D140" s="286" t="s">
        <v>756</v>
      </c>
      <c r="E140" s="288"/>
      <c r="F140" s="287"/>
      <c r="G140" s="260">
        <v>10</v>
      </c>
      <c r="H140" s="137" t="s">
        <v>766</v>
      </c>
      <c r="I140" s="307"/>
      <c r="J140" s="308">
        <v>0</v>
      </c>
      <c r="K140" s="307"/>
      <c r="L140" s="212">
        <f t="shared" si="8"/>
        <v>0</v>
      </c>
    </row>
    <row r="141" spans="1:14" ht="24" customHeight="1" outlineLevel="1" x14ac:dyDescent="0.3">
      <c r="A141" s="288" t="s">
        <v>556</v>
      </c>
      <c r="B141" s="211" t="s">
        <v>315</v>
      </c>
      <c r="C141" s="223" t="s">
        <v>545</v>
      </c>
      <c r="D141" s="286" t="s">
        <v>756</v>
      </c>
      <c r="E141" s="288"/>
      <c r="F141" s="287"/>
      <c r="G141" s="260">
        <v>21</v>
      </c>
      <c r="H141" s="137" t="s">
        <v>766</v>
      </c>
      <c r="I141" s="307"/>
      <c r="J141" s="308">
        <v>0</v>
      </c>
      <c r="K141" s="307"/>
      <c r="L141" s="212">
        <f t="shared" si="8"/>
        <v>0</v>
      </c>
    </row>
    <row r="142" spans="1:14" ht="25.2" customHeight="1" outlineLevel="1" x14ac:dyDescent="0.3">
      <c r="A142" s="288" t="s">
        <v>557</v>
      </c>
      <c r="B142" s="211" t="s">
        <v>558</v>
      </c>
      <c r="C142" s="223" t="s">
        <v>546</v>
      </c>
      <c r="D142" s="286" t="s">
        <v>756</v>
      </c>
      <c r="E142" s="288"/>
      <c r="F142" s="287"/>
      <c r="G142" s="260">
        <v>219</v>
      </c>
      <c r="H142" s="137" t="s">
        <v>766</v>
      </c>
      <c r="I142" s="307"/>
      <c r="J142" s="308">
        <v>0</v>
      </c>
      <c r="K142" s="307"/>
      <c r="L142" s="212">
        <f t="shared" si="8"/>
        <v>0</v>
      </c>
    </row>
    <row r="143" spans="1:14" outlineLevel="1" x14ac:dyDescent="0.3">
      <c r="A143" s="134" t="s">
        <v>60</v>
      </c>
      <c r="B143" s="211" t="s">
        <v>559</v>
      </c>
      <c r="C143" s="116"/>
      <c r="D143" s="182"/>
      <c r="E143" s="134"/>
      <c r="F143" s="136"/>
      <c r="G143" s="259"/>
      <c r="H143" s="137" t="s">
        <v>766</v>
      </c>
      <c r="I143" s="307"/>
      <c r="J143" s="308">
        <v>0</v>
      </c>
      <c r="K143" s="307"/>
      <c r="L143" s="212">
        <f>G143*J143</f>
        <v>0</v>
      </c>
      <c r="N143" s="116" t="s">
        <v>60</v>
      </c>
    </row>
    <row r="144" spans="1:14" outlineLevel="1" x14ac:dyDescent="0.3">
      <c r="A144" s="134" t="s">
        <v>60</v>
      </c>
      <c r="B144" s="211" t="s">
        <v>560</v>
      </c>
      <c r="C144" s="134" t="s">
        <v>60</v>
      </c>
      <c r="D144" s="182"/>
      <c r="E144" s="134"/>
      <c r="F144" s="136"/>
      <c r="G144" s="259"/>
      <c r="H144" s="137" t="s">
        <v>766</v>
      </c>
      <c r="I144" s="307"/>
      <c r="J144" s="308">
        <v>0</v>
      </c>
      <c r="K144" s="307"/>
      <c r="L144" s="212">
        <f>G144*J144</f>
        <v>0</v>
      </c>
      <c r="N144" s="116" t="s">
        <v>60</v>
      </c>
    </row>
    <row r="145" spans="1:14" outlineLevel="1" x14ac:dyDescent="0.3">
      <c r="A145" s="134" t="s">
        <v>60</v>
      </c>
      <c r="B145" s="211" t="s">
        <v>561</v>
      </c>
      <c r="C145" s="134" t="s">
        <v>60</v>
      </c>
      <c r="D145" s="182"/>
      <c r="E145" s="134"/>
      <c r="F145" s="136"/>
      <c r="G145" s="259"/>
      <c r="H145" s="137" t="s">
        <v>766</v>
      </c>
      <c r="I145" s="307"/>
      <c r="J145" s="308">
        <v>0</v>
      </c>
      <c r="K145" s="307"/>
      <c r="L145" s="212">
        <f>G145*J145</f>
        <v>0</v>
      </c>
      <c r="N145" s="116" t="s">
        <v>60</v>
      </c>
    </row>
    <row r="146" spans="1:14" outlineLevel="1" x14ac:dyDescent="0.3">
      <c r="A146" s="134" t="s">
        <v>60</v>
      </c>
      <c r="B146" s="211" t="s">
        <v>758</v>
      </c>
      <c r="C146" s="116"/>
      <c r="D146" s="182"/>
      <c r="E146" s="134" t="s">
        <v>60</v>
      </c>
      <c r="F146" s="136"/>
      <c r="G146" s="259"/>
      <c r="H146" s="137" t="s">
        <v>766</v>
      </c>
      <c r="I146" s="307"/>
      <c r="J146" s="308">
        <v>0</v>
      </c>
      <c r="K146" s="307"/>
      <c r="L146" s="212">
        <f t="shared" si="8"/>
        <v>0</v>
      </c>
      <c r="N146" s="116" t="s">
        <v>60</v>
      </c>
    </row>
    <row r="147" spans="1:14" outlineLevel="1" x14ac:dyDescent="0.3">
      <c r="A147" s="134" t="s">
        <v>60</v>
      </c>
      <c r="B147" s="211" t="s">
        <v>759</v>
      </c>
      <c r="C147" s="134" t="s">
        <v>60</v>
      </c>
      <c r="D147" s="182"/>
      <c r="E147" s="134" t="s">
        <v>60</v>
      </c>
      <c r="F147" s="136"/>
      <c r="G147" s="259"/>
      <c r="H147" s="137" t="s">
        <v>766</v>
      </c>
      <c r="I147" s="307"/>
      <c r="J147" s="308">
        <v>0</v>
      </c>
      <c r="K147" s="307"/>
      <c r="L147" s="212">
        <f t="shared" si="8"/>
        <v>0</v>
      </c>
      <c r="N147" s="116" t="s">
        <v>60</v>
      </c>
    </row>
    <row r="148" spans="1:14" outlineLevel="1" x14ac:dyDescent="0.3">
      <c r="A148" s="134" t="s">
        <v>60</v>
      </c>
      <c r="B148" s="211" t="s">
        <v>760</v>
      </c>
      <c r="C148" s="134" t="s">
        <v>60</v>
      </c>
      <c r="D148" s="182"/>
      <c r="E148" s="134" t="s">
        <v>60</v>
      </c>
      <c r="F148" s="136"/>
      <c r="G148" s="259"/>
      <c r="H148" s="137" t="s">
        <v>766</v>
      </c>
      <c r="I148" s="307"/>
      <c r="J148" s="308">
        <v>0</v>
      </c>
      <c r="K148" s="307"/>
      <c r="L148" s="212">
        <f t="shared" si="8"/>
        <v>0</v>
      </c>
      <c r="N148" s="116" t="s">
        <v>60</v>
      </c>
    </row>
    <row r="149" spans="1:14" outlineLevel="1" x14ac:dyDescent="0.3">
      <c r="A149" s="348"/>
      <c r="B149" s="211" t="s">
        <v>761</v>
      </c>
      <c r="C149" s="116"/>
      <c r="D149" s="182"/>
      <c r="E149" s="134" t="s">
        <v>60</v>
      </c>
      <c r="F149" s="136"/>
      <c r="G149" s="259"/>
      <c r="H149" s="137" t="s">
        <v>766</v>
      </c>
      <c r="I149" s="307"/>
      <c r="J149" s="308">
        <v>0</v>
      </c>
      <c r="K149" s="307"/>
      <c r="L149" s="212">
        <f t="shared" si="7"/>
        <v>0</v>
      </c>
      <c r="N149" s="116" t="s">
        <v>60</v>
      </c>
    </row>
    <row r="150" spans="1:14" outlineLevel="1" x14ac:dyDescent="0.3">
      <c r="A150" s="348"/>
      <c r="B150" s="211" t="s">
        <v>762</v>
      </c>
      <c r="C150" s="134" t="s">
        <v>60</v>
      </c>
      <c r="D150" s="182"/>
      <c r="E150" s="134" t="s">
        <v>60</v>
      </c>
      <c r="F150" s="136"/>
      <c r="G150" s="259"/>
      <c r="H150" s="137" t="s">
        <v>766</v>
      </c>
      <c r="I150" s="307"/>
      <c r="J150" s="308">
        <v>0</v>
      </c>
      <c r="K150" s="307"/>
      <c r="L150" s="212">
        <f t="shared" si="7"/>
        <v>0</v>
      </c>
      <c r="N150" s="116" t="s">
        <v>60</v>
      </c>
    </row>
    <row r="151" spans="1:14" outlineLevel="1" x14ac:dyDescent="0.3">
      <c r="A151" s="348"/>
      <c r="B151" s="211" t="s">
        <v>763</v>
      </c>
      <c r="C151" s="134" t="s">
        <v>60</v>
      </c>
      <c r="D151" s="182"/>
      <c r="E151" s="134" t="s">
        <v>60</v>
      </c>
      <c r="F151" s="136"/>
      <c r="G151" s="259"/>
      <c r="H151" s="137" t="s">
        <v>766</v>
      </c>
      <c r="I151" s="307"/>
      <c r="J151" s="308">
        <v>0</v>
      </c>
      <c r="K151" s="307"/>
      <c r="L151" s="212">
        <f t="shared" si="7"/>
        <v>0</v>
      </c>
      <c r="N151" s="116" t="s">
        <v>60</v>
      </c>
    </row>
    <row r="152" spans="1:14" ht="13.8" x14ac:dyDescent="0.25">
      <c r="A152" s="348"/>
      <c r="B152" s="213"/>
      <c r="C152" s="139"/>
      <c r="D152" s="183"/>
      <c r="E152" s="111"/>
      <c r="F152" s="140"/>
      <c r="G152" s="141"/>
      <c r="H152" s="142"/>
      <c r="I152" s="143"/>
      <c r="J152" s="144"/>
      <c r="K152" s="145">
        <f>SUM(K132:K151)</f>
        <v>0</v>
      </c>
      <c r="L152" s="214">
        <f>SUM(L132:L151)</f>
        <v>0</v>
      </c>
    </row>
    <row r="153" spans="1:14" ht="13.8" x14ac:dyDescent="0.25">
      <c r="A153" s="348"/>
      <c r="B153" s="240" t="s">
        <v>316</v>
      </c>
      <c r="C153" s="311" t="s">
        <v>861</v>
      </c>
      <c r="D153" s="242"/>
      <c r="E153" s="243"/>
      <c r="F153" s="244"/>
      <c r="G153" s="245"/>
      <c r="H153" s="246"/>
      <c r="I153" s="247"/>
      <c r="J153" s="248"/>
      <c r="K153" s="249"/>
      <c r="L153" s="250"/>
    </row>
    <row r="154" spans="1:14" ht="28.95" customHeight="1" outlineLevel="1" x14ac:dyDescent="0.3">
      <c r="A154" s="374" t="s">
        <v>881</v>
      </c>
      <c r="B154" s="372" t="s">
        <v>317</v>
      </c>
      <c r="C154" s="225" t="s">
        <v>604</v>
      </c>
      <c r="D154" s="182" t="s">
        <v>755</v>
      </c>
      <c r="E154" s="134"/>
      <c r="F154" s="226"/>
      <c r="G154" s="261">
        <v>140</v>
      </c>
      <c r="H154" s="137" t="s">
        <v>766</v>
      </c>
      <c r="I154" s="309">
        <v>0</v>
      </c>
      <c r="J154" s="308">
        <v>0</v>
      </c>
      <c r="K154" s="138">
        <f>G154*I154</f>
        <v>0</v>
      </c>
      <c r="L154" s="212">
        <f>G154*J154</f>
        <v>0</v>
      </c>
    </row>
    <row r="155" spans="1:14" outlineLevel="1" x14ac:dyDescent="0.3">
      <c r="A155" s="374" t="s">
        <v>882</v>
      </c>
      <c r="B155" s="372" t="s">
        <v>318</v>
      </c>
      <c r="C155" s="225" t="s">
        <v>605</v>
      </c>
      <c r="D155" s="184" t="s">
        <v>755</v>
      </c>
      <c r="E155" s="134"/>
      <c r="F155" s="226"/>
      <c r="G155" s="261">
        <v>135</v>
      </c>
      <c r="H155" s="137" t="s">
        <v>766</v>
      </c>
      <c r="I155" s="309">
        <v>0</v>
      </c>
      <c r="J155" s="308">
        <v>0</v>
      </c>
      <c r="K155" s="138">
        <f t="shared" ref="K155:K209" si="9">G155*I155</f>
        <v>0</v>
      </c>
      <c r="L155" s="212">
        <f t="shared" ref="L155:L209" si="10">G155*J155</f>
        <v>0</v>
      </c>
    </row>
    <row r="156" spans="1:14" outlineLevel="1" x14ac:dyDescent="0.3">
      <c r="A156" s="374" t="s">
        <v>883</v>
      </c>
      <c r="B156" s="372" t="s">
        <v>319</v>
      </c>
      <c r="C156" s="225" t="s">
        <v>606</v>
      </c>
      <c r="D156" s="184" t="s">
        <v>755</v>
      </c>
      <c r="E156" s="134"/>
      <c r="F156" s="226"/>
      <c r="G156" s="261">
        <v>331</v>
      </c>
      <c r="H156" s="137" t="s">
        <v>766</v>
      </c>
      <c r="I156" s="309">
        <v>0</v>
      </c>
      <c r="J156" s="308">
        <v>0</v>
      </c>
      <c r="K156" s="138">
        <f t="shared" si="9"/>
        <v>0</v>
      </c>
      <c r="L156" s="212">
        <f t="shared" si="10"/>
        <v>0</v>
      </c>
    </row>
    <row r="157" spans="1:14" outlineLevel="1" x14ac:dyDescent="0.3">
      <c r="A157" s="374" t="s">
        <v>884</v>
      </c>
      <c r="B157" s="372" t="s">
        <v>320</v>
      </c>
      <c r="C157" s="225" t="s">
        <v>607</v>
      </c>
      <c r="D157" s="184" t="s">
        <v>755</v>
      </c>
      <c r="E157" s="134"/>
      <c r="F157" s="226"/>
      <c r="G157" s="261">
        <v>1144</v>
      </c>
      <c r="H157" s="137" t="s">
        <v>766</v>
      </c>
      <c r="I157" s="309">
        <v>0</v>
      </c>
      <c r="J157" s="308">
        <v>0</v>
      </c>
      <c r="K157" s="138">
        <f t="shared" si="9"/>
        <v>0</v>
      </c>
      <c r="L157" s="212">
        <f t="shared" si="10"/>
        <v>0</v>
      </c>
    </row>
    <row r="158" spans="1:14" outlineLevel="1" x14ac:dyDescent="0.3">
      <c r="A158" s="374" t="s">
        <v>885</v>
      </c>
      <c r="B158" s="372" t="s">
        <v>321</v>
      </c>
      <c r="C158" s="225" t="s">
        <v>608</v>
      </c>
      <c r="D158" s="184" t="s">
        <v>755</v>
      </c>
      <c r="E158" s="134"/>
      <c r="F158" s="226"/>
      <c r="G158" s="261">
        <v>3380</v>
      </c>
      <c r="H158" s="137" t="s">
        <v>766</v>
      </c>
      <c r="I158" s="309">
        <v>0</v>
      </c>
      <c r="J158" s="308">
        <v>0</v>
      </c>
      <c r="K158" s="138">
        <f t="shared" si="9"/>
        <v>0</v>
      </c>
      <c r="L158" s="212">
        <f t="shared" si="10"/>
        <v>0</v>
      </c>
    </row>
    <row r="159" spans="1:14" outlineLevel="1" x14ac:dyDescent="0.3">
      <c r="A159" s="374" t="s">
        <v>886</v>
      </c>
      <c r="B159" s="372" t="s">
        <v>322</v>
      </c>
      <c r="C159" s="225" t="s">
        <v>609</v>
      </c>
      <c r="D159" s="184" t="s">
        <v>755</v>
      </c>
      <c r="E159" s="134"/>
      <c r="F159" s="226"/>
      <c r="G159" s="261">
        <v>129</v>
      </c>
      <c r="H159" s="137" t="s">
        <v>766</v>
      </c>
      <c r="I159" s="309">
        <v>0</v>
      </c>
      <c r="J159" s="308">
        <v>0</v>
      </c>
      <c r="K159" s="138">
        <f t="shared" si="9"/>
        <v>0</v>
      </c>
      <c r="L159" s="212">
        <f t="shared" si="10"/>
        <v>0</v>
      </c>
    </row>
    <row r="160" spans="1:14" outlineLevel="1" x14ac:dyDescent="0.3">
      <c r="A160" s="374" t="s">
        <v>887</v>
      </c>
      <c r="B160" s="372" t="s">
        <v>323</v>
      </c>
      <c r="C160" s="225" t="s">
        <v>610</v>
      </c>
      <c r="D160" s="184" t="s">
        <v>755</v>
      </c>
      <c r="E160" s="134"/>
      <c r="F160" s="226"/>
      <c r="G160" s="261">
        <v>86</v>
      </c>
      <c r="H160" s="137" t="s">
        <v>766</v>
      </c>
      <c r="I160" s="309">
        <v>0</v>
      </c>
      <c r="J160" s="308">
        <v>0</v>
      </c>
      <c r="K160" s="138">
        <f t="shared" si="9"/>
        <v>0</v>
      </c>
      <c r="L160" s="212">
        <f t="shared" si="10"/>
        <v>0</v>
      </c>
    </row>
    <row r="161" spans="1:12" outlineLevel="1" x14ac:dyDescent="0.3">
      <c r="A161" s="374" t="s">
        <v>888</v>
      </c>
      <c r="B161" s="372" t="s">
        <v>324</v>
      </c>
      <c r="C161" s="225" t="s">
        <v>611</v>
      </c>
      <c r="D161" s="184" t="s">
        <v>755</v>
      </c>
      <c r="E161" s="134"/>
      <c r="F161" s="226"/>
      <c r="G161" s="261">
        <v>135</v>
      </c>
      <c r="H161" s="137" t="s">
        <v>766</v>
      </c>
      <c r="I161" s="309">
        <v>0</v>
      </c>
      <c r="J161" s="308">
        <v>0</v>
      </c>
      <c r="K161" s="138">
        <f t="shared" si="9"/>
        <v>0</v>
      </c>
      <c r="L161" s="212">
        <f t="shared" si="10"/>
        <v>0</v>
      </c>
    </row>
    <row r="162" spans="1:12" outlineLevel="1" x14ac:dyDescent="0.3">
      <c r="A162" s="374" t="s">
        <v>889</v>
      </c>
      <c r="B162" s="372" t="s">
        <v>325</v>
      </c>
      <c r="C162" s="225" t="s">
        <v>612</v>
      </c>
      <c r="D162" s="184" t="s">
        <v>755</v>
      </c>
      <c r="E162" s="134"/>
      <c r="F162" s="226"/>
      <c r="G162" s="261">
        <v>140</v>
      </c>
      <c r="H162" s="137" t="s">
        <v>766</v>
      </c>
      <c r="I162" s="309">
        <v>0</v>
      </c>
      <c r="J162" s="308">
        <v>0</v>
      </c>
      <c r="K162" s="138">
        <f t="shared" si="9"/>
        <v>0</v>
      </c>
      <c r="L162" s="212">
        <f t="shared" si="10"/>
        <v>0</v>
      </c>
    </row>
    <row r="163" spans="1:12" outlineLevel="1" x14ac:dyDescent="0.3">
      <c r="A163" s="374" t="s">
        <v>890</v>
      </c>
      <c r="B163" s="372" t="s">
        <v>326</v>
      </c>
      <c r="C163" s="225" t="s">
        <v>613</v>
      </c>
      <c r="D163" s="184" t="s">
        <v>755</v>
      </c>
      <c r="E163" s="134"/>
      <c r="F163" s="226"/>
      <c r="G163" s="261">
        <v>329</v>
      </c>
      <c r="H163" s="137" t="s">
        <v>766</v>
      </c>
      <c r="I163" s="309">
        <v>0</v>
      </c>
      <c r="J163" s="308">
        <v>0</v>
      </c>
      <c r="K163" s="138">
        <f t="shared" si="9"/>
        <v>0</v>
      </c>
      <c r="L163" s="212">
        <f t="shared" si="10"/>
        <v>0</v>
      </c>
    </row>
    <row r="164" spans="1:12" outlineLevel="1" x14ac:dyDescent="0.3">
      <c r="A164" s="374" t="s">
        <v>891</v>
      </c>
      <c r="B164" s="372" t="s">
        <v>469</v>
      </c>
      <c r="C164" s="225" t="s">
        <v>614</v>
      </c>
      <c r="D164" s="184" t="s">
        <v>755</v>
      </c>
      <c r="E164" s="134"/>
      <c r="F164" s="226"/>
      <c r="G164" s="261">
        <v>1144</v>
      </c>
      <c r="H164" s="137" t="s">
        <v>766</v>
      </c>
      <c r="I164" s="309">
        <v>0</v>
      </c>
      <c r="J164" s="308">
        <v>0</v>
      </c>
      <c r="K164" s="138">
        <f t="shared" si="9"/>
        <v>0</v>
      </c>
      <c r="L164" s="212">
        <f t="shared" si="10"/>
        <v>0</v>
      </c>
    </row>
    <row r="165" spans="1:12" outlineLevel="1" x14ac:dyDescent="0.3">
      <c r="A165" s="374" t="s">
        <v>892</v>
      </c>
      <c r="B165" s="372" t="s">
        <v>470</v>
      </c>
      <c r="C165" s="225" t="s">
        <v>615</v>
      </c>
      <c r="D165" s="184" t="s">
        <v>755</v>
      </c>
      <c r="E165" s="134"/>
      <c r="F165" s="226"/>
      <c r="G165" s="261">
        <v>129</v>
      </c>
      <c r="H165" s="137" t="s">
        <v>766</v>
      </c>
      <c r="I165" s="309">
        <v>0</v>
      </c>
      <c r="J165" s="308">
        <v>0</v>
      </c>
      <c r="K165" s="138">
        <f t="shared" si="9"/>
        <v>0</v>
      </c>
      <c r="L165" s="212">
        <f t="shared" si="10"/>
        <v>0</v>
      </c>
    </row>
    <row r="166" spans="1:12" outlineLevel="1" x14ac:dyDescent="0.3">
      <c r="A166" s="374" t="s">
        <v>893</v>
      </c>
      <c r="B166" s="372" t="s">
        <v>471</v>
      </c>
      <c r="C166" s="225" t="s">
        <v>616</v>
      </c>
      <c r="D166" s="184" t="s">
        <v>755</v>
      </c>
      <c r="E166" s="134"/>
      <c r="F166" s="226"/>
      <c r="G166" s="261">
        <v>86</v>
      </c>
      <c r="H166" s="137" t="s">
        <v>766</v>
      </c>
      <c r="I166" s="309">
        <v>0</v>
      </c>
      <c r="J166" s="308">
        <v>0</v>
      </c>
      <c r="K166" s="138">
        <f t="shared" si="9"/>
        <v>0</v>
      </c>
      <c r="L166" s="212">
        <f t="shared" si="10"/>
        <v>0</v>
      </c>
    </row>
    <row r="167" spans="1:12" outlineLevel="1" x14ac:dyDescent="0.3">
      <c r="A167" s="374" t="s">
        <v>894</v>
      </c>
      <c r="B167" s="372" t="s">
        <v>472</v>
      </c>
      <c r="C167" s="225" t="s">
        <v>617</v>
      </c>
      <c r="D167" s="184" t="s">
        <v>755</v>
      </c>
      <c r="E167" s="134"/>
      <c r="F167" s="226"/>
      <c r="G167" s="261">
        <v>344</v>
      </c>
      <c r="H167" s="137" t="s">
        <v>766</v>
      </c>
      <c r="I167" s="309">
        <v>0</v>
      </c>
      <c r="J167" s="308">
        <v>0</v>
      </c>
      <c r="K167" s="138">
        <f t="shared" si="9"/>
        <v>0</v>
      </c>
      <c r="L167" s="212">
        <f t="shared" si="10"/>
        <v>0</v>
      </c>
    </row>
    <row r="168" spans="1:12" outlineLevel="1" x14ac:dyDescent="0.3">
      <c r="A168" s="374" t="s">
        <v>895</v>
      </c>
      <c r="B168" s="372" t="s">
        <v>473</v>
      </c>
      <c r="C168" s="225" t="s">
        <v>618</v>
      </c>
      <c r="D168" s="184" t="s">
        <v>755</v>
      </c>
      <c r="E168" s="134"/>
      <c r="F168" s="226"/>
      <c r="G168" s="261">
        <v>254</v>
      </c>
      <c r="H168" s="137" t="s">
        <v>766</v>
      </c>
      <c r="I168" s="309">
        <v>0</v>
      </c>
      <c r="J168" s="308">
        <v>0</v>
      </c>
      <c r="K168" s="138">
        <f t="shared" si="9"/>
        <v>0</v>
      </c>
      <c r="L168" s="212">
        <f t="shared" si="10"/>
        <v>0</v>
      </c>
    </row>
    <row r="169" spans="1:12" outlineLevel="1" x14ac:dyDescent="0.3">
      <c r="A169" s="374" t="s">
        <v>896</v>
      </c>
      <c r="B169" s="372" t="s">
        <v>474</v>
      </c>
      <c r="C169" s="225" t="s">
        <v>619</v>
      </c>
      <c r="D169" s="184" t="s">
        <v>755</v>
      </c>
      <c r="E169" s="134"/>
      <c r="F169" s="226"/>
      <c r="G169" s="261">
        <v>86</v>
      </c>
      <c r="H169" s="137" t="s">
        <v>766</v>
      </c>
      <c r="I169" s="309">
        <v>0</v>
      </c>
      <c r="J169" s="308">
        <v>0</v>
      </c>
      <c r="K169" s="138">
        <f t="shared" si="9"/>
        <v>0</v>
      </c>
      <c r="L169" s="212">
        <f t="shared" si="10"/>
        <v>0</v>
      </c>
    </row>
    <row r="170" spans="1:12" outlineLevel="1" x14ac:dyDescent="0.3">
      <c r="A170" s="374" t="s">
        <v>897</v>
      </c>
      <c r="B170" s="372" t="s">
        <v>475</v>
      </c>
      <c r="C170" s="225" t="s">
        <v>620</v>
      </c>
      <c r="D170" s="184" t="s">
        <v>755</v>
      </c>
      <c r="E170" s="134"/>
      <c r="F170" s="226"/>
      <c r="G170" s="384">
        <v>430</v>
      </c>
      <c r="H170" s="137" t="s">
        <v>766</v>
      </c>
      <c r="I170" s="309">
        <v>0</v>
      </c>
      <c r="J170" s="308">
        <v>0</v>
      </c>
      <c r="K170" s="138">
        <f t="shared" si="9"/>
        <v>0</v>
      </c>
      <c r="L170" s="212">
        <f t="shared" si="10"/>
        <v>0</v>
      </c>
    </row>
    <row r="171" spans="1:12" outlineLevel="1" x14ac:dyDescent="0.3">
      <c r="A171" s="374" t="s">
        <v>898</v>
      </c>
      <c r="B171" s="372" t="s">
        <v>476</v>
      </c>
      <c r="C171" s="225" t="s">
        <v>621</v>
      </c>
      <c r="D171" s="184" t="s">
        <v>755</v>
      </c>
      <c r="E171" s="134"/>
      <c r="F171" s="226"/>
      <c r="G171" s="384">
        <v>1806</v>
      </c>
      <c r="H171" s="137" t="s">
        <v>766</v>
      </c>
      <c r="I171" s="309">
        <v>0</v>
      </c>
      <c r="J171" s="308">
        <v>0</v>
      </c>
      <c r="K171" s="138">
        <f t="shared" si="9"/>
        <v>0</v>
      </c>
      <c r="L171" s="212">
        <f t="shared" si="10"/>
        <v>0</v>
      </c>
    </row>
    <row r="172" spans="1:12" outlineLevel="1" x14ac:dyDescent="0.3">
      <c r="A172" s="374" t="s">
        <v>899</v>
      </c>
      <c r="B172" s="372" t="s">
        <v>477</v>
      </c>
      <c r="C172" s="225" t="s">
        <v>622</v>
      </c>
      <c r="D172" s="184" t="s">
        <v>755</v>
      </c>
      <c r="E172" s="134"/>
      <c r="F172" s="226"/>
      <c r="G172" s="384">
        <v>152</v>
      </c>
      <c r="H172" s="137" t="s">
        <v>766</v>
      </c>
      <c r="I172" s="309">
        <v>0</v>
      </c>
      <c r="J172" s="308">
        <v>0</v>
      </c>
      <c r="K172" s="138">
        <f t="shared" si="9"/>
        <v>0</v>
      </c>
      <c r="L172" s="212">
        <f t="shared" si="10"/>
        <v>0</v>
      </c>
    </row>
    <row r="173" spans="1:12" outlineLevel="1" x14ac:dyDescent="0.3">
      <c r="A173" s="374" t="s">
        <v>900</v>
      </c>
      <c r="B173" s="372" t="s">
        <v>478</v>
      </c>
      <c r="C173" s="225" t="s">
        <v>623</v>
      </c>
      <c r="D173" s="184" t="s">
        <v>755</v>
      </c>
      <c r="E173" s="134"/>
      <c r="F173" s="226"/>
      <c r="G173" s="384">
        <v>152</v>
      </c>
      <c r="H173" s="137" t="s">
        <v>766</v>
      </c>
      <c r="I173" s="309">
        <v>0</v>
      </c>
      <c r="J173" s="308">
        <v>0</v>
      </c>
      <c r="K173" s="138">
        <f t="shared" si="9"/>
        <v>0</v>
      </c>
      <c r="L173" s="212">
        <f t="shared" si="10"/>
        <v>0</v>
      </c>
    </row>
    <row r="174" spans="1:12" outlineLevel="1" x14ac:dyDescent="0.3">
      <c r="A174" s="374" t="s">
        <v>901</v>
      </c>
      <c r="B174" s="372" t="s">
        <v>660</v>
      </c>
      <c r="C174" s="225" t="s">
        <v>624</v>
      </c>
      <c r="D174" s="184" t="s">
        <v>755</v>
      </c>
      <c r="E174" s="230"/>
      <c r="F174" s="231"/>
      <c r="G174" s="385">
        <v>254</v>
      </c>
      <c r="H174" s="137" t="s">
        <v>766</v>
      </c>
      <c r="I174" s="309">
        <v>0</v>
      </c>
      <c r="J174" s="308">
        <v>0</v>
      </c>
      <c r="K174" s="138">
        <f t="shared" si="9"/>
        <v>0</v>
      </c>
      <c r="L174" s="212">
        <f t="shared" si="10"/>
        <v>0</v>
      </c>
    </row>
    <row r="175" spans="1:12" outlineLevel="1" x14ac:dyDescent="0.3">
      <c r="A175" s="374" t="s">
        <v>902</v>
      </c>
      <c r="B175" s="372" t="s">
        <v>661</v>
      </c>
      <c r="C175" s="225" t="s">
        <v>625</v>
      </c>
      <c r="D175" s="184" t="s">
        <v>755</v>
      </c>
      <c r="E175" s="227"/>
      <c r="F175" s="228"/>
      <c r="G175" s="389">
        <v>344</v>
      </c>
      <c r="H175" s="137" t="s">
        <v>766</v>
      </c>
      <c r="I175" s="309">
        <v>0</v>
      </c>
      <c r="J175" s="308">
        <v>0</v>
      </c>
      <c r="K175" s="138">
        <f t="shared" si="9"/>
        <v>0</v>
      </c>
      <c r="L175" s="212">
        <f t="shared" si="10"/>
        <v>0</v>
      </c>
    </row>
    <row r="176" spans="1:12" outlineLevel="1" x14ac:dyDescent="0.3">
      <c r="A176" s="374" t="s">
        <v>903</v>
      </c>
      <c r="B176" s="372" t="s">
        <v>662</v>
      </c>
      <c r="C176" s="225" t="s">
        <v>626</v>
      </c>
      <c r="D176" s="184" t="s">
        <v>755</v>
      </c>
      <c r="E176" s="227"/>
      <c r="F176" s="228"/>
      <c r="G176" s="389">
        <v>86</v>
      </c>
      <c r="H176" s="137" t="s">
        <v>766</v>
      </c>
      <c r="I176" s="309">
        <v>0</v>
      </c>
      <c r="J176" s="308">
        <v>0</v>
      </c>
      <c r="K176" s="138">
        <f t="shared" si="9"/>
        <v>0</v>
      </c>
      <c r="L176" s="212">
        <f t="shared" si="10"/>
        <v>0</v>
      </c>
    </row>
    <row r="177" spans="1:12" outlineLevel="1" x14ac:dyDescent="0.3">
      <c r="A177" s="374" t="s">
        <v>904</v>
      </c>
      <c r="B177" s="372" t="s">
        <v>663</v>
      </c>
      <c r="C177" s="225" t="s">
        <v>627</v>
      </c>
      <c r="D177" s="184" t="s">
        <v>755</v>
      </c>
      <c r="E177" s="227"/>
      <c r="F177" s="228"/>
      <c r="G177" s="389">
        <v>430</v>
      </c>
      <c r="H177" s="137" t="s">
        <v>766</v>
      </c>
      <c r="I177" s="309">
        <v>0</v>
      </c>
      <c r="J177" s="308">
        <v>0</v>
      </c>
      <c r="K177" s="138">
        <f t="shared" si="9"/>
        <v>0</v>
      </c>
      <c r="L177" s="212">
        <f t="shared" si="10"/>
        <v>0</v>
      </c>
    </row>
    <row r="178" spans="1:12" outlineLevel="1" x14ac:dyDescent="0.3">
      <c r="A178" s="374" t="s">
        <v>905</v>
      </c>
      <c r="B178" s="372" t="s">
        <v>664</v>
      </c>
      <c r="C178" s="225" t="s">
        <v>628</v>
      </c>
      <c r="D178" s="184" t="s">
        <v>755</v>
      </c>
      <c r="E178" s="227"/>
      <c r="F178" s="228"/>
      <c r="G178" s="389">
        <v>152</v>
      </c>
      <c r="H178" s="137" t="s">
        <v>766</v>
      </c>
      <c r="I178" s="309">
        <v>0</v>
      </c>
      <c r="J178" s="308">
        <v>0</v>
      </c>
      <c r="K178" s="138">
        <f t="shared" si="9"/>
        <v>0</v>
      </c>
      <c r="L178" s="212">
        <f t="shared" si="10"/>
        <v>0</v>
      </c>
    </row>
    <row r="179" spans="1:12" outlineLevel="1" x14ac:dyDescent="0.3">
      <c r="A179" s="374" t="s">
        <v>906</v>
      </c>
      <c r="B179" s="372" t="s">
        <v>665</v>
      </c>
      <c r="C179" s="225" t="s">
        <v>629</v>
      </c>
      <c r="D179" s="184" t="s">
        <v>755</v>
      </c>
      <c r="E179" s="227"/>
      <c r="F179" s="228"/>
      <c r="G179" s="389">
        <v>152</v>
      </c>
      <c r="H179" s="137" t="s">
        <v>766</v>
      </c>
      <c r="I179" s="309">
        <v>0</v>
      </c>
      <c r="J179" s="308">
        <v>0</v>
      </c>
      <c r="K179" s="138">
        <f t="shared" si="9"/>
        <v>0</v>
      </c>
      <c r="L179" s="212">
        <f t="shared" si="10"/>
        <v>0</v>
      </c>
    </row>
    <row r="180" spans="1:12" outlineLevel="1" x14ac:dyDescent="0.3">
      <c r="A180" s="374" t="s">
        <v>907</v>
      </c>
      <c r="B180" s="372" t="s">
        <v>666</v>
      </c>
      <c r="C180" s="225" t="s">
        <v>630</v>
      </c>
      <c r="D180" s="184" t="s">
        <v>755</v>
      </c>
      <c r="E180" s="227"/>
      <c r="F180" s="228"/>
      <c r="G180" s="389">
        <v>33</v>
      </c>
      <c r="H180" s="137" t="s">
        <v>766</v>
      </c>
      <c r="I180" s="309">
        <v>0</v>
      </c>
      <c r="J180" s="308">
        <v>0</v>
      </c>
      <c r="K180" s="138">
        <f t="shared" si="9"/>
        <v>0</v>
      </c>
      <c r="L180" s="212">
        <f t="shared" si="10"/>
        <v>0</v>
      </c>
    </row>
    <row r="181" spans="1:12" outlineLevel="1" x14ac:dyDescent="0.3">
      <c r="A181" s="374" t="s">
        <v>908</v>
      </c>
      <c r="B181" s="372" t="s">
        <v>667</v>
      </c>
      <c r="C181" s="225" t="s">
        <v>631</v>
      </c>
      <c r="D181" s="184" t="s">
        <v>755</v>
      </c>
      <c r="E181" s="227"/>
      <c r="F181" s="228"/>
      <c r="G181" s="389">
        <v>28</v>
      </c>
      <c r="H181" s="137" t="s">
        <v>766</v>
      </c>
      <c r="I181" s="309">
        <v>0</v>
      </c>
      <c r="J181" s="308">
        <v>0</v>
      </c>
      <c r="K181" s="138">
        <f t="shared" si="9"/>
        <v>0</v>
      </c>
      <c r="L181" s="212">
        <f t="shared" si="10"/>
        <v>0</v>
      </c>
    </row>
    <row r="182" spans="1:12" outlineLevel="1" x14ac:dyDescent="0.3">
      <c r="A182" s="374" t="s">
        <v>909</v>
      </c>
      <c r="B182" s="372" t="s">
        <v>668</v>
      </c>
      <c r="C182" s="225" t="s">
        <v>632</v>
      </c>
      <c r="D182" s="184" t="s">
        <v>755</v>
      </c>
      <c r="E182" s="227"/>
      <c r="F182" s="228"/>
      <c r="G182" s="389">
        <v>56</v>
      </c>
      <c r="H182" s="137" t="s">
        <v>766</v>
      </c>
      <c r="I182" s="309">
        <v>0</v>
      </c>
      <c r="J182" s="308">
        <v>0</v>
      </c>
      <c r="K182" s="138">
        <f t="shared" si="9"/>
        <v>0</v>
      </c>
      <c r="L182" s="212">
        <f t="shared" si="10"/>
        <v>0</v>
      </c>
    </row>
    <row r="183" spans="1:12" outlineLevel="1" x14ac:dyDescent="0.3">
      <c r="A183" s="374" t="s">
        <v>910</v>
      </c>
      <c r="B183" s="372" t="s">
        <v>669</v>
      </c>
      <c r="C183" s="225" t="s">
        <v>633</v>
      </c>
      <c r="D183" s="184" t="s">
        <v>755</v>
      </c>
      <c r="E183" s="227"/>
      <c r="F183" s="228"/>
      <c r="G183" s="389">
        <v>78</v>
      </c>
      <c r="H183" s="137" t="s">
        <v>766</v>
      </c>
      <c r="I183" s="309">
        <v>0</v>
      </c>
      <c r="J183" s="308">
        <v>0</v>
      </c>
      <c r="K183" s="138">
        <f t="shared" si="9"/>
        <v>0</v>
      </c>
      <c r="L183" s="212">
        <f t="shared" si="10"/>
        <v>0</v>
      </c>
    </row>
    <row r="184" spans="1:12" outlineLevel="1" x14ac:dyDescent="0.3">
      <c r="A184" s="374" t="s">
        <v>911</v>
      </c>
      <c r="B184" s="372" t="s">
        <v>670</v>
      </c>
      <c r="C184" s="225" t="s">
        <v>634</v>
      </c>
      <c r="D184" s="184" t="s">
        <v>755</v>
      </c>
      <c r="E184" s="227"/>
      <c r="F184" s="228"/>
      <c r="G184" s="389">
        <v>156</v>
      </c>
      <c r="H184" s="137" t="s">
        <v>766</v>
      </c>
      <c r="I184" s="309">
        <v>0</v>
      </c>
      <c r="J184" s="308">
        <v>0</v>
      </c>
      <c r="K184" s="138">
        <f t="shared" si="9"/>
        <v>0</v>
      </c>
      <c r="L184" s="212">
        <f t="shared" si="10"/>
        <v>0</v>
      </c>
    </row>
    <row r="185" spans="1:12" outlineLevel="1" x14ac:dyDescent="0.3">
      <c r="A185" s="374" t="s">
        <v>912</v>
      </c>
      <c r="B185" s="372" t="s">
        <v>671</v>
      </c>
      <c r="C185" s="225" t="s">
        <v>635</v>
      </c>
      <c r="D185" s="184" t="s">
        <v>755</v>
      </c>
      <c r="E185" s="227"/>
      <c r="F185" s="228"/>
      <c r="G185" s="389">
        <v>28</v>
      </c>
      <c r="H185" s="137" t="s">
        <v>766</v>
      </c>
      <c r="I185" s="309">
        <v>0</v>
      </c>
      <c r="J185" s="308">
        <v>0</v>
      </c>
      <c r="K185" s="138">
        <f t="shared" si="9"/>
        <v>0</v>
      </c>
      <c r="L185" s="212">
        <f t="shared" si="10"/>
        <v>0</v>
      </c>
    </row>
    <row r="186" spans="1:12" outlineLevel="1" x14ac:dyDescent="0.3">
      <c r="A186" s="374" t="s">
        <v>913</v>
      </c>
      <c r="B186" s="372" t="s">
        <v>672</v>
      </c>
      <c r="C186" s="225" t="s">
        <v>636</v>
      </c>
      <c r="D186" s="184" t="s">
        <v>755</v>
      </c>
      <c r="E186" s="227"/>
      <c r="F186" s="228"/>
      <c r="G186" s="389">
        <v>33</v>
      </c>
      <c r="H186" s="137" t="s">
        <v>766</v>
      </c>
      <c r="I186" s="309">
        <v>0</v>
      </c>
      <c r="J186" s="308">
        <v>0</v>
      </c>
      <c r="K186" s="138">
        <f t="shared" si="9"/>
        <v>0</v>
      </c>
      <c r="L186" s="212">
        <f t="shared" si="10"/>
        <v>0</v>
      </c>
    </row>
    <row r="187" spans="1:12" outlineLevel="1" x14ac:dyDescent="0.3">
      <c r="A187" s="374" t="s">
        <v>914</v>
      </c>
      <c r="B187" s="372" t="s">
        <v>673</v>
      </c>
      <c r="C187" s="225" t="s">
        <v>637</v>
      </c>
      <c r="D187" s="184" t="s">
        <v>755</v>
      </c>
      <c r="E187" s="227"/>
      <c r="F187" s="228"/>
      <c r="G187" s="389">
        <v>52</v>
      </c>
      <c r="H187" s="137" t="s">
        <v>766</v>
      </c>
      <c r="I187" s="309">
        <v>0</v>
      </c>
      <c r="J187" s="308">
        <v>0</v>
      </c>
      <c r="K187" s="138">
        <f t="shared" si="9"/>
        <v>0</v>
      </c>
      <c r="L187" s="212">
        <f t="shared" si="10"/>
        <v>0</v>
      </c>
    </row>
    <row r="188" spans="1:12" outlineLevel="1" x14ac:dyDescent="0.3">
      <c r="A188" s="374" t="s">
        <v>915</v>
      </c>
      <c r="B188" s="372" t="s">
        <v>674</v>
      </c>
      <c r="C188" s="225" t="s">
        <v>638</v>
      </c>
      <c r="D188" s="184" t="s">
        <v>755</v>
      </c>
      <c r="E188" s="227"/>
      <c r="F188" s="228"/>
      <c r="G188" s="389">
        <v>78</v>
      </c>
      <c r="H188" s="137" t="s">
        <v>766</v>
      </c>
      <c r="I188" s="309">
        <v>0</v>
      </c>
      <c r="J188" s="308">
        <v>0</v>
      </c>
      <c r="K188" s="138">
        <f t="shared" si="9"/>
        <v>0</v>
      </c>
      <c r="L188" s="212">
        <f t="shared" si="10"/>
        <v>0</v>
      </c>
    </row>
    <row r="189" spans="1:12" outlineLevel="1" x14ac:dyDescent="0.3">
      <c r="A189" s="374" t="s">
        <v>916</v>
      </c>
      <c r="B189" s="372" t="s">
        <v>675</v>
      </c>
      <c r="C189" s="225" t="s">
        <v>639</v>
      </c>
      <c r="D189" s="184" t="s">
        <v>755</v>
      </c>
      <c r="E189" s="227"/>
      <c r="F189" s="228"/>
      <c r="G189" s="389">
        <v>144</v>
      </c>
      <c r="H189" s="137" t="s">
        <v>766</v>
      </c>
      <c r="I189" s="309">
        <v>0</v>
      </c>
      <c r="J189" s="308">
        <v>0</v>
      </c>
      <c r="K189" s="138">
        <f t="shared" si="9"/>
        <v>0</v>
      </c>
      <c r="L189" s="212">
        <f t="shared" si="10"/>
        <v>0</v>
      </c>
    </row>
    <row r="190" spans="1:12" outlineLevel="1" x14ac:dyDescent="0.3">
      <c r="A190" s="374" t="s">
        <v>917</v>
      </c>
      <c r="B190" s="372" t="s">
        <v>676</v>
      </c>
      <c r="C190" s="225" t="s">
        <v>640</v>
      </c>
      <c r="D190" s="184" t="s">
        <v>755</v>
      </c>
      <c r="E190" s="227"/>
      <c r="F190" s="228"/>
      <c r="G190" s="389">
        <v>121</v>
      </c>
      <c r="H190" s="137" t="s">
        <v>766</v>
      </c>
      <c r="I190" s="309">
        <v>0</v>
      </c>
      <c r="J190" s="308">
        <v>0</v>
      </c>
      <c r="K190" s="138">
        <f t="shared" si="9"/>
        <v>0</v>
      </c>
      <c r="L190" s="212">
        <f t="shared" si="10"/>
        <v>0</v>
      </c>
    </row>
    <row r="191" spans="1:12" outlineLevel="1" x14ac:dyDescent="0.3">
      <c r="A191" s="374" t="s">
        <v>918</v>
      </c>
      <c r="B191" s="372" t="s">
        <v>677</v>
      </c>
      <c r="C191" s="225" t="s">
        <v>641</v>
      </c>
      <c r="D191" s="184" t="s">
        <v>755</v>
      </c>
      <c r="E191" s="227"/>
      <c r="F191" s="228"/>
      <c r="G191" s="389">
        <v>165</v>
      </c>
      <c r="H191" s="137" t="s">
        <v>766</v>
      </c>
      <c r="I191" s="309">
        <v>0</v>
      </c>
      <c r="J191" s="308">
        <v>0</v>
      </c>
      <c r="K191" s="138">
        <f t="shared" si="9"/>
        <v>0</v>
      </c>
      <c r="L191" s="212">
        <f t="shared" si="10"/>
        <v>0</v>
      </c>
    </row>
    <row r="192" spans="1:12" outlineLevel="1" x14ac:dyDescent="0.3">
      <c r="A192" s="374" t="s">
        <v>919</v>
      </c>
      <c r="B192" s="372" t="s">
        <v>678</v>
      </c>
      <c r="C192" s="225" t="s">
        <v>642</v>
      </c>
      <c r="D192" s="184" t="s">
        <v>755</v>
      </c>
      <c r="E192" s="227"/>
      <c r="F192" s="228"/>
      <c r="G192" s="389">
        <v>132</v>
      </c>
      <c r="H192" s="137" t="s">
        <v>766</v>
      </c>
      <c r="I192" s="309">
        <v>0</v>
      </c>
      <c r="J192" s="308">
        <v>0</v>
      </c>
      <c r="K192" s="138">
        <f t="shared" si="9"/>
        <v>0</v>
      </c>
      <c r="L192" s="212">
        <f t="shared" si="10"/>
        <v>0</v>
      </c>
    </row>
    <row r="193" spans="1:12" outlineLevel="1" x14ac:dyDescent="0.3">
      <c r="A193" s="374" t="s">
        <v>920</v>
      </c>
      <c r="B193" s="372" t="s">
        <v>679</v>
      </c>
      <c r="C193" s="225" t="s">
        <v>643</v>
      </c>
      <c r="D193" s="184" t="s">
        <v>755</v>
      </c>
      <c r="E193" s="227"/>
      <c r="F193" s="228"/>
      <c r="G193" s="389">
        <v>386</v>
      </c>
      <c r="H193" s="137" t="s">
        <v>766</v>
      </c>
      <c r="I193" s="309">
        <v>0</v>
      </c>
      <c r="J193" s="308">
        <v>0</v>
      </c>
      <c r="K193" s="138">
        <f t="shared" si="9"/>
        <v>0</v>
      </c>
      <c r="L193" s="212">
        <f t="shared" si="10"/>
        <v>0</v>
      </c>
    </row>
    <row r="194" spans="1:12" outlineLevel="1" x14ac:dyDescent="0.3">
      <c r="A194" s="374" t="s">
        <v>921</v>
      </c>
      <c r="B194" s="372" t="s">
        <v>680</v>
      </c>
      <c r="C194" s="225" t="s">
        <v>644</v>
      </c>
      <c r="D194" s="184" t="s">
        <v>755</v>
      </c>
      <c r="E194" s="227"/>
      <c r="F194" s="228"/>
      <c r="G194" s="389">
        <v>121</v>
      </c>
      <c r="H194" s="137" t="s">
        <v>766</v>
      </c>
      <c r="I194" s="309">
        <v>0</v>
      </c>
      <c r="J194" s="308">
        <v>0</v>
      </c>
      <c r="K194" s="138">
        <f t="shared" si="9"/>
        <v>0</v>
      </c>
      <c r="L194" s="212">
        <f t="shared" si="10"/>
        <v>0</v>
      </c>
    </row>
    <row r="195" spans="1:12" outlineLevel="1" x14ac:dyDescent="0.3">
      <c r="A195" s="374" t="s">
        <v>922</v>
      </c>
      <c r="B195" s="372" t="s">
        <v>681</v>
      </c>
      <c r="C195" s="225" t="s">
        <v>645</v>
      </c>
      <c r="D195" s="184" t="s">
        <v>755</v>
      </c>
      <c r="E195" s="227"/>
      <c r="F195" s="228"/>
      <c r="G195" s="389">
        <v>144</v>
      </c>
      <c r="H195" s="137" t="s">
        <v>766</v>
      </c>
      <c r="I195" s="309">
        <v>0</v>
      </c>
      <c r="J195" s="308">
        <v>0</v>
      </c>
      <c r="K195" s="138">
        <f t="shared" si="9"/>
        <v>0</v>
      </c>
      <c r="L195" s="212">
        <f t="shared" si="10"/>
        <v>0</v>
      </c>
    </row>
    <row r="196" spans="1:12" outlineLevel="1" x14ac:dyDescent="0.3">
      <c r="A196" s="374" t="s">
        <v>923</v>
      </c>
      <c r="B196" s="372" t="s">
        <v>682</v>
      </c>
      <c r="C196" s="225" t="s">
        <v>646</v>
      </c>
      <c r="D196" s="184" t="s">
        <v>755</v>
      </c>
      <c r="E196" s="227"/>
      <c r="F196" s="228"/>
      <c r="G196" s="389">
        <v>143</v>
      </c>
      <c r="H196" s="137" t="s">
        <v>766</v>
      </c>
      <c r="I196" s="309">
        <v>0</v>
      </c>
      <c r="J196" s="308">
        <v>0</v>
      </c>
      <c r="K196" s="138">
        <f t="shared" si="9"/>
        <v>0</v>
      </c>
      <c r="L196" s="212">
        <f t="shared" si="10"/>
        <v>0</v>
      </c>
    </row>
    <row r="197" spans="1:12" outlineLevel="1" x14ac:dyDescent="0.3">
      <c r="A197" s="374" t="s">
        <v>924</v>
      </c>
      <c r="B197" s="372" t="s">
        <v>683</v>
      </c>
      <c r="C197" s="225" t="s">
        <v>647</v>
      </c>
      <c r="D197" s="184" t="s">
        <v>755</v>
      </c>
      <c r="E197" s="227"/>
      <c r="F197" s="228"/>
      <c r="G197" s="389">
        <v>132</v>
      </c>
      <c r="H197" s="137" t="s">
        <v>766</v>
      </c>
      <c r="I197" s="309">
        <v>0</v>
      </c>
      <c r="J197" s="308">
        <v>0</v>
      </c>
      <c r="K197" s="138">
        <f t="shared" si="9"/>
        <v>0</v>
      </c>
      <c r="L197" s="212">
        <f t="shared" si="10"/>
        <v>0</v>
      </c>
    </row>
    <row r="198" spans="1:12" outlineLevel="1" x14ac:dyDescent="0.3">
      <c r="A198" s="374" t="s">
        <v>925</v>
      </c>
      <c r="B198" s="372" t="s">
        <v>684</v>
      </c>
      <c r="C198" s="225" t="s">
        <v>648</v>
      </c>
      <c r="D198" s="184" t="s">
        <v>755</v>
      </c>
      <c r="E198" s="227"/>
      <c r="F198" s="228"/>
      <c r="G198" s="389">
        <v>1138</v>
      </c>
      <c r="H198" s="137" t="s">
        <v>766</v>
      </c>
      <c r="I198" s="309">
        <v>0</v>
      </c>
      <c r="J198" s="308">
        <v>0</v>
      </c>
      <c r="K198" s="138">
        <f t="shared" si="9"/>
        <v>0</v>
      </c>
      <c r="L198" s="212">
        <f t="shared" si="10"/>
        <v>0</v>
      </c>
    </row>
    <row r="199" spans="1:12" outlineLevel="1" x14ac:dyDescent="0.3">
      <c r="A199" s="374" t="s">
        <v>926</v>
      </c>
      <c r="B199" s="372" t="s">
        <v>685</v>
      </c>
      <c r="C199" s="225" t="s">
        <v>649</v>
      </c>
      <c r="D199" s="184" t="s">
        <v>755</v>
      </c>
      <c r="E199" s="227"/>
      <c r="F199" s="228"/>
      <c r="G199" s="389">
        <v>1784</v>
      </c>
      <c r="H199" s="137" t="s">
        <v>766</v>
      </c>
      <c r="I199" s="309">
        <v>0</v>
      </c>
      <c r="J199" s="308">
        <v>0</v>
      </c>
      <c r="K199" s="138">
        <f t="shared" si="9"/>
        <v>0</v>
      </c>
      <c r="L199" s="212">
        <f t="shared" si="10"/>
        <v>0</v>
      </c>
    </row>
    <row r="200" spans="1:12" outlineLevel="1" x14ac:dyDescent="0.3">
      <c r="A200" s="374" t="s">
        <v>927</v>
      </c>
      <c r="B200" s="372" t="s">
        <v>686</v>
      </c>
      <c r="C200" s="225" t="s">
        <v>650</v>
      </c>
      <c r="D200" s="184" t="s">
        <v>755</v>
      </c>
      <c r="E200" s="227"/>
      <c r="F200" s="228"/>
      <c r="G200" s="389">
        <v>826</v>
      </c>
      <c r="H200" s="137" t="s">
        <v>766</v>
      </c>
      <c r="I200" s="309">
        <v>0</v>
      </c>
      <c r="J200" s="308">
        <v>0</v>
      </c>
      <c r="K200" s="138">
        <f t="shared" si="9"/>
        <v>0</v>
      </c>
      <c r="L200" s="212">
        <f t="shared" si="10"/>
        <v>0</v>
      </c>
    </row>
    <row r="201" spans="1:12" outlineLevel="1" x14ac:dyDescent="0.3">
      <c r="A201" s="374" t="s">
        <v>928</v>
      </c>
      <c r="B201" s="372" t="s">
        <v>687</v>
      </c>
      <c r="C201" s="225" t="s">
        <v>651</v>
      </c>
      <c r="D201" s="184" t="s">
        <v>755</v>
      </c>
      <c r="E201" s="227"/>
      <c r="F201" s="228"/>
      <c r="G201" s="389">
        <v>258</v>
      </c>
      <c r="H201" s="137" t="s">
        <v>766</v>
      </c>
      <c r="I201" s="309">
        <v>0</v>
      </c>
      <c r="J201" s="308">
        <v>0</v>
      </c>
      <c r="K201" s="138">
        <f t="shared" si="9"/>
        <v>0</v>
      </c>
      <c r="L201" s="212">
        <f t="shared" si="10"/>
        <v>0</v>
      </c>
    </row>
    <row r="202" spans="1:12" outlineLevel="1" x14ac:dyDescent="0.3">
      <c r="A202" s="374" t="s">
        <v>929</v>
      </c>
      <c r="B202" s="372" t="s">
        <v>688</v>
      </c>
      <c r="C202" s="225" t="s">
        <v>652</v>
      </c>
      <c r="D202" s="184" t="s">
        <v>755</v>
      </c>
      <c r="E202" s="227"/>
      <c r="F202" s="228"/>
      <c r="G202" s="389">
        <v>172</v>
      </c>
      <c r="H202" s="137" t="s">
        <v>766</v>
      </c>
      <c r="I202" s="309">
        <v>0</v>
      </c>
      <c r="J202" s="308">
        <v>0</v>
      </c>
      <c r="K202" s="138">
        <f t="shared" si="9"/>
        <v>0</v>
      </c>
      <c r="L202" s="212">
        <f t="shared" si="10"/>
        <v>0</v>
      </c>
    </row>
    <row r="203" spans="1:12" outlineLevel="1" x14ac:dyDescent="0.3">
      <c r="A203" s="374" t="s">
        <v>930</v>
      </c>
      <c r="B203" s="372" t="s">
        <v>689</v>
      </c>
      <c r="C203" s="225" t="s">
        <v>653</v>
      </c>
      <c r="D203" s="184" t="s">
        <v>755</v>
      </c>
      <c r="E203" s="227"/>
      <c r="F203" s="228"/>
      <c r="G203" s="389">
        <v>48</v>
      </c>
      <c r="H203" s="137" t="s">
        <v>766</v>
      </c>
      <c r="I203" s="309">
        <v>0</v>
      </c>
      <c r="J203" s="308">
        <v>0</v>
      </c>
      <c r="K203" s="138">
        <f t="shared" si="9"/>
        <v>0</v>
      </c>
      <c r="L203" s="212">
        <f t="shared" si="10"/>
        <v>0</v>
      </c>
    </row>
    <row r="204" spans="1:12" outlineLevel="1" x14ac:dyDescent="0.3">
      <c r="A204" s="374" t="s">
        <v>931</v>
      </c>
      <c r="B204" s="372" t="s">
        <v>690</v>
      </c>
      <c r="C204" s="225" t="s">
        <v>654</v>
      </c>
      <c r="D204" s="184" t="s">
        <v>755</v>
      </c>
      <c r="E204" s="227"/>
      <c r="F204" s="228"/>
      <c r="G204" s="389">
        <v>56</v>
      </c>
      <c r="H204" s="137" t="s">
        <v>766</v>
      </c>
      <c r="I204" s="309">
        <v>0</v>
      </c>
      <c r="J204" s="308">
        <v>0</v>
      </c>
      <c r="K204" s="138">
        <f t="shared" si="9"/>
        <v>0</v>
      </c>
      <c r="L204" s="212">
        <f t="shared" si="10"/>
        <v>0</v>
      </c>
    </row>
    <row r="205" spans="1:12" outlineLevel="1" x14ac:dyDescent="0.3">
      <c r="A205" s="374" t="s">
        <v>932</v>
      </c>
      <c r="B205" s="372" t="s">
        <v>691</v>
      </c>
      <c r="C205" s="225" t="s">
        <v>655</v>
      </c>
      <c r="D205" s="184" t="s">
        <v>755</v>
      </c>
      <c r="E205" s="227"/>
      <c r="F205" s="228"/>
      <c r="G205" s="389">
        <v>836</v>
      </c>
      <c r="H205" s="137" t="s">
        <v>766</v>
      </c>
      <c r="I205" s="309">
        <v>0</v>
      </c>
      <c r="J205" s="308">
        <v>0</v>
      </c>
      <c r="K205" s="138">
        <f t="shared" si="9"/>
        <v>0</v>
      </c>
      <c r="L205" s="212">
        <f t="shared" si="10"/>
        <v>0</v>
      </c>
    </row>
    <row r="206" spans="1:12" outlineLevel="1" x14ac:dyDescent="0.3">
      <c r="A206" s="374" t="s">
        <v>933</v>
      </c>
      <c r="B206" s="372" t="s">
        <v>692</v>
      </c>
      <c r="C206" s="225" t="s">
        <v>656</v>
      </c>
      <c r="D206" s="184" t="s">
        <v>755</v>
      </c>
      <c r="E206" s="227"/>
      <c r="F206" s="228"/>
      <c r="G206" s="389">
        <v>28</v>
      </c>
      <c r="H206" s="137" t="s">
        <v>766</v>
      </c>
      <c r="I206" s="309">
        <v>0</v>
      </c>
      <c r="J206" s="308">
        <v>0</v>
      </c>
      <c r="K206" s="138">
        <f t="shared" si="9"/>
        <v>0</v>
      </c>
      <c r="L206" s="212">
        <f t="shared" si="10"/>
        <v>0</v>
      </c>
    </row>
    <row r="207" spans="1:12" outlineLevel="1" x14ac:dyDescent="0.3">
      <c r="A207" s="374" t="s">
        <v>937</v>
      </c>
      <c r="B207" s="372" t="s">
        <v>693</v>
      </c>
      <c r="C207" s="225" t="s">
        <v>657</v>
      </c>
      <c r="D207" s="184" t="s">
        <v>755</v>
      </c>
      <c r="E207" s="227"/>
      <c r="F207" s="228"/>
      <c r="G207" s="389">
        <v>184</v>
      </c>
      <c r="H207" s="137" t="s">
        <v>766</v>
      </c>
      <c r="I207" s="309">
        <v>0</v>
      </c>
      <c r="J207" s="308">
        <v>0</v>
      </c>
      <c r="K207" s="138">
        <f t="shared" si="9"/>
        <v>0</v>
      </c>
      <c r="L207" s="212">
        <f t="shared" si="10"/>
        <v>0</v>
      </c>
    </row>
    <row r="208" spans="1:12" outlineLevel="1" x14ac:dyDescent="0.3">
      <c r="A208" s="374" t="s">
        <v>938</v>
      </c>
      <c r="B208" s="372" t="s">
        <v>694</v>
      </c>
      <c r="C208" s="225" t="s">
        <v>658</v>
      </c>
      <c r="D208" s="184" t="s">
        <v>755</v>
      </c>
      <c r="E208" s="227"/>
      <c r="F208" s="228"/>
      <c r="G208" s="389">
        <v>1290</v>
      </c>
      <c r="H208" s="137" t="s">
        <v>766</v>
      </c>
      <c r="I208" s="309">
        <v>0</v>
      </c>
      <c r="J208" s="308">
        <v>0</v>
      </c>
      <c r="K208" s="138">
        <f t="shared" si="9"/>
        <v>0</v>
      </c>
      <c r="L208" s="212">
        <f t="shared" si="10"/>
        <v>0</v>
      </c>
    </row>
    <row r="209" spans="1:12" outlineLevel="1" x14ac:dyDescent="0.3">
      <c r="A209" s="374" t="s">
        <v>939</v>
      </c>
      <c r="B209" s="372" t="s">
        <v>695</v>
      </c>
      <c r="C209" s="225" t="s">
        <v>659</v>
      </c>
      <c r="D209" s="184" t="s">
        <v>755</v>
      </c>
      <c r="E209" s="227"/>
      <c r="F209" s="228"/>
      <c r="G209" s="389">
        <v>516</v>
      </c>
      <c r="H209" s="137" t="s">
        <v>766</v>
      </c>
      <c r="I209" s="309">
        <v>0</v>
      </c>
      <c r="J209" s="308">
        <v>0</v>
      </c>
      <c r="K209" s="138">
        <f t="shared" si="9"/>
        <v>0</v>
      </c>
      <c r="L209" s="212">
        <f t="shared" si="10"/>
        <v>0</v>
      </c>
    </row>
    <row r="210" spans="1:12" outlineLevel="1" x14ac:dyDescent="0.3">
      <c r="A210" s="374" t="s">
        <v>936</v>
      </c>
      <c r="B210" s="372" t="s">
        <v>696</v>
      </c>
      <c r="C210" s="225" t="s">
        <v>787</v>
      </c>
      <c r="D210" s="184" t="s">
        <v>755</v>
      </c>
      <c r="E210" s="227"/>
      <c r="F210" s="228"/>
      <c r="G210" s="389">
        <v>4500</v>
      </c>
      <c r="H210" s="137" t="s">
        <v>766</v>
      </c>
      <c r="I210" s="309">
        <v>0</v>
      </c>
      <c r="J210" s="308">
        <v>0</v>
      </c>
      <c r="K210" s="138">
        <f t="shared" ref="K210:K245" si="11">G210*I210</f>
        <v>0</v>
      </c>
      <c r="L210" s="212">
        <f t="shared" ref="L210:L245" si="12">G210*J210</f>
        <v>0</v>
      </c>
    </row>
    <row r="211" spans="1:12" outlineLevel="1" x14ac:dyDescent="0.3">
      <c r="A211" s="374" t="s">
        <v>934</v>
      </c>
      <c r="B211" s="372" t="s">
        <v>697</v>
      </c>
      <c r="C211" s="225" t="s">
        <v>788</v>
      </c>
      <c r="D211" s="184" t="s">
        <v>755</v>
      </c>
      <c r="E211" s="227"/>
      <c r="F211" s="228"/>
      <c r="G211" s="389">
        <v>3000</v>
      </c>
      <c r="H211" s="137" t="s">
        <v>766</v>
      </c>
      <c r="I211" s="309">
        <v>0</v>
      </c>
      <c r="J211" s="308">
        <v>0</v>
      </c>
      <c r="K211" s="138">
        <f t="shared" si="11"/>
        <v>0</v>
      </c>
      <c r="L211" s="212">
        <f t="shared" si="12"/>
        <v>0</v>
      </c>
    </row>
    <row r="212" spans="1:12" outlineLevel="1" x14ac:dyDescent="0.3">
      <c r="A212" s="374" t="s">
        <v>935</v>
      </c>
      <c r="B212" s="372" t="s">
        <v>698</v>
      </c>
      <c r="C212" s="225" t="s">
        <v>789</v>
      </c>
      <c r="D212" s="184" t="s">
        <v>755</v>
      </c>
      <c r="E212" s="227"/>
      <c r="F212" s="228"/>
      <c r="G212" s="389">
        <v>1500</v>
      </c>
      <c r="H212" s="137" t="s">
        <v>766</v>
      </c>
      <c r="I212" s="309">
        <v>0</v>
      </c>
      <c r="J212" s="308">
        <v>0</v>
      </c>
      <c r="K212" s="138">
        <f t="shared" si="11"/>
        <v>0</v>
      </c>
      <c r="L212" s="212">
        <f t="shared" si="12"/>
        <v>0</v>
      </c>
    </row>
    <row r="213" spans="1:12" outlineLevel="1" x14ac:dyDescent="0.3">
      <c r="B213" s="372" t="s">
        <v>699</v>
      </c>
      <c r="C213" s="225"/>
      <c r="D213" s="184"/>
      <c r="E213" s="227"/>
      <c r="F213" s="228"/>
      <c r="G213" s="390"/>
      <c r="H213" s="137"/>
      <c r="I213" s="309"/>
      <c r="J213" s="308"/>
      <c r="K213" s="138"/>
      <c r="L213" s="212"/>
    </row>
    <row r="214" spans="1:12" x14ac:dyDescent="0.3">
      <c r="B214" s="373"/>
      <c r="C214" s="139"/>
      <c r="D214" s="183"/>
      <c r="E214" s="111"/>
      <c r="F214" s="140"/>
      <c r="G214" s="141"/>
      <c r="H214" s="142"/>
      <c r="I214" s="143"/>
      <c r="J214" s="144"/>
      <c r="K214" s="145">
        <f>SUM(K154:K213)</f>
        <v>0</v>
      </c>
      <c r="L214" s="214">
        <f>SUM(L154:L213)</f>
        <v>0</v>
      </c>
    </row>
    <row r="215" spans="1:12" ht="13.8" outlineLevel="1" x14ac:dyDescent="0.25">
      <c r="A215" s="376" t="s">
        <v>504</v>
      </c>
      <c r="B215" s="240" t="s">
        <v>327</v>
      </c>
      <c r="C215" s="311" t="s">
        <v>860</v>
      </c>
      <c r="D215" s="184"/>
      <c r="E215" s="312"/>
      <c r="F215" s="313"/>
      <c r="G215" s="314"/>
      <c r="H215" s="315"/>
      <c r="I215" s="316"/>
      <c r="J215" s="317"/>
      <c r="K215" s="138"/>
      <c r="L215" s="212"/>
    </row>
    <row r="216" spans="1:12" outlineLevel="1" x14ac:dyDescent="0.3">
      <c r="A216" s="374" t="s">
        <v>940</v>
      </c>
      <c r="B216" s="372" t="s">
        <v>328</v>
      </c>
      <c r="C216" s="225" t="s">
        <v>790</v>
      </c>
      <c r="D216" s="184" t="s">
        <v>755</v>
      </c>
      <c r="E216" s="227"/>
      <c r="F216" s="228"/>
      <c r="G216" s="389">
        <v>614</v>
      </c>
      <c r="H216" s="137" t="s">
        <v>766</v>
      </c>
      <c r="I216" s="309">
        <v>0</v>
      </c>
      <c r="J216" s="308">
        <v>0</v>
      </c>
      <c r="K216" s="138">
        <f t="shared" si="11"/>
        <v>0</v>
      </c>
      <c r="L216" s="212">
        <f t="shared" si="12"/>
        <v>0</v>
      </c>
    </row>
    <row r="217" spans="1:12" outlineLevel="1" x14ac:dyDescent="0.3">
      <c r="A217" s="374" t="s">
        <v>941</v>
      </c>
      <c r="B217" s="372" t="s">
        <v>329</v>
      </c>
      <c r="C217" s="225" t="s">
        <v>791</v>
      </c>
      <c r="D217" s="184" t="s">
        <v>755</v>
      </c>
      <c r="E217" s="227"/>
      <c r="F217" s="228"/>
      <c r="G217" s="389">
        <v>50</v>
      </c>
      <c r="H217" s="137" t="s">
        <v>766</v>
      </c>
      <c r="I217" s="309">
        <v>0</v>
      </c>
      <c r="J217" s="308">
        <v>0</v>
      </c>
      <c r="K217" s="138">
        <f t="shared" si="11"/>
        <v>0</v>
      </c>
      <c r="L217" s="212">
        <f t="shared" si="12"/>
        <v>0</v>
      </c>
    </row>
    <row r="218" spans="1:12" outlineLevel="1" x14ac:dyDescent="0.3">
      <c r="A218" s="374" t="s">
        <v>942</v>
      </c>
      <c r="B218" s="372" t="s">
        <v>330</v>
      </c>
      <c r="C218" s="225" t="s">
        <v>792</v>
      </c>
      <c r="D218" s="184" t="s">
        <v>755</v>
      </c>
      <c r="E218" s="227"/>
      <c r="F218" s="228"/>
      <c r="G218" s="389">
        <v>300</v>
      </c>
      <c r="H218" s="137" t="s">
        <v>766</v>
      </c>
      <c r="I218" s="309">
        <v>0</v>
      </c>
      <c r="J218" s="308">
        <v>0</v>
      </c>
      <c r="K218" s="138">
        <f t="shared" si="11"/>
        <v>0</v>
      </c>
      <c r="L218" s="212">
        <f t="shared" si="12"/>
        <v>0</v>
      </c>
    </row>
    <row r="219" spans="1:12" outlineLevel="1" x14ac:dyDescent="0.3">
      <c r="A219" s="374" t="s">
        <v>943</v>
      </c>
      <c r="B219" s="372" t="s">
        <v>331</v>
      </c>
      <c r="C219" s="225" t="s">
        <v>793</v>
      </c>
      <c r="D219" s="184" t="s">
        <v>755</v>
      </c>
      <c r="E219" s="227"/>
      <c r="F219" s="228"/>
      <c r="G219" s="389">
        <v>50</v>
      </c>
      <c r="H219" s="137" t="s">
        <v>766</v>
      </c>
      <c r="I219" s="309">
        <v>0</v>
      </c>
      <c r="J219" s="308">
        <v>0</v>
      </c>
      <c r="K219" s="138">
        <f t="shared" si="11"/>
        <v>0</v>
      </c>
      <c r="L219" s="212">
        <f t="shared" si="12"/>
        <v>0</v>
      </c>
    </row>
    <row r="220" spans="1:12" outlineLevel="1" x14ac:dyDescent="0.3">
      <c r="A220" s="374" t="s">
        <v>944</v>
      </c>
      <c r="B220" s="372" t="s">
        <v>332</v>
      </c>
      <c r="C220" s="225" t="s">
        <v>794</v>
      </c>
      <c r="D220" s="184" t="s">
        <v>755</v>
      </c>
      <c r="E220" s="227"/>
      <c r="F220" s="228"/>
      <c r="G220" s="389">
        <v>150</v>
      </c>
      <c r="H220" s="137" t="s">
        <v>766</v>
      </c>
      <c r="I220" s="309">
        <v>0</v>
      </c>
      <c r="J220" s="308">
        <v>0</v>
      </c>
      <c r="K220" s="138">
        <f t="shared" si="11"/>
        <v>0</v>
      </c>
      <c r="L220" s="212">
        <f t="shared" si="12"/>
        <v>0</v>
      </c>
    </row>
    <row r="221" spans="1:12" outlineLevel="1" x14ac:dyDescent="0.3">
      <c r="A221" s="374" t="s">
        <v>945</v>
      </c>
      <c r="B221" s="372" t="s">
        <v>333</v>
      </c>
      <c r="C221" s="225" t="s">
        <v>795</v>
      </c>
      <c r="D221" s="184" t="s">
        <v>755</v>
      </c>
      <c r="E221" s="227"/>
      <c r="F221" s="228"/>
      <c r="G221" s="389">
        <v>307</v>
      </c>
      <c r="H221" s="137" t="s">
        <v>766</v>
      </c>
      <c r="I221" s="309">
        <v>0</v>
      </c>
      <c r="J221" s="308">
        <v>0</v>
      </c>
      <c r="K221" s="138">
        <f t="shared" si="11"/>
        <v>0</v>
      </c>
      <c r="L221" s="212">
        <f t="shared" si="12"/>
        <v>0</v>
      </c>
    </row>
    <row r="222" spans="1:12" outlineLevel="1" x14ac:dyDescent="0.3">
      <c r="A222" s="374" t="s">
        <v>946</v>
      </c>
      <c r="B222" s="372" t="s">
        <v>334</v>
      </c>
      <c r="C222" s="225" t="s">
        <v>796</v>
      </c>
      <c r="D222" s="184" t="s">
        <v>755</v>
      </c>
      <c r="E222" s="227"/>
      <c r="F222" s="228"/>
      <c r="G222" s="389">
        <v>1014</v>
      </c>
      <c r="H222" s="137" t="s">
        <v>766</v>
      </c>
      <c r="I222" s="309">
        <v>0</v>
      </c>
      <c r="J222" s="308">
        <v>0</v>
      </c>
      <c r="K222" s="138">
        <f t="shared" si="11"/>
        <v>0</v>
      </c>
      <c r="L222" s="212">
        <f t="shared" si="12"/>
        <v>0</v>
      </c>
    </row>
    <row r="223" spans="1:12" outlineLevel="1" x14ac:dyDescent="0.3">
      <c r="A223" s="374" t="s">
        <v>947</v>
      </c>
      <c r="B223" s="372" t="s">
        <v>335</v>
      </c>
      <c r="C223" s="225" t="s">
        <v>797</v>
      </c>
      <c r="D223" s="184" t="s">
        <v>755</v>
      </c>
      <c r="E223" s="227"/>
      <c r="F223" s="228"/>
      <c r="G223" s="389">
        <v>5</v>
      </c>
      <c r="H223" s="137" t="s">
        <v>766</v>
      </c>
      <c r="I223" s="309">
        <v>0</v>
      </c>
      <c r="J223" s="308">
        <v>0</v>
      </c>
      <c r="K223" s="138">
        <f t="shared" si="11"/>
        <v>0</v>
      </c>
      <c r="L223" s="212">
        <f t="shared" si="12"/>
        <v>0</v>
      </c>
    </row>
    <row r="224" spans="1:12" outlineLevel="1" x14ac:dyDescent="0.3">
      <c r="A224" s="374" t="s">
        <v>948</v>
      </c>
      <c r="B224" s="372" t="s">
        <v>336</v>
      </c>
      <c r="C224" s="225" t="s">
        <v>798</v>
      </c>
      <c r="D224" s="184" t="s">
        <v>755</v>
      </c>
      <c r="E224" s="227"/>
      <c r="F224" s="228"/>
      <c r="G224" s="389">
        <v>31</v>
      </c>
      <c r="H224" s="137" t="s">
        <v>766</v>
      </c>
      <c r="I224" s="309">
        <v>0</v>
      </c>
      <c r="J224" s="308">
        <v>0</v>
      </c>
      <c r="K224" s="138">
        <f t="shared" si="11"/>
        <v>0</v>
      </c>
      <c r="L224" s="212">
        <f t="shared" si="12"/>
        <v>0</v>
      </c>
    </row>
    <row r="225" spans="1:12" outlineLevel="1" x14ac:dyDescent="0.3">
      <c r="A225" s="374" t="s">
        <v>949</v>
      </c>
      <c r="B225" s="372" t="s">
        <v>337</v>
      </c>
      <c r="C225" s="225" t="s">
        <v>799</v>
      </c>
      <c r="D225" s="184" t="s">
        <v>755</v>
      </c>
      <c r="E225" s="227"/>
      <c r="F225" s="228"/>
      <c r="G225" s="389">
        <v>15</v>
      </c>
      <c r="H225" s="137" t="s">
        <v>766</v>
      </c>
      <c r="I225" s="309">
        <v>0</v>
      </c>
      <c r="J225" s="308">
        <v>0</v>
      </c>
      <c r="K225" s="138">
        <f t="shared" si="11"/>
        <v>0</v>
      </c>
      <c r="L225" s="212">
        <f t="shared" si="12"/>
        <v>0</v>
      </c>
    </row>
    <row r="226" spans="1:12" outlineLevel="1" x14ac:dyDescent="0.3">
      <c r="A226" s="374" t="s">
        <v>950</v>
      </c>
      <c r="B226" s="372" t="s">
        <v>423</v>
      </c>
      <c r="C226" s="225" t="s">
        <v>800</v>
      </c>
      <c r="D226" s="184" t="s">
        <v>755</v>
      </c>
      <c r="E226" s="227"/>
      <c r="F226" s="228"/>
      <c r="G226" s="389">
        <v>5</v>
      </c>
      <c r="H226" s="137" t="s">
        <v>766</v>
      </c>
      <c r="I226" s="309">
        <v>0</v>
      </c>
      <c r="J226" s="308">
        <v>0</v>
      </c>
      <c r="K226" s="138">
        <f t="shared" si="11"/>
        <v>0</v>
      </c>
      <c r="L226" s="212">
        <f t="shared" si="12"/>
        <v>0</v>
      </c>
    </row>
    <row r="227" spans="1:12" outlineLevel="1" x14ac:dyDescent="0.3">
      <c r="A227" s="374" t="s">
        <v>951</v>
      </c>
      <c r="B227" s="372" t="s">
        <v>424</v>
      </c>
      <c r="C227" s="225" t="s">
        <v>801</v>
      </c>
      <c r="D227" s="184" t="s">
        <v>755</v>
      </c>
      <c r="E227" s="227"/>
      <c r="F227" s="228"/>
      <c r="G227" s="389">
        <v>31</v>
      </c>
      <c r="H227" s="137" t="s">
        <v>766</v>
      </c>
      <c r="I227" s="309">
        <v>0</v>
      </c>
      <c r="J227" s="308">
        <v>0</v>
      </c>
      <c r="K227" s="138">
        <f t="shared" si="11"/>
        <v>0</v>
      </c>
      <c r="L227" s="212">
        <f t="shared" si="12"/>
        <v>0</v>
      </c>
    </row>
    <row r="228" spans="1:12" outlineLevel="1" x14ac:dyDescent="0.3">
      <c r="A228" s="374" t="s">
        <v>952</v>
      </c>
      <c r="B228" s="372" t="s">
        <v>425</v>
      </c>
      <c r="C228" s="225" t="s">
        <v>802</v>
      </c>
      <c r="D228" s="184" t="s">
        <v>755</v>
      </c>
      <c r="E228" s="227"/>
      <c r="F228" s="228"/>
      <c r="G228" s="389">
        <v>15</v>
      </c>
      <c r="H228" s="137" t="s">
        <v>766</v>
      </c>
      <c r="I228" s="309">
        <v>0</v>
      </c>
      <c r="J228" s="308">
        <v>0</v>
      </c>
      <c r="K228" s="138">
        <f t="shared" si="11"/>
        <v>0</v>
      </c>
      <c r="L228" s="212">
        <f t="shared" si="12"/>
        <v>0</v>
      </c>
    </row>
    <row r="229" spans="1:12" outlineLevel="1" x14ac:dyDescent="0.3">
      <c r="A229" s="374" t="s">
        <v>953</v>
      </c>
      <c r="B229" s="372" t="s">
        <v>426</v>
      </c>
      <c r="C229" s="225" t="s">
        <v>803</v>
      </c>
      <c r="D229" s="184" t="s">
        <v>755</v>
      </c>
      <c r="E229" s="227"/>
      <c r="F229" s="228"/>
      <c r="G229" s="389">
        <v>964</v>
      </c>
      <c r="H229" s="137" t="s">
        <v>766</v>
      </c>
      <c r="I229" s="309">
        <v>0</v>
      </c>
      <c r="J229" s="308">
        <v>0</v>
      </c>
      <c r="K229" s="138">
        <f t="shared" si="11"/>
        <v>0</v>
      </c>
      <c r="L229" s="212">
        <f t="shared" si="12"/>
        <v>0</v>
      </c>
    </row>
    <row r="230" spans="1:12" outlineLevel="1" x14ac:dyDescent="0.3">
      <c r="A230" s="374" t="s">
        <v>954</v>
      </c>
      <c r="B230" s="372" t="s">
        <v>427</v>
      </c>
      <c r="C230" s="225" t="s">
        <v>804</v>
      </c>
      <c r="D230" s="184" t="s">
        <v>755</v>
      </c>
      <c r="E230" s="227"/>
      <c r="F230" s="228"/>
      <c r="G230" s="389">
        <v>1014</v>
      </c>
      <c r="H230" s="137" t="s">
        <v>766</v>
      </c>
      <c r="I230" s="309">
        <v>0</v>
      </c>
      <c r="J230" s="308">
        <v>0</v>
      </c>
      <c r="K230" s="138">
        <f t="shared" si="11"/>
        <v>0</v>
      </c>
      <c r="L230" s="212">
        <f t="shared" si="12"/>
        <v>0</v>
      </c>
    </row>
    <row r="231" spans="1:12" outlineLevel="1" x14ac:dyDescent="0.3">
      <c r="A231" s="374" t="s">
        <v>955</v>
      </c>
      <c r="B231" s="372" t="s">
        <v>435</v>
      </c>
      <c r="C231" s="225" t="s">
        <v>805</v>
      </c>
      <c r="D231" s="184" t="s">
        <v>755</v>
      </c>
      <c r="E231" s="227"/>
      <c r="F231" s="228"/>
      <c r="G231" s="389">
        <v>15</v>
      </c>
      <c r="H231" s="137" t="s">
        <v>766</v>
      </c>
      <c r="I231" s="309">
        <v>0</v>
      </c>
      <c r="J231" s="308">
        <v>0</v>
      </c>
      <c r="K231" s="138">
        <f t="shared" si="11"/>
        <v>0</v>
      </c>
      <c r="L231" s="212">
        <f t="shared" si="12"/>
        <v>0</v>
      </c>
    </row>
    <row r="232" spans="1:12" outlineLevel="1" x14ac:dyDescent="0.3">
      <c r="A232" s="374" t="s">
        <v>956</v>
      </c>
      <c r="B232" s="372" t="s">
        <v>436</v>
      </c>
      <c r="C232" s="225" t="s">
        <v>806</v>
      </c>
      <c r="D232" s="184" t="s">
        <v>755</v>
      </c>
      <c r="E232" s="227"/>
      <c r="F232" s="228"/>
      <c r="G232" s="389">
        <v>15</v>
      </c>
      <c r="H232" s="137" t="s">
        <v>766</v>
      </c>
      <c r="I232" s="309">
        <v>0</v>
      </c>
      <c r="J232" s="308">
        <v>0</v>
      </c>
      <c r="K232" s="138">
        <f t="shared" si="11"/>
        <v>0</v>
      </c>
      <c r="L232" s="212">
        <f t="shared" si="12"/>
        <v>0</v>
      </c>
    </row>
    <row r="233" spans="1:12" outlineLevel="1" x14ac:dyDescent="0.3">
      <c r="A233" s="374" t="s">
        <v>957</v>
      </c>
      <c r="B233" s="372" t="s">
        <v>437</v>
      </c>
      <c r="C233" s="225" t="s">
        <v>807</v>
      </c>
      <c r="D233" s="184" t="s">
        <v>755</v>
      </c>
      <c r="E233" s="227"/>
      <c r="F233" s="228"/>
      <c r="G233" s="389">
        <v>31</v>
      </c>
      <c r="H233" s="137" t="s">
        <v>766</v>
      </c>
      <c r="I233" s="309">
        <v>0</v>
      </c>
      <c r="J233" s="308">
        <v>0</v>
      </c>
      <c r="K233" s="138">
        <f t="shared" si="11"/>
        <v>0</v>
      </c>
      <c r="L233" s="212">
        <f t="shared" si="12"/>
        <v>0</v>
      </c>
    </row>
    <row r="234" spans="1:12" outlineLevel="1" x14ac:dyDescent="0.3">
      <c r="A234" s="374" t="s">
        <v>958</v>
      </c>
      <c r="B234" s="372" t="s">
        <v>438</v>
      </c>
      <c r="C234" s="225" t="s">
        <v>808</v>
      </c>
      <c r="D234" s="184" t="s">
        <v>755</v>
      </c>
      <c r="E234" s="227"/>
      <c r="F234" s="228"/>
      <c r="G234" s="389">
        <v>31</v>
      </c>
      <c r="H234" s="137" t="s">
        <v>766</v>
      </c>
      <c r="I234" s="309">
        <v>0</v>
      </c>
      <c r="J234" s="308">
        <v>0</v>
      </c>
      <c r="K234" s="138">
        <f t="shared" si="11"/>
        <v>0</v>
      </c>
      <c r="L234" s="212">
        <f t="shared" si="12"/>
        <v>0</v>
      </c>
    </row>
    <row r="235" spans="1:12" outlineLevel="1" x14ac:dyDescent="0.3">
      <c r="A235" s="374" t="s">
        <v>959</v>
      </c>
      <c r="B235" s="372" t="s">
        <v>439</v>
      </c>
      <c r="C235" s="225" t="s">
        <v>809</v>
      </c>
      <c r="D235" s="184" t="s">
        <v>755</v>
      </c>
      <c r="E235" s="227"/>
      <c r="F235" s="228"/>
      <c r="G235" s="389">
        <v>51</v>
      </c>
      <c r="H235" s="137" t="s">
        <v>766</v>
      </c>
      <c r="I235" s="309">
        <v>0</v>
      </c>
      <c r="J235" s="308">
        <v>0</v>
      </c>
      <c r="K235" s="138">
        <f t="shared" si="11"/>
        <v>0</v>
      </c>
      <c r="L235" s="212">
        <f t="shared" si="12"/>
        <v>0</v>
      </c>
    </row>
    <row r="236" spans="1:12" outlineLevel="1" x14ac:dyDescent="0.3">
      <c r="A236" s="374" t="s">
        <v>960</v>
      </c>
      <c r="B236" s="372" t="s">
        <v>479</v>
      </c>
      <c r="C236" s="225" t="s">
        <v>810</v>
      </c>
      <c r="D236" s="184" t="s">
        <v>755</v>
      </c>
      <c r="E236" s="227"/>
      <c r="F236" s="228"/>
      <c r="G236" s="389">
        <v>15</v>
      </c>
      <c r="H236" s="137" t="s">
        <v>766</v>
      </c>
      <c r="I236" s="309">
        <v>0</v>
      </c>
      <c r="J236" s="308">
        <v>0</v>
      </c>
      <c r="K236" s="138">
        <f t="shared" si="11"/>
        <v>0</v>
      </c>
      <c r="L236" s="212">
        <f t="shared" si="12"/>
        <v>0</v>
      </c>
    </row>
    <row r="237" spans="1:12" outlineLevel="1" x14ac:dyDescent="0.3">
      <c r="A237" s="374" t="s">
        <v>961</v>
      </c>
      <c r="B237" s="372" t="s">
        <v>480</v>
      </c>
      <c r="C237" s="225" t="s">
        <v>811</v>
      </c>
      <c r="D237" s="184" t="s">
        <v>755</v>
      </c>
      <c r="E237" s="227"/>
      <c r="F237" s="228"/>
      <c r="G237" s="389">
        <v>31</v>
      </c>
      <c r="H237" s="137" t="s">
        <v>766</v>
      </c>
      <c r="I237" s="309">
        <v>0</v>
      </c>
      <c r="J237" s="308">
        <v>0</v>
      </c>
      <c r="K237" s="138">
        <f t="shared" si="11"/>
        <v>0</v>
      </c>
      <c r="L237" s="212">
        <f t="shared" si="12"/>
        <v>0</v>
      </c>
    </row>
    <row r="238" spans="1:12" outlineLevel="1" x14ac:dyDescent="0.3">
      <c r="A238" s="374" t="s">
        <v>962</v>
      </c>
      <c r="B238" s="372" t="s">
        <v>481</v>
      </c>
      <c r="C238" s="225" t="s">
        <v>812</v>
      </c>
      <c r="D238" s="184" t="s">
        <v>755</v>
      </c>
      <c r="E238" s="227"/>
      <c r="F238" s="228"/>
      <c r="G238" s="389">
        <v>5</v>
      </c>
      <c r="H238" s="137" t="s">
        <v>766</v>
      </c>
      <c r="I238" s="309">
        <v>0</v>
      </c>
      <c r="J238" s="308">
        <v>0</v>
      </c>
      <c r="K238" s="138">
        <f t="shared" si="11"/>
        <v>0</v>
      </c>
      <c r="L238" s="212">
        <f t="shared" si="12"/>
        <v>0</v>
      </c>
    </row>
    <row r="239" spans="1:12" ht="13.8" outlineLevel="1" x14ac:dyDescent="0.25">
      <c r="A239" s="348"/>
      <c r="B239" s="211" t="s">
        <v>482</v>
      </c>
      <c r="C239" s="225"/>
      <c r="D239" s="184"/>
      <c r="E239" s="227"/>
      <c r="F239" s="228"/>
      <c r="G239" s="391"/>
      <c r="H239" s="137" t="s">
        <v>766</v>
      </c>
      <c r="I239" s="309">
        <v>0</v>
      </c>
      <c r="J239" s="308">
        <v>0</v>
      </c>
      <c r="K239" s="138">
        <f t="shared" si="11"/>
        <v>0</v>
      </c>
      <c r="L239" s="212">
        <f t="shared" si="12"/>
        <v>0</v>
      </c>
    </row>
    <row r="240" spans="1:12" ht="13.8" outlineLevel="1" x14ac:dyDescent="0.25">
      <c r="A240" s="348"/>
      <c r="B240" s="211" t="s">
        <v>483</v>
      </c>
      <c r="C240" s="225"/>
      <c r="D240" s="184"/>
      <c r="E240" s="227"/>
      <c r="F240" s="228"/>
      <c r="G240" s="391"/>
      <c r="H240" s="137" t="s">
        <v>766</v>
      </c>
      <c r="I240" s="309">
        <v>0</v>
      </c>
      <c r="J240" s="308">
        <v>0</v>
      </c>
      <c r="K240" s="138">
        <f t="shared" si="11"/>
        <v>0</v>
      </c>
      <c r="L240" s="212">
        <f t="shared" si="12"/>
        <v>0</v>
      </c>
    </row>
    <row r="241" spans="1:13" ht="13.8" outlineLevel="1" x14ac:dyDescent="0.25">
      <c r="A241" s="348"/>
      <c r="B241" s="211" t="s">
        <v>484</v>
      </c>
      <c r="C241" s="225"/>
      <c r="D241" s="184"/>
      <c r="E241" s="227"/>
      <c r="F241" s="228"/>
      <c r="G241" s="391"/>
      <c r="H241" s="137" t="s">
        <v>766</v>
      </c>
      <c r="I241" s="309">
        <v>0</v>
      </c>
      <c r="J241" s="308">
        <v>0</v>
      </c>
      <c r="K241" s="138">
        <f t="shared" si="11"/>
        <v>0</v>
      </c>
      <c r="L241" s="212">
        <f t="shared" si="12"/>
        <v>0</v>
      </c>
    </row>
    <row r="242" spans="1:13" ht="13.8" outlineLevel="1" x14ac:dyDescent="0.25">
      <c r="A242" s="348"/>
      <c r="B242" s="211" t="s">
        <v>485</v>
      </c>
      <c r="C242" s="225"/>
      <c r="D242" s="184"/>
      <c r="E242" s="227"/>
      <c r="F242" s="228"/>
      <c r="G242" s="391"/>
      <c r="H242" s="137" t="s">
        <v>766</v>
      </c>
      <c r="I242" s="309">
        <v>0</v>
      </c>
      <c r="J242" s="308">
        <v>0</v>
      </c>
      <c r="K242" s="138">
        <f>G242*I242</f>
        <v>0</v>
      </c>
      <c r="L242" s="212">
        <f>G242*J242</f>
        <v>0</v>
      </c>
    </row>
    <row r="243" spans="1:13" ht="13.8" outlineLevel="1" x14ac:dyDescent="0.25">
      <c r="A243" s="348"/>
      <c r="B243" s="211" t="s">
        <v>486</v>
      </c>
      <c r="C243" s="225"/>
      <c r="D243" s="184"/>
      <c r="E243" s="227"/>
      <c r="F243" s="228"/>
      <c r="G243" s="391"/>
      <c r="H243" s="137" t="s">
        <v>766</v>
      </c>
      <c r="I243" s="309">
        <v>0</v>
      </c>
      <c r="J243" s="308">
        <v>0</v>
      </c>
      <c r="K243" s="138">
        <f>G243*I243</f>
        <v>0</v>
      </c>
      <c r="L243" s="212">
        <f>G243*J243</f>
        <v>0</v>
      </c>
    </row>
    <row r="244" spans="1:13" ht="13.8" outlineLevel="1" x14ac:dyDescent="0.25">
      <c r="A244" s="348"/>
      <c r="B244" s="211" t="s">
        <v>487</v>
      </c>
      <c r="C244" s="225"/>
      <c r="D244" s="184"/>
      <c r="E244" s="227"/>
      <c r="F244" s="228"/>
      <c r="G244" s="391"/>
      <c r="H244" s="137" t="s">
        <v>766</v>
      </c>
      <c r="I244" s="309">
        <v>0</v>
      </c>
      <c r="J244" s="308">
        <v>0</v>
      </c>
      <c r="K244" s="138">
        <f>G244*I244</f>
        <v>0</v>
      </c>
      <c r="L244" s="212">
        <f>G244*J244</f>
        <v>0</v>
      </c>
    </row>
    <row r="245" spans="1:13" ht="13.8" outlineLevel="1" x14ac:dyDescent="0.25">
      <c r="A245" s="348"/>
      <c r="B245" s="211" t="s">
        <v>488</v>
      </c>
      <c r="C245" s="225"/>
      <c r="D245" s="184"/>
      <c r="E245" s="227"/>
      <c r="F245" s="228"/>
      <c r="G245" s="386"/>
      <c r="H245" s="137" t="s">
        <v>766</v>
      </c>
      <c r="I245" s="309">
        <v>0</v>
      </c>
      <c r="J245" s="308">
        <v>0</v>
      </c>
      <c r="K245" s="138">
        <f t="shared" si="11"/>
        <v>0</v>
      </c>
      <c r="L245" s="212">
        <f t="shared" si="12"/>
        <v>0</v>
      </c>
    </row>
    <row r="246" spans="1:13" ht="13.8" x14ac:dyDescent="0.25">
      <c r="A246" s="348"/>
      <c r="B246" s="213"/>
      <c r="C246" s="139"/>
      <c r="D246" s="183"/>
      <c r="E246" s="111"/>
      <c r="F246" s="140"/>
      <c r="G246" s="387"/>
      <c r="H246" s="142"/>
      <c r="I246" s="143"/>
      <c r="J246" s="144"/>
      <c r="K246" s="145">
        <f>SUM(K216:K245)</f>
        <v>0</v>
      </c>
      <c r="L246" s="214">
        <f>SUM(L216:L245)</f>
        <v>0</v>
      </c>
    </row>
    <row r="247" spans="1:13" s="121" customFormat="1" ht="33.75" customHeight="1" x14ac:dyDescent="0.25">
      <c r="A247" s="376" t="s">
        <v>504</v>
      </c>
      <c r="B247" s="240" t="s">
        <v>338</v>
      </c>
      <c r="C247" s="311" t="s">
        <v>159</v>
      </c>
      <c r="D247" s="242"/>
      <c r="E247" s="243"/>
      <c r="F247" s="244"/>
      <c r="G247" s="388"/>
      <c r="H247" s="246"/>
      <c r="I247" s="247"/>
      <c r="J247" s="248"/>
      <c r="K247" s="249"/>
      <c r="L247" s="250"/>
      <c r="M247" s="118"/>
    </row>
    <row r="248" spans="1:13" ht="21" customHeight="1" outlineLevel="1" x14ac:dyDescent="0.3">
      <c r="A248" s="348"/>
      <c r="B248" s="211" t="s">
        <v>339</v>
      </c>
      <c r="C248" s="258" t="s">
        <v>357</v>
      </c>
      <c r="D248" s="182" t="s">
        <v>755</v>
      </c>
      <c r="E248" s="148" t="s">
        <v>718</v>
      </c>
      <c r="F248" s="136"/>
      <c r="G248" s="281"/>
      <c r="H248" s="137" t="s">
        <v>340</v>
      </c>
      <c r="I248" s="309">
        <v>0</v>
      </c>
      <c r="J248" s="308">
        <v>0</v>
      </c>
      <c r="K248" s="138">
        <f t="shared" ref="K248:K280" si="13">G248*I248</f>
        <v>0</v>
      </c>
      <c r="L248" s="212">
        <f t="shared" ref="L248:L297" si="14">G248*J248</f>
        <v>0</v>
      </c>
    </row>
    <row r="249" spans="1:13" ht="19.2" customHeight="1" outlineLevel="1" x14ac:dyDescent="0.3">
      <c r="A249" s="349" t="s">
        <v>573</v>
      </c>
      <c r="B249" s="211" t="s">
        <v>341</v>
      </c>
      <c r="C249" s="177" t="s">
        <v>358</v>
      </c>
      <c r="D249" s="182" t="s">
        <v>755</v>
      </c>
      <c r="E249" s="148" t="s">
        <v>710</v>
      </c>
      <c r="F249" s="136"/>
      <c r="G249" s="281">
        <v>3200</v>
      </c>
      <c r="H249" s="137" t="s">
        <v>340</v>
      </c>
      <c r="I249" s="309">
        <v>0</v>
      </c>
      <c r="J249" s="308">
        <v>0</v>
      </c>
      <c r="K249" s="138">
        <f t="shared" si="13"/>
        <v>0</v>
      </c>
      <c r="L249" s="212">
        <f t="shared" si="14"/>
        <v>0</v>
      </c>
    </row>
    <row r="250" spans="1:13" ht="22.95" customHeight="1" outlineLevel="1" x14ac:dyDescent="0.3">
      <c r="A250" s="348"/>
      <c r="B250" s="211" t="s">
        <v>342</v>
      </c>
      <c r="C250" s="177" t="s">
        <v>739</v>
      </c>
      <c r="D250" s="182" t="s">
        <v>755</v>
      </c>
      <c r="E250" s="148" t="s">
        <v>713</v>
      </c>
      <c r="F250" s="136"/>
      <c r="G250" s="281"/>
      <c r="H250" s="137" t="s">
        <v>340</v>
      </c>
      <c r="I250" s="309">
        <v>0</v>
      </c>
      <c r="J250" s="308">
        <v>0</v>
      </c>
      <c r="K250" s="138">
        <f t="shared" si="13"/>
        <v>0</v>
      </c>
      <c r="L250" s="212">
        <f t="shared" si="14"/>
        <v>0</v>
      </c>
    </row>
    <row r="251" spans="1:13" ht="22.95" customHeight="1" outlineLevel="1" x14ac:dyDescent="0.3">
      <c r="A251" s="348"/>
      <c r="B251" s="211" t="s">
        <v>343</v>
      </c>
      <c r="C251" s="177" t="s">
        <v>738</v>
      </c>
      <c r="D251" s="182" t="s">
        <v>755</v>
      </c>
      <c r="E251" s="148" t="s">
        <v>714</v>
      </c>
      <c r="F251" s="136"/>
      <c r="G251" s="281"/>
      <c r="H251" s="137" t="s">
        <v>340</v>
      </c>
      <c r="I251" s="309">
        <v>0</v>
      </c>
      <c r="J251" s="308">
        <v>0</v>
      </c>
      <c r="K251" s="138">
        <f t="shared" si="13"/>
        <v>0</v>
      </c>
      <c r="L251" s="212">
        <f t="shared" si="14"/>
        <v>0</v>
      </c>
    </row>
    <row r="252" spans="1:13" ht="19.2" customHeight="1" outlineLevel="1" x14ac:dyDescent="0.3">
      <c r="A252" s="348"/>
      <c r="B252" s="211" t="s">
        <v>344</v>
      </c>
      <c r="C252" s="177" t="s">
        <v>737</v>
      </c>
      <c r="D252" s="182" t="s">
        <v>755</v>
      </c>
      <c r="E252" s="148" t="s">
        <v>715</v>
      </c>
      <c r="F252" s="136"/>
      <c r="G252" s="281"/>
      <c r="H252" s="137" t="s">
        <v>340</v>
      </c>
      <c r="I252" s="309">
        <v>0</v>
      </c>
      <c r="J252" s="308">
        <v>0</v>
      </c>
      <c r="K252" s="138">
        <f t="shared" si="13"/>
        <v>0</v>
      </c>
      <c r="L252" s="212">
        <f t="shared" si="14"/>
        <v>0</v>
      </c>
    </row>
    <row r="253" spans="1:13" ht="25.95" customHeight="1" outlineLevel="1" x14ac:dyDescent="0.3">
      <c r="A253" s="349" t="s">
        <v>564</v>
      </c>
      <c r="B253" s="211" t="s">
        <v>345</v>
      </c>
      <c r="C253" s="177" t="s">
        <v>736</v>
      </c>
      <c r="D253" s="182" t="s">
        <v>755</v>
      </c>
      <c r="E253" s="148" t="s">
        <v>711</v>
      </c>
      <c r="F253" s="136"/>
      <c r="G253" s="281">
        <v>1600</v>
      </c>
      <c r="H253" s="137" t="s">
        <v>340</v>
      </c>
      <c r="I253" s="309">
        <v>0</v>
      </c>
      <c r="J253" s="308">
        <v>0</v>
      </c>
      <c r="K253" s="138">
        <f t="shared" si="13"/>
        <v>0</v>
      </c>
      <c r="L253" s="212">
        <f t="shared" si="14"/>
        <v>0</v>
      </c>
    </row>
    <row r="254" spans="1:13" ht="21" customHeight="1" outlineLevel="1" x14ac:dyDescent="0.3">
      <c r="A254" s="349" t="s">
        <v>566</v>
      </c>
      <c r="B254" s="211" t="s">
        <v>346</v>
      </c>
      <c r="C254" s="177" t="s">
        <v>735</v>
      </c>
      <c r="D254" s="182" t="s">
        <v>755</v>
      </c>
      <c r="E254" s="148" t="s">
        <v>712</v>
      </c>
      <c r="F254" s="136"/>
      <c r="G254" s="281">
        <v>0</v>
      </c>
      <c r="H254" s="137" t="s">
        <v>340</v>
      </c>
      <c r="I254" s="309">
        <v>0</v>
      </c>
      <c r="J254" s="308">
        <v>0</v>
      </c>
      <c r="K254" s="138">
        <f t="shared" si="13"/>
        <v>0</v>
      </c>
      <c r="L254" s="212">
        <f t="shared" si="14"/>
        <v>0</v>
      </c>
    </row>
    <row r="255" spans="1:13" ht="25.2" customHeight="1" outlineLevel="1" x14ac:dyDescent="0.3">
      <c r="A255" s="349" t="s">
        <v>567</v>
      </c>
      <c r="B255" s="211" t="s">
        <v>347</v>
      </c>
      <c r="C255" s="177" t="s">
        <v>734</v>
      </c>
      <c r="D255" s="182" t="s">
        <v>755</v>
      </c>
      <c r="E255" s="148" t="s">
        <v>712</v>
      </c>
      <c r="F255" s="136"/>
      <c r="G255" s="281">
        <v>1600</v>
      </c>
      <c r="H255" s="137" t="s">
        <v>340</v>
      </c>
      <c r="I255" s="309">
        <v>0</v>
      </c>
      <c r="J255" s="308">
        <v>0</v>
      </c>
      <c r="K255" s="138">
        <f t="shared" si="13"/>
        <v>0</v>
      </c>
      <c r="L255" s="212">
        <f t="shared" si="14"/>
        <v>0</v>
      </c>
    </row>
    <row r="256" spans="1:13" ht="22.95" customHeight="1" outlineLevel="1" x14ac:dyDescent="0.3">
      <c r="A256" s="348"/>
      <c r="B256" s="211" t="s">
        <v>348</v>
      </c>
      <c r="C256" s="258" t="s">
        <v>740</v>
      </c>
      <c r="D256" s="182" t="s">
        <v>755</v>
      </c>
      <c r="E256" s="148" t="s">
        <v>716</v>
      </c>
      <c r="F256" s="136"/>
      <c r="G256" s="281"/>
      <c r="H256" s="137" t="s">
        <v>340</v>
      </c>
      <c r="I256" s="309">
        <v>0</v>
      </c>
      <c r="J256" s="308">
        <v>0</v>
      </c>
      <c r="K256" s="138">
        <f t="shared" si="13"/>
        <v>0</v>
      </c>
      <c r="L256" s="212">
        <f t="shared" si="14"/>
        <v>0</v>
      </c>
    </row>
    <row r="257" spans="1:12" ht="19.95" customHeight="1" outlineLevel="1" x14ac:dyDescent="0.3">
      <c r="A257" s="349" t="s">
        <v>565</v>
      </c>
      <c r="B257" s="211" t="s">
        <v>349</v>
      </c>
      <c r="C257" s="177" t="s">
        <v>733</v>
      </c>
      <c r="D257" s="182" t="s">
        <v>755</v>
      </c>
      <c r="E257" s="148" t="s">
        <v>717</v>
      </c>
      <c r="F257" s="136"/>
      <c r="G257" s="281">
        <v>360</v>
      </c>
      <c r="H257" s="137" t="s">
        <v>340</v>
      </c>
      <c r="I257" s="309">
        <v>0</v>
      </c>
      <c r="J257" s="308">
        <v>0</v>
      </c>
      <c r="K257" s="138">
        <f t="shared" si="13"/>
        <v>0</v>
      </c>
      <c r="L257" s="212">
        <f t="shared" si="14"/>
        <v>0</v>
      </c>
    </row>
    <row r="258" spans="1:12" ht="21" customHeight="1" outlineLevel="1" x14ac:dyDescent="0.3">
      <c r="A258" s="349" t="s">
        <v>562</v>
      </c>
      <c r="B258" s="211" t="s">
        <v>813</v>
      </c>
      <c r="C258" s="177" t="s">
        <v>359</v>
      </c>
      <c r="D258" s="182" t="s">
        <v>755</v>
      </c>
      <c r="E258" s="257" t="s">
        <v>724</v>
      </c>
      <c r="F258" s="136"/>
      <c r="G258" s="281">
        <v>7080</v>
      </c>
      <c r="H258" s="137" t="s">
        <v>340</v>
      </c>
      <c r="I258" s="309">
        <v>0</v>
      </c>
      <c r="J258" s="308">
        <v>0</v>
      </c>
      <c r="K258" s="138">
        <f t="shared" si="13"/>
        <v>0</v>
      </c>
      <c r="L258" s="212">
        <f t="shared" si="14"/>
        <v>0</v>
      </c>
    </row>
    <row r="259" spans="1:12" ht="21.6" customHeight="1" outlineLevel="1" x14ac:dyDescent="0.3">
      <c r="A259" s="348"/>
      <c r="B259" s="211" t="s">
        <v>814</v>
      </c>
      <c r="C259" s="258" t="s">
        <v>360</v>
      </c>
      <c r="D259" s="182" t="s">
        <v>755</v>
      </c>
      <c r="E259" s="257" t="s">
        <v>725</v>
      </c>
      <c r="F259" s="136"/>
      <c r="G259" s="281"/>
      <c r="H259" s="137" t="s">
        <v>340</v>
      </c>
      <c r="I259" s="309">
        <v>0</v>
      </c>
      <c r="J259" s="308">
        <v>0</v>
      </c>
      <c r="K259" s="138">
        <f t="shared" si="13"/>
        <v>0</v>
      </c>
      <c r="L259" s="212">
        <f t="shared" si="14"/>
        <v>0</v>
      </c>
    </row>
    <row r="260" spans="1:12" ht="20.399999999999999" customHeight="1" outlineLevel="1" x14ac:dyDescent="0.3">
      <c r="A260" s="348"/>
      <c r="B260" s="211" t="s">
        <v>815</v>
      </c>
      <c r="C260" s="258" t="s">
        <v>361</v>
      </c>
      <c r="D260" s="182" t="s">
        <v>755</v>
      </c>
      <c r="E260" s="257" t="s">
        <v>726</v>
      </c>
      <c r="F260" s="136"/>
      <c r="G260" s="281"/>
      <c r="H260" s="137" t="s">
        <v>340</v>
      </c>
      <c r="I260" s="309">
        <v>0</v>
      </c>
      <c r="J260" s="308">
        <v>0</v>
      </c>
      <c r="K260" s="138">
        <f t="shared" si="13"/>
        <v>0</v>
      </c>
      <c r="L260" s="212">
        <f t="shared" si="14"/>
        <v>0</v>
      </c>
    </row>
    <row r="261" spans="1:12" ht="19.95" customHeight="1" outlineLevel="1" x14ac:dyDescent="0.3">
      <c r="A261" s="348"/>
      <c r="B261" s="211" t="s">
        <v>816</v>
      </c>
      <c r="C261" s="258" t="s">
        <v>362</v>
      </c>
      <c r="D261" s="182" t="s">
        <v>755</v>
      </c>
      <c r="E261" s="257" t="s">
        <v>727</v>
      </c>
      <c r="F261" s="136"/>
      <c r="G261" s="281"/>
      <c r="H261" s="137" t="s">
        <v>340</v>
      </c>
      <c r="I261" s="309">
        <v>0</v>
      </c>
      <c r="J261" s="308">
        <v>0</v>
      </c>
      <c r="K261" s="138">
        <f t="shared" si="13"/>
        <v>0</v>
      </c>
      <c r="L261" s="212">
        <f t="shared" si="14"/>
        <v>0</v>
      </c>
    </row>
    <row r="262" spans="1:12" ht="16.95" customHeight="1" outlineLevel="1" x14ac:dyDescent="0.3">
      <c r="A262" s="349" t="s">
        <v>580</v>
      </c>
      <c r="B262" s="211" t="s">
        <v>817</v>
      </c>
      <c r="C262" s="177" t="s">
        <v>363</v>
      </c>
      <c r="D262" s="182" t="s">
        <v>755</v>
      </c>
      <c r="E262" s="148" t="s">
        <v>719</v>
      </c>
      <c r="F262" s="136"/>
      <c r="G262" s="281">
        <v>2000</v>
      </c>
      <c r="H262" s="137" t="s">
        <v>340</v>
      </c>
      <c r="I262" s="309">
        <v>0</v>
      </c>
      <c r="J262" s="308">
        <v>0</v>
      </c>
      <c r="K262" s="138">
        <f t="shared" si="13"/>
        <v>0</v>
      </c>
      <c r="L262" s="212">
        <f t="shared" si="14"/>
        <v>0</v>
      </c>
    </row>
    <row r="263" spans="1:12" ht="21" customHeight="1" outlineLevel="1" x14ac:dyDescent="0.3">
      <c r="A263" s="349" t="s">
        <v>563</v>
      </c>
      <c r="B263" s="211" t="s">
        <v>818</v>
      </c>
      <c r="C263" s="177" t="s">
        <v>364</v>
      </c>
      <c r="D263" s="182" t="s">
        <v>755</v>
      </c>
      <c r="E263" s="148" t="s">
        <v>720</v>
      </c>
      <c r="F263" s="136"/>
      <c r="G263" s="281">
        <v>200</v>
      </c>
      <c r="H263" s="137" t="s">
        <v>340</v>
      </c>
      <c r="I263" s="309">
        <v>0</v>
      </c>
      <c r="J263" s="308">
        <v>0</v>
      </c>
      <c r="K263" s="138">
        <f t="shared" si="13"/>
        <v>0</v>
      </c>
      <c r="L263" s="212">
        <f t="shared" si="14"/>
        <v>0</v>
      </c>
    </row>
    <row r="264" spans="1:12" ht="19.95" customHeight="1" outlineLevel="1" x14ac:dyDescent="0.3">
      <c r="A264" s="349" t="s">
        <v>575</v>
      </c>
      <c r="B264" s="211" t="s">
        <v>819</v>
      </c>
      <c r="C264" s="177" t="s">
        <v>365</v>
      </c>
      <c r="D264" s="182" t="s">
        <v>755</v>
      </c>
      <c r="E264" s="148" t="s">
        <v>721</v>
      </c>
      <c r="F264" s="136"/>
      <c r="G264" s="281">
        <v>100</v>
      </c>
      <c r="H264" s="137" t="s">
        <v>340</v>
      </c>
      <c r="I264" s="309">
        <v>0</v>
      </c>
      <c r="J264" s="308">
        <v>0</v>
      </c>
      <c r="K264" s="138">
        <f t="shared" si="13"/>
        <v>0</v>
      </c>
      <c r="L264" s="212">
        <f t="shared" si="14"/>
        <v>0</v>
      </c>
    </row>
    <row r="265" spans="1:12" ht="22.2" customHeight="1" outlineLevel="1" x14ac:dyDescent="0.3">
      <c r="A265" s="349" t="s">
        <v>568</v>
      </c>
      <c r="B265" s="211" t="s">
        <v>820</v>
      </c>
      <c r="C265" s="177" t="s">
        <v>366</v>
      </c>
      <c r="D265" s="182" t="s">
        <v>755</v>
      </c>
      <c r="E265" s="148" t="s">
        <v>722</v>
      </c>
      <c r="F265" s="136"/>
      <c r="G265" s="281">
        <v>0</v>
      </c>
      <c r="H265" s="137" t="s">
        <v>340</v>
      </c>
      <c r="I265" s="309">
        <v>0</v>
      </c>
      <c r="J265" s="308">
        <v>0</v>
      </c>
      <c r="K265" s="138">
        <f t="shared" si="13"/>
        <v>0</v>
      </c>
      <c r="L265" s="212">
        <f t="shared" si="14"/>
        <v>0</v>
      </c>
    </row>
    <row r="266" spans="1:12" ht="16.95" customHeight="1" outlineLevel="1" x14ac:dyDescent="0.3">
      <c r="A266" s="349" t="s">
        <v>572</v>
      </c>
      <c r="B266" s="211" t="s">
        <v>821</v>
      </c>
      <c r="C266" s="177" t="s">
        <v>367</v>
      </c>
      <c r="D266" s="182" t="s">
        <v>755</v>
      </c>
      <c r="E266" s="257" t="s">
        <v>723</v>
      </c>
      <c r="F266" s="136"/>
      <c r="G266" s="281">
        <v>10740</v>
      </c>
      <c r="H266" s="137" t="s">
        <v>340</v>
      </c>
      <c r="I266" s="309">
        <v>0</v>
      </c>
      <c r="J266" s="308">
        <v>0</v>
      </c>
      <c r="K266" s="138">
        <f t="shared" si="13"/>
        <v>0</v>
      </c>
      <c r="L266" s="212">
        <f t="shared" si="14"/>
        <v>0</v>
      </c>
    </row>
    <row r="267" spans="1:12" ht="19.95" customHeight="1" outlineLevel="1" x14ac:dyDescent="0.3">
      <c r="A267" s="349" t="s">
        <v>571</v>
      </c>
      <c r="B267" s="211" t="s">
        <v>822</v>
      </c>
      <c r="C267" s="177" t="s">
        <v>368</v>
      </c>
      <c r="D267" s="182" t="s">
        <v>755</v>
      </c>
      <c r="E267" s="257" t="s">
        <v>728</v>
      </c>
      <c r="F267" s="136"/>
      <c r="G267" s="281">
        <v>800</v>
      </c>
      <c r="H267" s="137" t="s">
        <v>340</v>
      </c>
      <c r="I267" s="309">
        <v>0</v>
      </c>
      <c r="J267" s="308">
        <v>0</v>
      </c>
      <c r="K267" s="138">
        <f t="shared" si="13"/>
        <v>0</v>
      </c>
      <c r="L267" s="212">
        <f t="shared" si="14"/>
        <v>0</v>
      </c>
    </row>
    <row r="268" spans="1:12" ht="19.95" customHeight="1" outlineLevel="1" x14ac:dyDescent="0.3">
      <c r="A268" s="349" t="s">
        <v>570</v>
      </c>
      <c r="B268" s="211" t="s">
        <v>823</v>
      </c>
      <c r="C268" s="177" t="s">
        <v>369</v>
      </c>
      <c r="D268" s="182" t="s">
        <v>755</v>
      </c>
      <c r="E268" s="257" t="s">
        <v>729</v>
      </c>
      <c r="F268" s="136"/>
      <c r="G268" s="281">
        <v>3500</v>
      </c>
      <c r="H268" s="137" t="s">
        <v>340</v>
      </c>
      <c r="I268" s="309">
        <v>0</v>
      </c>
      <c r="J268" s="308">
        <v>0</v>
      </c>
      <c r="K268" s="138">
        <f t="shared" si="13"/>
        <v>0</v>
      </c>
      <c r="L268" s="212">
        <f t="shared" si="14"/>
        <v>0</v>
      </c>
    </row>
    <row r="269" spans="1:12" ht="19.95" customHeight="1" outlineLevel="1" x14ac:dyDescent="0.3">
      <c r="A269" s="349" t="s">
        <v>579</v>
      </c>
      <c r="B269" s="211" t="s">
        <v>824</v>
      </c>
      <c r="C269" s="177" t="s">
        <v>370</v>
      </c>
      <c r="D269" s="182" t="s">
        <v>755</v>
      </c>
      <c r="E269" s="257" t="s">
        <v>730</v>
      </c>
      <c r="F269" s="136"/>
      <c r="G269" s="281">
        <v>4280</v>
      </c>
      <c r="H269" s="137" t="s">
        <v>340</v>
      </c>
      <c r="I269" s="309">
        <v>0</v>
      </c>
      <c r="J269" s="308">
        <v>0</v>
      </c>
      <c r="K269" s="138">
        <f t="shared" si="13"/>
        <v>0</v>
      </c>
      <c r="L269" s="212">
        <f t="shared" si="14"/>
        <v>0</v>
      </c>
    </row>
    <row r="270" spans="1:12" ht="19.95" customHeight="1" outlineLevel="1" x14ac:dyDescent="0.3">
      <c r="A270" s="349" t="s">
        <v>576</v>
      </c>
      <c r="B270" s="211" t="s">
        <v>825</v>
      </c>
      <c r="C270" s="177" t="s">
        <v>731</v>
      </c>
      <c r="D270" s="182" t="s">
        <v>755</v>
      </c>
      <c r="E270" s="257" t="s">
        <v>741</v>
      </c>
      <c r="F270" s="136"/>
      <c r="G270" s="281">
        <v>2400</v>
      </c>
      <c r="H270" s="137" t="s">
        <v>340</v>
      </c>
      <c r="I270" s="309">
        <v>0</v>
      </c>
      <c r="J270" s="308">
        <v>0</v>
      </c>
      <c r="K270" s="138">
        <f t="shared" si="13"/>
        <v>0</v>
      </c>
      <c r="L270" s="212">
        <f t="shared" si="14"/>
        <v>0</v>
      </c>
    </row>
    <row r="271" spans="1:12" ht="19.95" customHeight="1" outlineLevel="1" x14ac:dyDescent="0.3">
      <c r="A271" s="349" t="s">
        <v>577</v>
      </c>
      <c r="B271" s="211" t="s">
        <v>826</v>
      </c>
      <c r="C271" s="177" t="s">
        <v>371</v>
      </c>
      <c r="D271" s="182" t="s">
        <v>755</v>
      </c>
      <c r="E271" s="257" t="s">
        <v>742</v>
      </c>
      <c r="F271" s="136"/>
      <c r="G271" s="281">
        <v>6800</v>
      </c>
      <c r="H271" s="137" t="s">
        <v>340</v>
      </c>
      <c r="I271" s="309">
        <v>0</v>
      </c>
      <c r="J271" s="308">
        <v>0</v>
      </c>
      <c r="K271" s="138">
        <f t="shared" si="13"/>
        <v>0</v>
      </c>
      <c r="L271" s="212">
        <f t="shared" si="14"/>
        <v>0</v>
      </c>
    </row>
    <row r="272" spans="1:12" ht="19.95" customHeight="1" outlineLevel="1" x14ac:dyDescent="0.3">
      <c r="A272" s="349" t="s">
        <v>574</v>
      </c>
      <c r="B272" s="211" t="s">
        <v>827</v>
      </c>
      <c r="C272" s="177" t="s">
        <v>732</v>
      </c>
      <c r="D272" s="182" t="s">
        <v>755</v>
      </c>
      <c r="E272" s="257" t="s">
        <v>744</v>
      </c>
      <c r="F272" s="136"/>
      <c r="G272" s="281">
        <v>360</v>
      </c>
      <c r="H272" s="137" t="s">
        <v>340</v>
      </c>
      <c r="I272" s="309">
        <v>0</v>
      </c>
      <c r="J272" s="308">
        <v>0</v>
      </c>
      <c r="K272" s="138">
        <f t="shared" si="13"/>
        <v>0</v>
      </c>
      <c r="L272" s="212">
        <f t="shared" si="14"/>
        <v>0</v>
      </c>
    </row>
    <row r="273" spans="1:13" ht="19.95" customHeight="1" outlineLevel="1" x14ac:dyDescent="0.3">
      <c r="A273" s="349" t="s">
        <v>578</v>
      </c>
      <c r="B273" s="211" t="s">
        <v>828</v>
      </c>
      <c r="C273" s="177" t="s">
        <v>372</v>
      </c>
      <c r="D273" s="182" t="s">
        <v>755</v>
      </c>
      <c r="E273" s="257" t="s">
        <v>743</v>
      </c>
      <c r="F273" s="136"/>
      <c r="G273" s="281">
        <v>5000</v>
      </c>
      <c r="H273" s="137" t="s">
        <v>340</v>
      </c>
      <c r="I273" s="309">
        <v>0</v>
      </c>
      <c r="J273" s="308">
        <v>0</v>
      </c>
      <c r="K273" s="138">
        <f t="shared" si="13"/>
        <v>0</v>
      </c>
      <c r="L273" s="212">
        <f t="shared" si="14"/>
        <v>0</v>
      </c>
    </row>
    <row r="274" spans="1:13" s="121" customFormat="1" ht="19.95" customHeight="1" outlineLevel="1" x14ac:dyDescent="0.3">
      <c r="A274" s="350" t="s">
        <v>569</v>
      </c>
      <c r="B274" s="211" t="s">
        <v>829</v>
      </c>
      <c r="C274" s="177" t="s">
        <v>373</v>
      </c>
      <c r="D274" s="251" t="s">
        <v>755</v>
      </c>
      <c r="E274" s="252" t="s">
        <v>745</v>
      </c>
      <c r="F274" s="253"/>
      <c r="G274" s="282">
        <v>5760</v>
      </c>
      <c r="H274" s="254" t="s">
        <v>340</v>
      </c>
      <c r="I274" s="309">
        <v>0</v>
      </c>
      <c r="J274" s="310">
        <v>0</v>
      </c>
      <c r="K274" s="255">
        <f>G274*I274</f>
        <v>0</v>
      </c>
      <c r="L274" s="256">
        <f>G274*J274</f>
        <v>0</v>
      </c>
      <c r="M274" s="118"/>
    </row>
    <row r="275" spans="1:13" ht="19.95" customHeight="1" outlineLevel="1" x14ac:dyDescent="0.3">
      <c r="A275" s="349" t="s">
        <v>581</v>
      </c>
      <c r="B275" s="211" t="s">
        <v>830</v>
      </c>
      <c r="C275" s="177" t="s">
        <v>376</v>
      </c>
      <c r="D275" s="182" t="s">
        <v>755</v>
      </c>
      <c r="E275" s="148" t="s">
        <v>754</v>
      </c>
      <c r="F275" s="136"/>
      <c r="G275" s="282">
        <v>9160</v>
      </c>
      <c r="H275" s="137" t="s">
        <v>340</v>
      </c>
      <c r="I275" s="309">
        <v>0</v>
      </c>
      <c r="J275" s="308">
        <v>0</v>
      </c>
      <c r="K275" s="138">
        <f>G275*I275</f>
        <v>0</v>
      </c>
      <c r="L275" s="212">
        <f>G275*J275</f>
        <v>0</v>
      </c>
    </row>
    <row r="276" spans="1:13" ht="19.95" customHeight="1" outlineLevel="1" x14ac:dyDescent="0.3">
      <c r="A276" s="348"/>
      <c r="B276" s="211" t="s">
        <v>831</v>
      </c>
      <c r="C276" s="258" t="s">
        <v>747</v>
      </c>
      <c r="D276" s="182" t="s">
        <v>755</v>
      </c>
      <c r="E276" s="148" t="s">
        <v>746</v>
      </c>
      <c r="F276" s="136"/>
      <c r="G276" s="281"/>
      <c r="H276" s="137" t="s">
        <v>238</v>
      </c>
      <c r="I276" s="309">
        <v>0</v>
      </c>
      <c r="J276" s="308">
        <v>0</v>
      </c>
      <c r="K276" s="138">
        <f t="shared" si="13"/>
        <v>0</v>
      </c>
      <c r="L276" s="212">
        <f t="shared" si="14"/>
        <v>0</v>
      </c>
    </row>
    <row r="277" spans="1:13" ht="19.95" customHeight="1" outlineLevel="1" x14ac:dyDescent="0.3">
      <c r="A277" s="348"/>
      <c r="B277" s="211" t="s">
        <v>832</v>
      </c>
      <c r="C277" s="258" t="s">
        <v>751</v>
      </c>
      <c r="D277" s="182" t="s">
        <v>755</v>
      </c>
      <c r="E277" s="148" t="s">
        <v>748</v>
      </c>
      <c r="F277" s="136"/>
      <c r="G277" s="281"/>
      <c r="H277" s="137" t="s">
        <v>340</v>
      </c>
      <c r="I277" s="309">
        <v>0</v>
      </c>
      <c r="J277" s="308">
        <v>0</v>
      </c>
      <c r="K277" s="138">
        <f t="shared" si="13"/>
        <v>0</v>
      </c>
      <c r="L277" s="212">
        <f t="shared" si="14"/>
        <v>0</v>
      </c>
    </row>
    <row r="278" spans="1:13" ht="19.95" customHeight="1" outlineLevel="1" x14ac:dyDescent="0.3">
      <c r="A278" s="348"/>
      <c r="B278" s="211" t="s">
        <v>833</v>
      </c>
      <c r="C278" s="258" t="s">
        <v>752</v>
      </c>
      <c r="D278" s="182" t="s">
        <v>755</v>
      </c>
      <c r="E278" s="148" t="s">
        <v>749</v>
      </c>
      <c r="F278" s="136"/>
      <c r="G278" s="281"/>
      <c r="H278" s="137" t="s">
        <v>340</v>
      </c>
      <c r="I278" s="309">
        <v>0</v>
      </c>
      <c r="J278" s="308">
        <v>0</v>
      </c>
      <c r="K278" s="138">
        <f t="shared" si="13"/>
        <v>0</v>
      </c>
      <c r="L278" s="212">
        <f t="shared" si="14"/>
        <v>0</v>
      </c>
    </row>
    <row r="279" spans="1:13" ht="19.95" customHeight="1" outlineLevel="1" x14ac:dyDescent="0.3">
      <c r="A279" s="348"/>
      <c r="B279" s="211" t="s">
        <v>834</v>
      </c>
      <c r="C279" s="258" t="s">
        <v>374</v>
      </c>
      <c r="D279" s="182" t="s">
        <v>755</v>
      </c>
      <c r="E279" s="148" t="s">
        <v>750</v>
      </c>
      <c r="F279" s="136"/>
      <c r="G279" s="281"/>
      <c r="H279" s="137" t="s">
        <v>340</v>
      </c>
      <c r="I279" s="309">
        <v>0</v>
      </c>
      <c r="J279" s="308">
        <v>0</v>
      </c>
      <c r="K279" s="138">
        <f t="shared" si="13"/>
        <v>0</v>
      </c>
      <c r="L279" s="212">
        <f t="shared" si="14"/>
        <v>0</v>
      </c>
    </row>
    <row r="280" spans="1:13" ht="19.95" customHeight="1" outlineLevel="1" x14ac:dyDescent="0.3">
      <c r="A280" s="348"/>
      <c r="B280" s="211" t="s">
        <v>835</v>
      </c>
      <c r="C280" s="258" t="s">
        <v>375</v>
      </c>
      <c r="D280" s="182" t="s">
        <v>755</v>
      </c>
      <c r="E280" s="148" t="s">
        <v>753</v>
      </c>
      <c r="F280" s="136"/>
      <c r="G280" s="281"/>
      <c r="H280" s="137" t="s">
        <v>340</v>
      </c>
      <c r="I280" s="309">
        <v>0</v>
      </c>
      <c r="J280" s="308">
        <v>0</v>
      </c>
      <c r="K280" s="138">
        <f t="shared" si="13"/>
        <v>0</v>
      </c>
      <c r="L280" s="212">
        <f t="shared" si="14"/>
        <v>0</v>
      </c>
    </row>
    <row r="281" spans="1:13" ht="19.95" customHeight="1" outlineLevel="1" x14ac:dyDescent="0.3">
      <c r="A281" s="348"/>
      <c r="B281" s="211" t="s">
        <v>836</v>
      </c>
      <c r="C281" s="177"/>
      <c r="D281" s="182"/>
      <c r="E281" s="148"/>
      <c r="F281" s="136"/>
      <c r="G281" s="150"/>
      <c r="H281" s="137"/>
      <c r="I281" s="309">
        <v>0</v>
      </c>
      <c r="J281" s="308">
        <v>0</v>
      </c>
      <c r="K281" s="138">
        <f>G281*I281</f>
        <v>0</v>
      </c>
      <c r="L281" s="212">
        <f>G281*J281</f>
        <v>0</v>
      </c>
    </row>
    <row r="282" spans="1:13" ht="19.95" customHeight="1" outlineLevel="1" x14ac:dyDescent="0.3">
      <c r="A282" s="378" t="s">
        <v>974</v>
      </c>
      <c r="B282" s="383" t="s">
        <v>350</v>
      </c>
      <c r="C282" s="382" t="s">
        <v>377</v>
      </c>
      <c r="D282" s="182"/>
      <c r="E282" s="148"/>
      <c r="F282" s="136"/>
      <c r="G282" s="150"/>
      <c r="H282" s="137"/>
      <c r="I282" s="309">
        <v>0</v>
      </c>
      <c r="J282" s="308">
        <v>0</v>
      </c>
      <c r="K282" s="138">
        <f>G282*I282</f>
        <v>0</v>
      </c>
      <c r="L282" s="212">
        <f t="shared" si="14"/>
        <v>0</v>
      </c>
    </row>
    <row r="283" spans="1:13" ht="19.95" customHeight="1" outlineLevel="1" x14ac:dyDescent="0.3">
      <c r="A283" s="377" t="s">
        <v>963</v>
      </c>
      <c r="B283" s="211" t="s">
        <v>837</v>
      </c>
      <c r="C283" s="177" t="s">
        <v>703</v>
      </c>
      <c r="D283" s="182" t="s">
        <v>756</v>
      </c>
      <c r="E283" s="148" t="s">
        <v>377</v>
      </c>
      <c r="F283" s="136"/>
      <c r="G283" s="281"/>
      <c r="H283" s="137" t="s">
        <v>766</v>
      </c>
      <c r="I283" s="307"/>
      <c r="J283" s="308">
        <v>0</v>
      </c>
      <c r="K283" s="307"/>
      <c r="L283" s="212">
        <f t="shared" si="14"/>
        <v>0</v>
      </c>
    </row>
    <row r="284" spans="1:13" ht="19.95" customHeight="1" outlineLevel="1" x14ac:dyDescent="0.3">
      <c r="A284" s="375" t="s">
        <v>964</v>
      </c>
      <c r="B284" s="211" t="s">
        <v>838</v>
      </c>
      <c r="C284" s="178" t="s">
        <v>704</v>
      </c>
      <c r="D284" s="182" t="s">
        <v>756</v>
      </c>
      <c r="E284" s="148" t="s">
        <v>377</v>
      </c>
      <c r="F284" s="136"/>
      <c r="G284" s="281"/>
      <c r="H284" s="137" t="s">
        <v>766</v>
      </c>
      <c r="I284" s="307"/>
      <c r="J284" s="308">
        <v>0</v>
      </c>
      <c r="K284" s="307"/>
      <c r="L284" s="212">
        <f t="shared" si="14"/>
        <v>0</v>
      </c>
    </row>
    <row r="285" spans="1:13" ht="19.95" customHeight="1" outlineLevel="1" x14ac:dyDescent="0.3">
      <c r="A285" s="375" t="s">
        <v>965</v>
      </c>
      <c r="B285" s="211" t="s">
        <v>839</v>
      </c>
      <c r="C285" s="177" t="s">
        <v>705</v>
      </c>
      <c r="D285" s="182" t="s">
        <v>756</v>
      </c>
      <c r="E285" s="148" t="s">
        <v>377</v>
      </c>
      <c r="F285" s="136"/>
      <c r="G285" s="281"/>
      <c r="H285" s="137" t="s">
        <v>766</v>
      </c>
      <c r="I285" s="307"/>
      <c r="J285" s="308">
        <v>0</v>
      </c>
      <c r="K285" s="307"/>
      <c r="L285" s="212">
        <f t="shared" si="14"/>
        <v>0</v>
      </c>
    </row>
    <row r="286" spans="1:13" ht="19.95" customHeight="1" outlineLevel="1" x14ac:dyDescent="0.3">
      <c r="A286" s="375" t="s">
        <v>966</v>
      </c>
      <c r="B286" s="211" t="s">
        <v>840</v>
      </c>
      <c r="C286" s="177" t="s">
        <v>706</v>
      </c>
      <c r="D286" s="182" t="s">
        <v>756</v>
      </c>
      <c r="E286" s="148" t="s">
        <v>377</v>
      </c>
      <c r="F286" s="136"/>
      <c r="G286" s="281"/>
      <c r="H286" s="137" t="s">
        <v>766</v>
      </c>
      <c r="I286" s="307"/>
      <c r="J286" s="308">
        <v>0</v>
      </c>
      <c r="K286" s="307"/>
      <c r="L286" s="212">
        <f t="shared" si="14"/>
        <v>0</v>
      </c>
    </row>
    <row r="287" spans="1:13" ht="19.95" customHeight="1" outlineLevel="1" x14ac:dyDescent="0.3">
      <c r="A287" s="375" t="s">
        <v>967</v>
      </c>
      <c r="B287" s="211" t="s">
        <v>841</v>
      </c>
      <c r="C287" s="177" t="s">
        <v>707</v>
      </c>
      <c r="D287" s="182" t="s">
        <v>756</v>
      </c>
      <c r="E287" s="148" t="s">
        <v>377</v>
      </c>
      <c r="F287" s="136"/>
      <c r="G287" s="281"/>
      <c r="H287" s="137" t="s">
        <v>766</v>
      </c>
      <c r="I287" s="307"/>
      <c r="J287" s="308">
        <v>0</v>
      </c>
      <c r="K287" s="307"/>
      <c r="L287" s="212">
        <f t="shared" si="14"/>
        <v>0</v>
      </c>
    </row>
    <row r="288" spans="1:13" ht="19.95" customHeight="1" outlineLevel="1" x14ac:dyDescent="0.3">
      <c r="A288" s="375" t="s">
        <v>968</v>
      </c>
      <c r="B288" s="211" t="s">
        <v>842</v>
      </c>
      <c r="C288" s="177" t="s">
        <v>708</v>
      </c>
      <c r="D288" s="182" t="s">
        <v>756</v>
      </c>
      <c r="E288" s="148" t="s">
        <v>377</v>
      </c>
      <c r="F288" s="136"/>
      <c r="G288" s="281"/>
      <c r="H288" s="137" t="s">
        <v>766</v>
      </c>
      <c r="I288" s="307"/>
      <c r="J288" s="308">
        <v>0</v>
      </c>
      <c r="K288" s="307"/>
      <c r="L288" s="212">
        <f>G288*J288</f>
        <v>0</v>
      </c>
    </row>
    <row r="289" spans="1:12" ht="19.95" customHeight="1" outlineLevel="1" x14ac:dyDescent="0.3">
      <c r="A289" s="375" t="s">
        <v>969</v>
      </c>
      <c r="B289" s="211" t="s">
        <v>843</v>
      </c>
      <c r="C289" s="177" t="s">
        <v>709</v>
      </c>
      <c r="D289" s="182" t="s">
        <v>756</v>
      </c>
      <c r="E289" s="148" t="s">
        <v>377</v>
      </c>
      <c r="F289" s="136"/>
      <c r="G289" s="281"/>
      <c r="H289" s="137" t="s">
        <v>766</v>
      </c>
      <c r="I289" s="307"/>
      <c r="J289" s="308">
        <v>0</v>
      </c>
      <c r="K289" s="307"/>
      <c r="L289" s="212">
        <f>G289*J289</f>
        <v>0</v>
      </c>
    </row>
    <row r="290" spans="1:12" ht="19.95" customHeight="1" outlineLevel="1" x14ac:dyDescent="0.3">
      <c r="A290" s="375" t="s">
        <v>970</v>
      </c>
      <c r="B290" s="211" t="s">
        <v>844</v>
      </c>
      <c r="C290" s="177" t="s">
        <v>700</v>
      </c>
      <c r="D290" s="182" t="s">
        <v>756</v>
      </c>
      <c r="E290" s="148" t="s">
        <v>377</v>
      </c>
      <c r="F290" s="136"/>
      <c r="G290" s="281"/>
      <c r="H290" s="137" t="s">
        <v>766</v>
      </c>
      <c r="I290" s="307"/>
      <c r="J290" s="308">
        <v>0</v>
      </c>
      <c r="K290" s="307"/>
      <c r="L290" s="212">
        <f>G290*J290</f>
        <v>0</v>
      </c>
    </row>
    <row r="291" spans="1:12" ht="19.95" customHeight="1" outlineLevel="1" x14ac:dyDescent="0.3">
      <c r="A291" s="375" t="s">
        <v>971</v>
      </c>
      <c r="B291" s="211" t="s">
        <v>845</v>
      </c>
      <c r="C291" s="177" t="s">
        <v>701</v>
      </c>
      <c r="D291" s="182" t="s">
        <v>756</v>
      </c>
      <c r="E291" s="148" t="s">
        <v>377</v>
      </c>
      <c r="F291" s="136"/>
      <c r="G291" s="281"/>
      <c r="H291" s="137" t="s">
        <v>766</v>
      </c>
      <c r="I291" s="307"/>
      <c r="J291" s="308">
        <v>0</v>
      </c>
      <c r="K291" s="307"/>
      <c r="L291" s="212">
        <f>G291*J291</f>
        <v>0</v>
      </c>
    </row>
    <row r="292" spans="1:12" ht="19.95" customHeight="1" outlineLevel="1" x14ac:dyDescent="0.3">
      <c r="A292" s="375" t="s">
        <v>972</v>
      </c>
      <c r="B292" s="211" t="s">
        <v>846</v>
      </c>
      <c r="C292" s="178" t="s">
        <v>702</v>
      </c>
      <c r="D292" s="182" t="s">
        <v>756</v>
      </c>
      <c r="E292" s="148" t="s">
        <v>377</v>
      </c>
      <c r="F292" s="136"/>
      <c r="G292" s="281"/>
      <c r="H292" s="137" t="s">
        <v>766</v>
      </c>
      <c r="I292" s="307"/>
      <c r="J292" s="308">
        <v>0</v>
      </c>
      <c r="K292" s="307"/>
      <c r="L292" s="212">
        <f t="shared" si="14"/>
        <v>0</v>
      </c>
    </row>
    <row r="293" spans="1:12" outlineLevel="1" x14ac:dyDescent="0.3">
      <c r="A293" s="348"/>
      <c r="B293" s="211" t="s">
        <v>847</v>
      </c>
      <c r="C293" s="178"/>
      <c r="D293" s="182"/>
      <c r="E293" s="148"/>
      <c r="F293" s="136"/>
      <c r="G293" s="150"/>
      <c r="H293" s="137"/>
      <c r="I293" s="307"/>
      <c r="J293" s="308">
        <v>0</v>
      </c>
      <c r="K293" s="307"/>
      <c r="L293" s="212">
        <f>G293*J293</f>
        <v>0</v>
      </c>
    </row>
    <row r="294" spans="1:12" outlineLevel="1" x14ac:dyDescent="0.3">
      <c r="A294" s="348"/>
      <c r="B294" s="211" t="s">
        <v>848</v>
      </c>
      <c r="C294" s="178"/>
      <c r="D294" s="182"/>
      <c r="E294" s="148"/>
      <c r="F294" s="136"/>
      <c r="G294" s="150"/>
      <c r="H294" s="137"/>
      <c r="I294" s="307"/>
      <c r="J294" s="308">
        <v>0</v>
      </c>
      <c r="K294" s="307"/>
      <c r="L294" s="212">
        <f>G294*J294</f>
        <v>0</v>
      </c>
    </row>
    <row r="295" spans="1:12" outlineLevel="1" x14ac:dyDescent="0.3">
      <c r="A295" s="348"/>
      <c r="B295" s="211" t="s">
        <v>849</v>
      </c>
      <c r="C295" s="178"/>
      <c r="D295" s="182"/>
      <c r="E295" s="148"/>
      <c r="F295" s="136"/>
      <c r="G295" s="150"/>
      <c r="H295" s="137"/>
      <c r="I295" s="307"/>
      <c r="J295" s="308">
        <v>0</v>
      </c>
      <c r="K295" s="307"/>
      <c r="L295" s="212">
        <f>G295*J295</f>
        <v>0</v>
      </c>
    </row>
    <row r="296" spans="1:12" outlineLevel="1" x14ac:dyDescent="0.3">
      <c r="A296" s="348"/>
      <c r="B296" s="211" t="s">
        <v>850</v>
      </c>
      <c r="C296" s="178"/>
      <c r="D296" s="182"/>
      <c r="E296" s="148"/>
      <c r="F296" s="136"/>
      <c r="G296" s="150"/>
      <c r="H296" s="137"/>
      <c r="I296" s="307"/>
      <c r="J296" s="308">
        <v>0</v>
      </c>
      <c r="K296" s="307"/>
      <c r="L296" s="212">
        <f t="shared" si="14"/>
        <v>0</v>
      </c>
    </row>
    <row r="297" spans="1:12" outlineLevel="1" x14ac:dyDescent="0.3">
      <c r="A297" s="348"/>
      <c r="B297" s="211" t="s">
        <v>851</v>
      </c>
      <c r="C297" s="178"/>
      <c r="D297" s="182"/>
      <c r="E297" s="148"/>
      <c r="F297" s="136"/>
      <c r="G297" s="150"/>
      <c r="H297" s="137"/>
      <c r="I297" s="307"/>
      <c r="J297" s="308">
        <v>0</v>
      </c>
      <c r="K297" s="307"/>
      <c r="L297" s="212">
        <f t="shared" si="14"/>
        <v>0</v>
      </c>
    </row>
    <row r="298" spans="1:12" ht="13.8" x14ac:dyDescent="0.25">
      <c r="A298" s="348"/>
      <c r="B298" s="213"/>
      <c r="C298" s="139"/>
      <c r="D298" s="183"/>
      <c r="E298" s="111"/>
      <c r="F298" s="140"/>
      <c r="G298" s="141"/>
      <c r="H298" s="142"/>
      <c r="I298" s="143"/>
      <c r="J298" s="144"/>
      <c r="K298" s="145">
        <f>SUM(K248:K297)</f>
        <v>0</v>
      </c>
      <c r="L298" s="214">
        <f>SUM(L248:L297)</f>
        <v>0</v>
      </c>
    </row>
    <row r="299" spans="1:12" x14ac:dyDescent="0.3">
      <c r="A299" s="347"/>
      <c r="B299" s="240" t="s">
        <v>975</v>
      </c>
      <c r="C299" s="241" t="s">
        <v>440</v>
      </c>
      <c r="D299" s="242"/>
      <c r="E299" s="243"/>
      <c r="F299" s="244"/>
      <c r="G299" s="245"/>
      <c r="H299" s="246"/>
      <c r="I299" s="247"/>
      <c r="J299" s="248"/>
      <c r="K299" s="249"/>
      <c r="L299" s="250"/>
    </row>
    <row r="300" spans="1:12" outlineLevel="1" x14ac:dyDescent="0.3">
      <c r="A300" s="347"/>
      <c r="B300" s="211" t="s">
        <v>351</v>
      </c>
      <c r="C300" s="178" t="s">
        <v>356</v>
      </c>
      <c r="D300" s="182"/>
      <c r="E300" s="148" t="s">
        <v>772</v>
      </c>
      <c r="F300" s="136"/>
      <c r="G300" s="150"/>
      <c r="H300" s="137" t="s">
        <v>421</v>
      </c>
      <c r="I300" s="307"/>
      <c r="J300" s="308">
        <v>0</v>
      </c>
      <c r="K300" s="307"/>
      <c r="L300" s="212">
        <f>G300*J300</f>
        <v>0</v>
      </c>
    </row>
    <row r="301" spans="1:12" outlineLevel="1" x14ac:dyDescent="0.3">
      <c r="A301" s="347"/>
      <c r="B301" s="211" t="s">
        <v>352</v>
      </c>
      <c r="C301" s="135"/>
      <c r="D301" s="182"/>
      <c r="E301" s="148"/>
      <c r="F301" s="136"/>
      <c r="G301" s="150"/>
      <c r="H301" s="137"/>
      <c r="I301" s="307"/>
      <c r="J301" s="308">
        <v>0</v>
      </c>
      <c r="K301" s="307"/>
      <c r="L301" s="212">
        <f>G301*J301</f>
        <v>0</v>
      </c>
    </row>
    <row r="302" spans="1:12" outlineLevel="1" x14ac:dyDescent="0.3">
      <c r="A302" s="347"/>
      <c r="B302" s="211" t="s">
        <v>353</v>
      </c>
      <c r="C302" s="135"/>
      <c r="D302" s="182"/>
      <c r="E302" s="148"/>
      <c r="F302" s="136"/>
      <c r="G302" s="150"/>
      <c r="H302" s="137"/>
      <c r="I302" s="307"/>
      <c r="J302" s="308">
        <v>0</v>
      </c>
      <c r="K302" s="307"/>
      <c r="L302" s="212">
        <f>G302*J302</f>
        <v>0</v>
      </c>
    </row>
    <row r="303" spans="1:12" outlineLevel="1" x14ac:dyDescent="0.3">
      <c r="A303" s="347"/>
      <c r="B303" s="211" t="s">
        <v>354</v>
      </c>
      <c r="C303" s="135"/>
      <c r="D303" s="182"/>
      <c r="E303" s="148"/>
      <c r="F303" s="136"/>
      <c r="G303" s="150"/>
      <c r="H303" s="137"/>
      <c r="I303" s="307"/>
      <c r="J303" s="308">
        <v>0</v>
      </c>
      <c r="K303" s="307"/>
      <c r="L303" s="212">
        <f>G303*J303</f>
        <v>0</v>
      </c>
    </row>
    <row r="304" spans="1:12" outlineLevel="1" x14ac:dyDescent="0.3">
      <c r="A304" s="347"/>
      <c r="B304" s="211" t="s">
        <v>355</v>
      </c>
      <c r="C304" s="135"/>
      <c r="D304" s="182"/>
      <c r="E304" s="148"/>
      <c r="F304" s="136"/>
      <c r="G304" s="150"/>
      <c r="H304" s="137"/>
      <c r="I304" s="307"/>
      <c r="J304" s="308">
        <v>0</v>
      </c>
      <c r="K304" s="307"/>
      <c r="L304" s="212">
        <f>G304*J304</f>
        <v>0</v>
      </c>
    </row>
    <row r="305" spans="1:12" x14ac:dyDescent="0.3">
      <c r="A305" s="347"/>
      <c r="B305" s="213"/>
      <c r="C305" s="139"/>
      <c r="D305" s="183"/>
      <c r="E305" s="111"/>
      <c r="F305" s="140"/>
      <c r="G305" s="141"/>
      <c r="H305" s="142"/>
      <c r="I305" s="143"/>
      <c r="J305" s="144"/>
      <c r="K305" s="145">
        <f>SUM(K300:K304)</f>
        <v>0</v>
      </c>
      <c r="L305" s="214">
        <f>SUM(L300:L304)</f>
        <v>0</v>
      </c>
    </row>
    <row r="306" spans="1:12" x14ac:dyDescent="0.3">
      <c r="A306" s="347"/>
      <c r="B306" s="216"/>
      <c r="C306" s="209" t="s">
        <v>378</v>
      </c>
      <c r="D306" s="185"/>
      <c r="E306" s="154"/>
      <c r="F306" s="155"/>
      <c r="G306" s="156"/>
      <c r="H306" s="157"/>
      <c r="I306" s="158"/>
      <c r="J306" s="159"/>
      <c r="K306" s="160"/>
      <c r="L306" s="217"/>
    </row>
    <row r="307" spans="1:12" outlineLevel="1" x14ac:dyDescent="0.3">
      <c r="A307" s="347"/>
      <c r="B307" s="240">
        <v>1</v>
      </c>
      <c r="C307" s="129" t="str">
        <f>C21</f>
        <v>Belt-Conveyor</v>
      </c>
      <c r="D307" s="184"/>
      <c r="E307" s="152"/>
      <c r="F307" s="161"/>
      <c r="G307" s="153"/>
      <c r="H307" s="137"/>
      <c r="I307" s="162"/>
      <c r="J307" s="163"/>
      <c r="K307" s="138">
        <f>K72</f>
        <v>0</v>
      </c>
      <c r="L307" s="212">
        <f>L72</f>
        <v>0</v>
      </c>
    </row>
    <row r="308" spans="1:12" outlineLevel="1" x14ac:dyDescent="0.3">
      <c r="A308" s="347"/>
      <c r="B308" s="240">
        <v>2</v>
      </c>
      <c r="C308" s="129" t="str">
        <f>C73</f>
        <v>Control Stations</v>
      </c>
      <c r="D308" s="184"/>
      <c r="E308" s="152"/>
      <c r="F308" s="161"/>
      <c r="G308" s="153"/>
      <c r="H308" s="137"/>
      <c r="I308" s="162"/>
      <c r="J308" s="163"/>
      <c r="K308" s="138">
        <f>K84</f>
        <v>0</v>
      </c>
      <c r="L308" s="212">
        <f>L84</f>
        <v>0</v>
      </c>
    </row>
    <row r="309" spans="1:12" outlineLevel="1" x14ac:dyDescent="0.3">
      <c r="A309" s="347"/>
      <c r="B309" s="240">
        <v>3</v>
      </c>
      <c r="C309" s="129" t="str">
        <f>C85</f>
        <v>Light Beacons and Horn</v>
      </c>
      <c r="D309" s="184"/>
      <c r="E309" s="152"/>
      <c r="F309" s="161"/>
      <c r="G309" s="153"/>
      <c r="H309" s="137"/>
      <c r="I309" s="162"/>
      <c r="J309" s="163"/>
      <c r="K309" s="138">
        <f>K96</f>
        <v>0</v>
      </c>
      <c r="L309" s="212">
        <f>L96</f>
        <v>0</v>
      </c>
    </row>
    <row r="310" spans="1:12" outlineLevel="1" x14ac:dyDescent="0.3">
      <c r="A310" s="347"/>
      <c r="B310" s="240">
        <v>4</v>
      </c>
      <c r="C310" s="129" t="str">
        <f>C97</f>
        <v>Panels</v>
      </c>
      <c r="D310" s="184"/>
      <c r="E310" s="152"/>
      <c r="F310" s="161"/>
      <c r="G310" s="153"/>
      <c r="H310" s="137"/>
      <c r="I310" s="162"/>
      <c r="J310" s="163"/>
      <c r="K310" s="138">
        <f>K118</f>
        <v>0</v>
      </c>
      <c r="L310" s="212">
        <f>L118</f>
        <v>0</v>
      </c>
    </row>
    <row r="311" spans="1:12" outlineLevel="1" x14ac:dyDescent="0.3">
      <c r="A311" s="347"/>
      <c r="B311" s="240">
        <v>5</v>
      </c>
      <c r="C311" s="129" t="str">
        <f>C119</f>
        <v>Emergency System</v>
      </c>
      <c r="D311" s="184"/>
      <c r="E311" s="152"/>
      <c r="F311" s="161"/>
      <c r="G311" s="153"/>
      <c r="H311" s="137"/>
      <c r="I311" s="162"/>
      <c r="J311" s="163"/>
      <c r="K311" s="138">
        <f>K130</f>
        <v>0</v>
      </c>
      <c r="L311" s="212">
        <f>L130</f>
        <v>0</v>
      </c>
    </row>
    <row r="312" spans="1:12" outlineLevel="1" x14ac:dyDescent="0.3">
      <c r="A312" s="347"/>
      <c r="B312" s="240">
        <v>6</v>
      </c>
      <c r="C312" s="129" t="str">
        <f>C131</f>
        <v>Sensors / Actuators</v>
      </c>
      <c r="D312" s="184"/>
      <c r="E312" s="152"/>
      <c r="F312" s="161"/>
      <c r="G312" s="153"/>
      <c r="H312" s="137"/>
      <c r="I312" s="162"/>
      <c r="J312" s="163"/>
      <c r="K312" s="138">
        <f>K152</f>
        <v>0</v>
      </c>
      <c r="L312" s="212">
        <f>L152</f>
        <v>0</v>
      </c>
    </row>
    <row r="313" spans="1:12" outlineLevel="1" x14ac:dyDescent="0.3">
      <c r="A313" s="347"/>
      <c r="B313" s="240">
        <v>7</v>
      </c>
      <c r="C313" s="129" t="str">
        <f>C153</f>
        <v>Cable's Containment - Trunking</v>
      </c>
      <c r="D313" s="184"/>
      <c r="E313" s="152"/>
      <c r="F313" s="161"/>
      <c r="G313" s="153"/>
      <c r="H313" s="137"/>
      <c r="I313" s="162"/>
      <c r="J313" s="163"/>
      <c r="K313" s="138">
        <f>K214</f>
        <v>0</v>
      </c>
      <c r="L313" s="212">
        <f>L214</f>
        <v>0</v>
      </c>
    </row>
    <row r="314" spans="1:12" outlineLevel="1" x14ac:dyDescent="0.3">
      <c r="A314" s="347"/>
      <c r="B314" s="240">
        <v>8</v>
      </c>
      <c r="C314" s="129" t="str">
        <f>C215</f>
        <v>Cable's Containment - Ladder</v>
      </c>
      <c r="D314" s="184"/>
      <c r="E314" s="152"/>
      <c r="F314" s="161"/>
      <c r="G314" s="153"/>
      <c r="H314" s="137"/>
      <c r="I314" s="162"/>
      <c r="J314" s="163"/>
      <c r="K314" s="138">
        <f>K246</f>
        <v>0</v>
      </c>
      <c r="L314" s="212">
        <f>L246</f>
        <v>0</v>
      </c>
    </row>
    <row r="315" spans="1:12" outlineLevel="1" x14ac:dyDescent="0.3">
      <c r="A315" s="347"/>
      <c r="B315" s="240">
        <v>9</v>
      </c>
      <c r="C315" s="129" t="str">
        <f>C247</f>
        <v>Cables</v>
      </c>
      <c r="D315" s="184"/>
      <c r="E315" s="152"/>
      <c r="F315" s="161"/>
      <c r="G315" s="153"/>
      <c r="H315" s="137"/>
      <c r="I315" s="162"/>
      <c r="J315" s="163"/>
      <c r="K315" s="138">
        <f>K298</f>
        <v>0</v>
      </c>
      <c r="L315" s="212">
        <f>L298</f>
        <v>0</v>
      </c>
    </row>
    <row r="316" spans="1:12" outlineLevel="1" x14ac:dyDescent="0.3">
      <c r="A316" s="347"/>
      <c r="B316" s="240">
        <v>10</v>
      </c>
      <c r="C316" s="129" t="str">
        <f>C299</f>
        <v>Static Commissioning</v>
      </c>
      <c r="D316" s="184"/>
      <c r="E316" s="152"/>
      <c r="F316" s="161"/>
      <c r="G316" s="153"/>
      <c r="H316" s="137"/>
      <c r="I316" s="162"/>
      <c r="J316" s="163"/>
      <c r="K316" s="138">
        <f>K305</f>
        <v>0</v>
      </c>
      <c r="L316" s="212">
        <f>L305</f>
        <v>0</v>
      </c>
    </row>
    <row r="317" spans="1:12" outlineLevel="1" x14ac:dyDescent="0.3">
      <c r="A317" s="347"/>
      <c r="B317" s="218"/>
      <c r="C317" s="129"/>
      <c r="D317" s="184"/>
      <c r="E317" s="152"/>
      <c r="F317" s="161"/>
      <c r="G317" s="153"/>
      <c r="H317" s="137"/>
      <c r="I317" s="162"/>
      <c r="J317" s="163"/>
      <c r="K317" s="138"/>
      <c r="L317" s="212"/>
    </row>
    <row r="318" spans="1:12" ht="18" thickBot="1" x14ac:dyDescent="0.35">
      <c r="A318" s="351"/>
      <c r="B318" s="265"/>
      <c r="C318" s="266" t="s">
        <v>379</v>
      </c>
      <c r="D318" s="267"/>
      <c r="E318" s="268"/>
      <c r="F318" s="269"/>
      <c r="G318" s="270"/>
      <c r="H318" s="271"/>
      <c r="I318" s="272"/>
      <c r="J318" s="273"/>
      <c r="K318" s="274">
        <f>SUM(K307:K317)</f>
        <v>0</v>
      </c>
      <c r="L318" s="275">
        <f>SUM(L307:L317)</f>
        <v>0</v>
      </c>
    </row>
  </sheetData>
  <sheetProtection selectLockedCells="1" selectUnlockedCells="1"/>
  <mergeCells count="17">
    <mergeCell ref="G11:H11"/>
    <mergeCell ref="C3:D3"/>
    <mergeCell ref="G19:H19"/>
    <mergeCell ref="I19:J19"/>
    <mergeCell ref="K19:L19"/>
    <mergeCell ref="G13:H13"/>
    <mergeCell ref="G3:L6"/>
    <mergeCell ref="G8:I8"/>
    <mergeCell ref="G9:H9"/>
    <mergeCell ref="G10:H10"/>
    <mergeCell ref="G12:H12"/>
    <mergeCell ref="G20:H20"/>
    <mergeCell ref="G14:H14"/>
    <mergeCell ref="G15:H15"/>
    <mergeCell ref="G16:H16"/>
    <mergeCell ref="G17:H17"/>
    <mergeCell ref="G18:H18"/>
  </mergeCells>
  <phoneticPr fontId="32" type="noConversion"/>
  <conditionalFormatting sqref="C74 C83">
    <cfRule type="expression" dxfId="58" priority="180">
      <formula>IF($F74&gt;0,TRUE)</formula>
    </cfRule>
  </conditionalFormatting>
  <conditionalFormatting sqref="C78">
    <cfRule type="expression" dxfId="57" priority="179">
      <formula>IF($F78&gt;0,TRUE)</formula>
    </cfRule>
  </conditionalFormatting>
  <conditionalFormatting sqref="C75">
    <cfRule type="expression" dxfId="56" priority="178">
      <formula>IF($F75&gt;0,TRUE)</formula>
    </cfRule>
  </conditionalFormatting>
  <conditionalFormatting sqref="C77">
    <cfRule type="expression" dxfId="55" priority="177">
      <formula>IF($F77&gt;0,TRUE)</formula>
    </cfRule>
  </conditionalFormatting>
  <conditionalFormatting sqref="C79">
    <cfRule type="expression" dxfId="54" priority="176">
      <formula>IF($F79&gt;0,TRUE)</formula>
    </cfRule>
  </conditionalFormatting>
  <conditionalFormatting sqref="C80">
    <cfRule type="expression" dxfId="53" priority="175">
      <formula>IF($F80&gt;0,TRUE)</formula>
    </cfRule>
  </conditionalFormatting>
  <conditionalFormatting sqref="C81">
    <cfRule type="expression" dxfId="52" priority="174">
      <formula>IF($F81&gt;0,TRUE)</formula>
    </cfRule>
  </conditionalFormatting>
  <conditionalFormatting sqref="C82">
    <cfRule type="expression" dxfId="51" priority="173">
      <formula>IF($F82&gt;0,TRUE)</formula>
    </cfRule>
  </conditionalFormatting>
  <conditionalFormatting sqref="C76">
    <cfRule type="expression" dxfId="50" priority="172">
      <formula>IF($F76&gt;0,TRUE)</formula>
    </cfRule>
  </conditionalFormatting>
  <conditionalFormatting sqref="C80">
    <cfRule type="expression" dxfId="49" priority="171">
      <formula>IF($F80&gt;0,TRUE)</formula>
    </cfRule>
  </conditionalFormatting>
  <conditionalFormatting sqref="C81">
    <cfRule type="expression" dxfId="48" priority="170">
      <formula>IF($F81&gt;0,TRUE)</formula>
    </cfRule>
  </conditionalFormatting>
  <conditionalFormatting sqref="C86">
    <cfRule type="expression" dxfId="47" priority="167">
      <formula>IF($F86&gt;0,TRUE)</formula>
    </cfRule>
  </conditionalFormatting>
  <conditionalFormatting sqref="C87">
    <cfRule type="expression" dxfId="46" priority="166">
      <formula>IF($F87&gt;0,TRUE)</formula>
    </cfRule>
  </conditionalFormatting>
  <conditionalFormatting sqref="C88">
    <cfRule type="expression" dxfId="45" priority="165">
      <formula>IF($F88&gt;0,TRUE)</formula>
    </cfRule>
  </conditionalFormatting>
  <conditionalFormatting sqref="C86">
    <cfRule type="expression" dxfId="44" priority="164">
      <formula>IF($F86&gt;0,TRUE)</formula>
    </cfRule>
  </conditionalFormatting>
  <conditionalFormatting sqref="C87">
    <cfRule type="expression" dxfId="43" priority="163">
      <formula>IF($F87&gt;0,TRUE)</formula>
    </cfRule>
  </conditionalFormatting>
  <conditionalFormatting sqref="C89:C90">
    <cfRule type="expression" dxfId="42" priority="162">
      <formula>IF($F89&gt;0,TRUE)</formula>
    </cfRule>
  </conditionalFormatting>
  <conditionalFormatting sqref="C90">
    <cfRule type="expression" dxfId="41" priority="161">
      <formula>IF($F91&gt;0,TRUE)</formula>
    </cfRule>
  </conditionalFormatting>
  <conditionalFormatting sqref="C108">
    <cfRule type="expression" dxfId="40" priority="156">
      <formula>IF($E108&gt;0,TRUE)</formula>
    </cfRule>
  </conditionalFormatting>
  <conditionalFormatting sqref="C123">
    <cfRule type="expression" dxfId="39" priority="185">
      <formula>IF(#REF!&gt;0,TRUE)</formula>
    </cfRule>
  </conditionalFormatting>
  <conditionalFormatting sqref="C107">
    <cfRule type="expression" dxfId="38" priority="60">
      <formula>IF($E107&gt;0,TRUE)</formula>
    </cfRule>
  </conditionalFormatting>
  <conditionalFormatting sqref="G65:G68">
    <cfRule type="cellIs" dxfId="37" priority="21" stopIfTrue="1" operator="notEqual">
      <formula>#REF!</formula>
    </cfRule>
  </conditionalFormatting>
  <conditionalFormatting sqref="G22:G30 G32:G35 G37:G40 G42:G54 G61:G64">
    <cfRule type="cellIs" dxfId="36" priority="11" stopIfTrue="1" operator="notEqual">
      <formula>#REF!</formula>
    </cfRule>
  </conditionalFormatting>
  <conditionalFormatting sqref="G41">
    <cfRule type="cellIs" dxfId="35" priority="10" stopIfTrue="1" operator="notEqual">
      <formula>#REF!</formula>
    </cfRule>
  </conditionalFormatting>
  <conditionalFormatting sqref="G31">
    <cfRule type="cellIs" dxfId="34" priority="9" stopIfTrue="1" operator="notEqual">
      <formula>#REF!</formula>
    </cfRule>
  </conditionalFormatting>
  <conditionalFormatting sqref="G36">
    <cfRule type="cellIs" dxfId="33" priority="8" stopIfTrue="1" operator="notEqual">
      <formula>#REF!</formula>
    </cfRule>
  </conditionalFormatting>
  <conditionalFormatting sqref="G55:G60">
    <cfRule type="cellIs" dxfId="32" priority="7" stopIfTrue="1" operator="notEqual">
      <formula>#REF!</formula>
    </cfRule>
  </conditionalFormatting>
  <conditionalFormatting sqref="E32:E33 E37:E39 E27:E30 E35 E22:E23 E63 E54:E55">
    <cfRule type="cellIs" dxfId="31" priority="6" operator="equal">
      <formula>0</formula>
    </cfRule>
  </conditionalFormatting>
  <conditionalFormatting sqref="E31">
    <cfRule type="cellIs" dxfId="30" priority="5" operator="equal">
      <formula>0</formula>
    </cfRule>
  </conditionalFormatting>
  <conditionalFormatting sqref="E36">
    <cfRule type="cellIs" dxfId="29" priority="4" operator="equal">
      <formula>0</formula>
    </cfRule>
  </conditionalFormatting>
  <conditionalFormatting sqref="E56:E57">
    <cfRule type="cellIs" dxfId="28" priority="3" operator="equal">
      <formula>0</formula>
    </cfRule>
  </conditionalFormatting>
  <conditionalFormatting sqref="E58:E62">
    <cfRule type="cellIs" dxfId="27" priority="2" operator="equal">
      <formula>0</formula>
    </cfRule>
  </conditionalFormatting>
  <conditionalFormatting sqref="E64">
    <cfRule type="cellIs" dxfId="26" priority="1" operator="equal">
      <formula>0</formula>
    </cfRule>
  </conditionalFormatting>
  <pageMargins left="0.7" right="0.7" top="0.78740157499999996" bottom="0.78740157499999996" header="0.3" footer="0.3"/>
  <pageSetup paperSize="9" orientation="portrait" horizontalDpi="300" verticalDpi="0" r:id="rId1"/>
  <drawing r:id="rId2"/>
  <legacyDrawing r:id="rId3"/>
  <controls>
    <mc:AlternateContent xmlns:mc="http://schemas.openxmlformats.org/markup-compatibility/2006">
      <mc:Choice Requires="x14">
        <control shapeId="7254" r:id="rId4" name="cmd_clear_Belt">
          <controlPr defaultSize="0" autoLine="0" autoPict="0" r:id="rId5">
            <anchor moveWithCells="1">
              <from>
                <xdr:col>13</xdr:col>
                <xdr:colOff>236220</xdr:colOff>
                <xdr:row>1</xdr:row>
                <xdr:rowOff>68580</xdr:rowOff>
              </from>
              <to>
                <xdr:col>15</xdr:col>
                <xdr:colOff>22860</xdr:colOff>
                <xdr:row>3</xdr:row>
                <xdr:rowOff>99060</xdr:rowOff>
              </to>
            </anchor>
          </controlPr>
        </control>
      </mc:Choice>
      <mc:Fallback>
        <control shapeId="7254" r:id="rId4" name="cmd_clear_Belt"/>
      </mc:Fallback>
    </mc:AlternateContent>
    <mc:AlternateContent xmlns:mc="http://schemas.openxmlformats.org/markup-compatibility/2006">
      <mc:Choice Requires="x14">
        <control shapeId="7221" r:id="rId6" name="cmd_get_QTY_BELT">
          <controlPr defaultSize="0" autoLine="0" autoPict="0" r:id="rId7">
            <anchor moveWithCells="1">
              <from>
                <xdr:col>13</xdr:col>
                <xdr:colOff>251460</xdr:colOff>
                <xdr:row>4</xdr:row>
                <xdr:rowOff>22860</xdr:rowOff>
              </from>
              <to>
                <xdr:col>15</xdr:col>
                <xdr:colOff>30480</xdr:colOff>
                <xdr:row>6</xdr:row>
                <xdr:rowOff>160020</xdr:rowOff>
              </to>
            </anchor>
          </controlPr>
        </control>
      </mc:Choice>
      <mc:Fallback>
        <control shapeId="7221" r:id="rId6" name="cmd_get_QTY_BEL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92662-4B89-4271-AEB8-434912D16DB1}">
  <sheetPr codeName="Sheet8"/>
  <dimension ref="A1:N296"/>
  <sheetViews>
    <sheetView zoomScale="60" zoomScaleNormal="60" workbookViewId="0">
      <pane ySplit="20" topLeftCell="A29" activePane="bottomLeft" state="frozen"/>
      <selection activeCell="C29" sqref="C29:D29"/>
      <selection pane="bottomLeft" activeCell="G22" sqref="G22:G46"/>
    </sheetView>
  </sheetViews>
  <sheetFormatPr defaultColWidth="12.5546875" defaultRowHeight="14.4" outlineLevelRow="1" outlineLevelCol="1" x14ac:dyDescent="0.3"/>
  <cols>
    <col min="1" max="1" width="40.88671875" customWidth="1" outlineLevel="1"/>
    <col min="2" max="2" width="7.44140625" style="113" bestFit="1" customWidth="1"/>
    <col min="3" max="3" width="64.44140625" style="164" customWidth="1"/>
    <col min="4" max="4" width="17" style="186" customWidth="1"/>
    <col min="5" max="5" width="52.109375" style="114" customWidth="1"/>
    <col min="6" max="6" width="33" style="115" customWidth="1"/>
    <col min="7" max="7" width="13.33203125" style="116" customWidth="1"/>
    <col min="8" max="8" width="8.33203125" style="116" customWidth="1"/>
    <col min="9" max="9" width="15.33203125" style="117" customWidth="1" collapsed="1"/>
    <col min="10" max="10" width="15.33203125" style="117" customWidth="1"/>
    <col min="11" max="11" width="15.33203125" style="118" customWidth="1"/>
    <col min="12" max="12" width="15.6640625" style="118" customWidth="1"/>
    <col min="13" max="13" width="3.33203125" style="118" customWidth="1"/>
    <col min="14" max="33" width="12.5546875" style="116"/>
    <col min="34" max="34" width="7.44140625" style="116" bestFit="1" customWidth="1"/>
    <col min="35" max="35" width="56.5546875" style="116" customWidth="1"/>
    <col min="36" max="36" width="17" style="116" customWidth="1"/>
    <col min="37" max="37" width="22.33203125" style="116" bestFit="1" customWidth="1"/>
    <col min="38" max="38" width="10.33203125" style="116" bestFit="1" customWidth="1"/>
    <col min="39" max="39" width="7.6640625" style="116" customWidth="1"/>
    <col min="40" max="40" width="6.6640625" style="116" customWidth="1"/>
    <col min="41" max="43" width="15.33203125" style="116" customWidth="1"/>
    <col min="44" max="44" width="15.6640625" style="116" customWidth="1"/>
    <col min="45" max="45" width="3.33203125" style="116" customWidth="1"/>
    <col min="46" max="46" width="7.33203125" style="116" customWidth="1"/>
    <col min="47" max="47" width="6.6640625" style="116" customWidth="1"/>
    <col min="48" max="50" width="15.33203125" style="116" customWidth="1"/>
    <col min="51" max="51" width="15.6640625" style="116" customWidth="1"/>
    <col min="52" max="52" width="3.33203125" style="116" customWidth="1"/>
    <col min="53" max="53" width="7.33203125" style="116" customWidth="1"/>
    <col min="54" max="54" width="6.6640625" style="116" customWidth="1"/>
    <col min="55" max="57" width="15.33203125" style="116" customWidth="1"/>
    <col min="58" max="58" width="15.6640625" style="116" customWidth="1"/>
    <col min="59" max="59" width="3.33203125" style="116" customWidth="1"/>
    <col min="60" max="60" width="7.33203125" style="116" customWidth="1"/>
    <col min="61" max="61" width="6.6640625" style="116" customWidth="1"/>
    <col min="62" max="64" width="15.33203125" style="116" customWidth="1"/>
    <col min="65" max="65" width="15.6640625" style="116" customWidth="1"/>
    <col min="66" max="66" width="3.33203125" style="116" customWidth="1"/>
    <col min="67" max="67" width="7.33203125" style="116" customWidth="1"/>
    <col min="68" max="68" width="6.6640625" style="116" customWidth="1"/>
    <col min="69" max="71" width="15.33203125" style="116" customWidth="1"/>
    <col min="72" max="72" width="15.6640625" style="116" customWidth="1"/>
    <col min="73" max="73" width="3.33203125" style="116" customWidth="1"/>
    <col min="74" max="83" width="13.5546875" style="116" customWidth="1"/>
    <col min="84" max="289" width="12.5546875" style="116"/>
    <col min="290" max="290" width="7.44140625" style="116" bestFit="1" customWidth="1"/>
    <col min="291" max="291" width="56.5546875" style="116" customWidth="1"/>
    <col min="292" max="292" width="17" style="116" customWidth="1"/>
    <col min="293" max="293" width="22.33203125" style="116" bestFit="1" customWidth="1"/>
    <col min="294" max="294" width="10.33203125" style="116" bestFit="1" customWidth="1"/>
    <col min="295" max="295" width="7.6640625" style="116" customWidth="1"/>
    <col min="296" max="296" width="6.6640625" style="116" customWidth="1"/>
    <col min="297" max="299" width="15.33203125" style="116" customWidth="1"/>
    <col min="300" max="300" width="15.6640625" style="116" customWidth="1"/>
    <col min="301" max="301" width="3.33203125" style="116" customWidth="1"/>
    <col min="302" max="302" width="7.33203125" style="116" customWidth="1"/>
    <col min="303" max="303" width="6.6640625" style="116" customWidth="1"/>
    <col min="304" max="306" width="15.33203125" style="116" customWidth="1"/>
    <col min="307" max="307" width="15.6640625" style="116" customWidth="1"/>
    <col min="308" max="308" width="3.33203125" style="116" customWidth="1"/>
    <col min="309" max="309" width="7.33203125" style="116" customWidth="1"/>
    <col min="310" max="310" width="6.6640625" style="116" customWidth="1"/>
    <col min="311" max="313" width="15.33203125" style="116" customWidth="1"/>
    <col min="314" max="314" width="15.6640625" style="116" customWidth="1"/>
    <col min="315" max="315" width="3.33203125" style="116" customWidth="1"/>
    <col min="316" max="316" width="7.33203125" style="116" customWidth="1"/>
    <col min="317" max="317" width="6.6640625" style="116" customWidth="1"/>
    <col min="318" max="320" width="15.33203125" style="116" customWidth="1"/>
    <col min="321" max="321" width="15.6640625" style="116" customWidth="1"/>
    <col min="322" max="322" width="3.33203125" style="116" customWidth="1"/>
    <col min="323" max="323" width="7.33203125" style="116" customWidth="1"/>
    <col min="324" max="324" width="6.6640625" style="116" customWidth="1"/>
    <col min="325" max="327" width="15.33203125" style="116" customWidth="1"/>
    <col min="328" max="328" width="15.6640625" style="116" customWidth="1"/>
    <col min="329" max="329" width="3.33203125" style="116" customWidth="1"/>
    <col min="330" max="339" width="13.5546875" style="116" customWidth="1"/>
    <col min="340" max="545" width="12.5546875" style="116"/>
    <col min="546" max="546" width="7.44140625" style="116" bestFit="1" customWidth="1"/>
    <col min="547" max="547" width="56.5546875" style="116" customWidth="1"/>
    <col min="548" max="548" width="17" style="116" customWidth="1"/>
    <col min="549" max="549" width="22.33203125" style="116" bestFit="1" customWidth="1"/>
    <col min="550" max="550" width="10.33203125" style="116" bestFit="1" customWidth="1"/>
    <col min="551" max="551" width="7.6640625" style="116" customWidth="1"/>
    <col min="552" max="552" width="6.6640625" style="116" customWidth="1"/>
    <col min="553" max="555" width="15.33203125" style="116" customWidth="1"/>
    <col min="556" max="556" width="15.6640625" style="116" customWidth="1"/>
    <col min="557" max="557" width="3.33203125" style="116" customWidth="1"/>
    <col min="558" max="558" width="7.33203125" style="116" customWidth="1"/>
    <col min="559" max="559" width="6.6640625" style="116" customWidth="1"/>
    <col min="560" max="562" width="15.33203125" style="116" customWidth="1"/>
    <col min="563" max="563" width="15.6640625" style="116" customWidth="1"/>
    <col min="564" max="564" width="3.33203125" style="116" customWidth="1"/>
    <col min="565" max="565" width="7.33203125" style="116" customWidth="1"/>
    <col min="566" max="566" width="6.6640625" style="116" customWidth="1"/>
    <col min="567" max="569" width="15.33203125" style="116" customWidth="1"/>
    <col min="570" max="570" width="15.6640625" style="116" customWidth="1"/>
    <col min="571" max="571" width="3.33203125" style="116" customWidth="1"/>
    <col min="572" max="572" width="7.33203125" style="116" customWidth="1"/>
    <col min="573" max="573" width="6.6640625" style="116" customWidth="1"/>
    <col min="574" max="576" width="15.33203125" style="116" customWidth="1"/>
    <col min="577" max="577" width="15.6640625" style="116" customWidth="1"/>
    <col min="578" max="578" width="3.33203125" style="116" customWidth="1"/>
    <col min="579" max="579" width="7.33203125" style="116" customWidth="1"/>
    <col min="580" max="580" width="6.6640625" style="116" customWidth="1"/>
    <col min="581" max="583" width="15.33203125" style="116" customWidth="1"/>
    <col min="584" max="584" width="15.6640625" style="116" customWidth="1"/>
    <col min="585" max="585" width="3.33203125" style="116" customWidth="1"/>
    <col min="586" max="595" width="13.5546875" style="116" customWidth="1"/>
    <col min="596" max="801" width="12.5546875" style="116"/>
    <col min="802" max="802" width="7.44140625" style="116" bestFit="1" customWidth="1"/>
    <col min="803" max="803" width="56.5546875" style="116" customWidth="1"/>
    <col min="804" max="804" width="17" style="116" customWidth="1"/>
    <col min="805" max="805" width="22.33203125" style="116" bestFit="1" customWidth="1"/>
    <col min="806" max="806" width="10.33203125" style="116" bestFit="1" customWidth="1"/>
    <col min="807" max="807" width="7.6640625" style="116" customWidth="1"/>
    <col min="808" max="808" width="6.6640625" style="116" customWidth="1"/>
    <col min="809" max="811" width="15.33203125" style="116" customWidth="1"/>
    <col min="812" max="812" width="15.6640625" style="116" customWidth="1"/>
    <col min="813" max="813" width="3.33203125" style="116" customWidth="1"/>
    <col min="814" max="814" width="7.33203125" style="116" customWidth="1"/>
    <col min="815" max="815" width="6.6640625" style="116" customWidth="1"/>
    <col min="816" max="818" width="15.33203125" style="116" customWidth="1"/>
    <col min="819" max="819" width="15.6640625" style="116" customWidth="1"/>
    <col min="820" max="820" width="3.33203125" style="116" customWidth="1"/>
    <col min="821" max="821" width="7.33203125" style="116" customWidth="1"/>
    <col min="822" max="822" width="6.6640625" style="116" customWidth="1"/>
    <col min="823" max="825" width="15.33203125" style="116" customWidth="1"/>
    <col min="826" max="826" width="15.6640625" style="116" customWidth="1"/>
    <col min="827" max="827" width="3.33203125" style="116" customWidth="1"/>
    <col min="828" max="828" width="7.33203125" style="116" customWidth="1"/>
    <col min="829" max="829" width="6.6640625" style="116" customWidth="1"/>
    <col min="830" max="832" width="15.33203125" style="116" customWidth="1"/>
    <col min="833" max="833" width="15.6640625" style="116" customWidth="1"/>
    <col min="834" max="834" width="3.33203125" style="116" customWidth="1"/>
    <col min="835" max="835" width="7.33203125" style="116" customWidth="1"/>
    <col min="836" max="836" width="6.6640625" style="116" customWidth="1"/>
    <col min="837" max="839" width="15.33203125" style="116" customWidth="1"/>
    <col min="840" max="840" width="15.6640625" style="116" customWidth="1"/>
    <col min="841" max="841" width="3.33203125" style="116" customWidth="1"/>
    <col min="842" max="851" width="13.5546875" style="116" customWidth="1"/>
    <col min="852" max="1057" width="12.5546875" style="116"/>
    <col min="1058" max="1058" width="7.44140625" style="116" bestFit="1" customWidth="1"/>
    <col min="1059" max="1059" width="56.5546875" style="116" customWidth="1"/>
    <col min="1060" max="1060" width="17" style="116" customWidth="1"/>
    <col min="1061" max="1061" width="22.33203125" style="116" bestFit="1" customWidth="1"/>
    <col min="1062" max="1062" width="10.33203125" style="116" bestFit="1" customWidth="1"/>
    <col min="1063" max="1063" width="7.6640625" style="116" customWidth="1"/>
    <col min="1064" max="1064" width="6.6640625" style="116" customWidth="1"/>
    <col min="1065" max="1067" width="15.33203125" style="116" customWidth="1"/>
    <col min="1068" max="1068" width="15.6640625" style="116" customWidth="1"/>
    <col min="1069" max="1069" width="3.33203125" style="116" customWidth="1"/>
    <col min="1070" max="1070" width="7.33203125" style="116" customWidth="1"/>
    <col min="1071" max="1071" width="6.6640625" style="116" customWidth="1"/>
    <col min="1072" max="1074" width="15.33203125" style="116" customWidth="1"/>
    <col min="1075" max="1075" width="15.6640625" style="116" customWidth="1"/>
    <col min="1076" max="1076" width="3.33203125" style="116" customWidth="1"/>
    <col min="1077" max="1077" width="7.33203125" style="116" customWidth="1"/>
    <col min="1078" max="1078" width="6.6640625" style="116" customWidth="1"/>
    <col min="1079" max="1081" width="15.33203125" style="116" customWidth="1"/>
    <col min="1082" max="1082" width="15.6640625" style="116" customWidth="1"/>
    <col min="1083" max="1083" width="3.33203125" style="116" customWidth="1"/>
    <col min="1084" max="1084" width="7.33203125" style="116" customWidth="1"/>
    <col min="1085" max="1085" width="6.6640625" style="116" customWidth="1"/>
    <col min="1086" max="1088" width="15.33203125" style="116" customWidth="1"/>
    <col min="1089" max="1089" width="15.6640625" style="116" customWidth="1"/>
    <col min="1090" max="1090" width="3.33203125" style="116" customWidth="1"/>
    <col min="1091" max="1091" width="7.33203125" style="116" customWidth="1"/>
    <col min="1092" max="1092" width="6.6640625" style="116" customWidth="1"/>
    <col min="1093" max="1095" width="15.33203125" style="116" customWidth="1"/>
    <col min="1096" max="1096" width="15.6640625" style="116" customWidth="1"/>
    <col min="1097" max="1097" width="3.33203125" style="116" customWidth="1"/>
    <col min="1098" max="1107" width="13.5546875" style="116" customWidth="1"/>
    <col min="1108" max="1313" width="12.5546875" style="116"/>
    <col min="1314" max="1314" width="7.44140625" style="116" bestFit="1" customWidth="1"/>
    <col min="1315" max="1315" width="56.5546875" style="116" customWidth="1"/>
    <col min="1316" max="1316" width="17" style="116" customWidth="1"/>
    <col min="1317" max="1317" width="22.33203125" style="116" bestFit="1" customWidth="1"/>
    <col min="1318" max="1318" width="10.33203125" style="116" bestFit="1" customWidth="1"/>
    <col min="1319" max="1319" width="7.6640625" style="116" customWidth="1"/>
    <col min="1320" max="1320" width="6.6640625" style="116" customWidth="1"/>
    <col min="1321" max="1323" width="15.33203125" style="116" customWidth="1"/>
    <col min="1324" max="1324" width="15.6640625" style="116" customWidth="1"/>
    <col min="1325" max="1325" width="3.33203125" style="116" customWidth="1"/>
    <col min="1326" max="1326" width="7.33203125" style="116" customWidth="1"/>
    <col min="1327" max="1327" width="6.6640625" style="116" customWidth="1"/>
    <col min="1328" max="1330" width="15.33203125" style="116" customWidth="1"/>
    <col min="1331" max="1331" width="15.6640625" style="116" customWidth="1"/>
    <col min="1332" max="1332" width="3.33203125" style="116" customWidth="1"/>
    <col min="1333" max="1333" width="7.33203125" style="116" customWidth="1"/>
    <col min="1334" max="1334" width="6.6640625" style="116" customWidth="1"/>
    <col min="1335" max="1337" width="15.33203125" style="116" customWidth="1"/>
    <col min="1338" max="1338" width="15.6640625" style="116" customWidth="1"/>
    <col min="1339" max="1339" width="3.33203125" style="116" customWidth="1"/>
    <col min="1340" max="1340" width="7.33203125" style="116" customWidth="1"/>
    <col min="1341" max="1341" width="6.6640625" style="116" customWidth="1"/>
    <col min="1342" max="1344" width="15.33203125" style="116" customWidth="1"/>
    <col min="1345" max="1345" width="15.6640625" style="116" customWidth="1"/>
    <col min="1346" max="1346" width="3.33203125" style="116" customWidth="1"/>
    <col min="1347" max="1347" width="7.33203125" style="116" customWidth="1"/>
    <col min="1348" max="1348" width="6.6640625" style="116" customWidth="1"/>
    <col min="1349" max="1351" width="15.33203125" style="116" customWidth="1"/>
    <col min="1352" max="1352" width="15.6640625" style="116" customWidth="1"/>
    <col min="1353" max="1353" width="3.33203125" style="116" customWidth="1"/>
    <col min="1354" max="1363" width="13.5546875" style="116" customWidth="1"/>
    <col min="1364" max="1569" width="12.5546875" style="116"/>
    <col min="1570" max="1570" width="7.44140625" style="116" bestFit="1" customWidth="1"/>
    <col min="1571" max="1571" width="56.5546875" style="116" customWidth="1"/>
    <col min="1572" max="1572" width="17" style="116" customWidth="1"/>
    <col min="1573" max="1573" width="22.33203125" style="116" bestFit="1" customWidth="1"/>
    <col min="1574" max="1574" width="10.33203125" style="116" bestFit="1" customWidth="1"/>
    <col min="1575" max="1575" width="7.6640625" style="116" customWidth="1"/>
    <col min="1576" max="1576" width="6.6640625" style="116" customWidth="1"/>
    <col min="1577" max="1579" width="15.33203125" style="116" customWidth="1"/>
    <col min="1580" max="1580" width="15.6640625" style="116" customWidth="1"/>
    <col min="1581" max="1581" width="3.33203125" style="116" customWidth="1"/>
    <col min="1582" max="1582" width="7.33203125" style="116" customWidth="1"/>
    <col min="1583" max="1583" width="6.6640625" style="116" customWidth="1"/>
    <col min="1584" max="1586" width="15.33203125" style="116" customWidth="1"/>
    <col min="1587" max="1587" width="15.6640625" style="116" customWidth="1"/>
    <col min="1588" max="1588" width="3.33203125" style="116" customWidth="1"/>
    <col min="1589" max="1589" width="7.33203125" style="116" customWidth="1"/>
    <col min="1590" max="1590" width="6.6640625" style="116" customWidth="1"/>
    <col min="1591" max="1593" width="15.33203125" style="116" customWidth="1"/>
    <col min="1594" max="1594" width="15.6640625" style="116" customWidth="1"/>
    <col min="1595" max="1595" width="3.33203125" style="116" customWidth="1"/>
    <col min="1596" max="1596" width="7.33203125" style="116" customWidth="1"/>
    <col min="1597" max="1597" width="6.6640625" style="116" customWidth="1"/>
    <col min="1598" max="1600" width="15.33203125" style="116" customWidth="1"/>
    <col min="1601" max="1601" width="15.6640625" style="116" customWidth="1"/>
    <col min="1602" max="1602" width="3.33203125" style="116" customWidth="1"/>
    <col min="1603" max="1603" width="7.33203125" style="116" customWidth="1"/>
    <col min="1604" max="1604" width="6.6640625" style="116" customWidth="1"/>
    <col min="1605" max="1607" width="15.33203125" style="116" customWidth="1"/>
    <col min="1608" max="1608" width="15.6640625" style="116" customWidth="1"/>
    <col min="1609" max="1609" width="3.33203125" style="116" customWidth="1"/>
    <col min="1610" max="1619" width="13.5546875" style="116" customWidth="1"/>
    <col min="1620" max="1825" width="12.5546875" style="116"/>
    <col min="1826" max="1826" width="7.44140625" style="116" bestFit="1" customWidth="1"/>
    <col min="1827" max="1827" width="56.5546875" style="116" customWidth="1"/>
    <col min="1828" max="1828" width="17" style="116" customWidth="1"/>
    <col min="1829" max="1829" width="22.33203125" style="116" bestFit="1" customWidth="1"/>
    <col min="1830" max="1830" width="10.33203125" style="116" bestFit="1" customWidth="1"/>
    <col min="1831" max="1831" width="7.6640625" style="116" customWidth="1"/>
    <col min="1832" max="1832" width="6.6640625" style="116" customWidth="1"/>
    <col min="1833" max="1835" width="15.33203125" style="116" customWidth="1"/>
    <col min="1836" max="1836" width="15.6640625" style="116" customWidth="1"/>
    <col min="1837" max="1837" width="3.33203125" style="116" customWidth="1"/>
    <col min="1838" max="1838" width="7.33203125" style="116" customWidth="1"/>
    <col min="1839" max="1839" width="6.6640625" style="116" customWidth="1"/>
    <col min="1840" max="1842" width="15.33203125" style="116" customWidth="1"/>
    <col min="1843" max="1843" width="15.6640625" style="116" customWidth="1"/>
    <col min="1844" max="1844" width="3.33203125" style="116" customWidth="1"/>
    <col min="1845" max="1845" width="7.33203125" style="116" customWidth="1"/>
    <col min="1846" max="1846" width="6.6640625" style="116" customWidth="1"/>
    <col min="1847" max="1849" width="15.33203125" style="116" customWidth="1"/>
    <col min="1850" max="1850" width="15.6640625" style="116" customWidth="1"/>
    <col min="1851" max="1851" width="3.33203125" style="116" customWidth="1"/>
    <col min="1852" max="1852" width="7.33203125" style="116" customWidth="1"/>
    <col min="1853" max="1853" width="6.6640625" style="116" customWidth="1"/>
    <col min="1854" max="1856" width="15.33203125" style="116" customWidth="1"/>
    <col min="1857" max="1857" width="15.6640625" style="116" customWidth="1"/>
    <col min="1858" max="1858" width="3.33203125" style="116" customWidth="1"/>
    <col min="1859" max="1859" width="7.33203125" style="116" customWidth="1"/>
    <col min="1860" max="1860" width="6.6640625" style="116" customWidth="1"/>
    <col min="1861" max="1863" width="15.33203125" style="116" customWidth="1"/>
    <col min="1864" max="1864" width="15.6640625" style="116" customWidth="1"/>
    <col min="1865" max="1865" width="3.33203125" style="116" customWidth="1"/>
    <col min="1866" max="1875" width="13.5546875" style="116" customWidth="1"/>
    <col min="1876" max="2081" width="12.5546875" style="116"/>
    <col min="2082" max="2082" width="7.44140625" style="116" bestFit="1" customWidth="1"/>
    <col min="2083" max="2083" width="56.5546875" style="116" customWidth="1"/>
    <col min="2084" max="2084" width="17" style="116" customWidth="1"/>
    <col min="2085" max="2085" width="22.33203125" style="116" bestFit="1" customWidth="1"/>
    <col min="2086" max="2086" width="10.33203125" style="116" bestFit="1" customWidth="1"/>
    <col min="2087" max="2087" width="7.6640625" style="116" customWidth="1"/>
    <col min="2088" max="2088" width="6.6640625" style="116" customWidth="1"/>
    <col min="2089" max="2091" width="15.33203125" style="116" customWidth="1"/>
    <col min="2092" max="2092" width="15.6640625" style="116" customWidth="1"/>
    <col min="2093" max="2093" width="3.33203125" style="116" customWidth="1"/>
    <col min="2094" max="2094" width="7.33203125" style="116" customWidth="1"/>
    <col min="2095" max="2095" width="6.6640625" style="116" customWidth="1"/>
    <col min="2096" max="2098" width="15.33203125" style="116" customWidth="1"/>
    <col min="2099" max="2099" width="15.6640625" style="116" customWidth="1"/>
    <col min="2100" max="2100" width="3.33203125" style="116" customWidth="1"/>
    <col min="2101" max="2101" width="7.33203125" style="116" customWidth="1"/>
    <col min="2102" max="2102" width="6.6640625" style="116" customWidth="1"/>
    <col min="2103" max="2105" width="15.33203125" style="116" customWidth="1"/>
    <col min="2106" max="2106" width="15.6640625" style="116" customWidth="1"/>
    <col min="2107" max="2107" width="3.33203125" style="116" customWidth="1"/>
    <col min="2108" max="2108" width="7.33203125" style="116" customWidth="1"/>
    <col min="2109" max="2109" width="6.6640625" style="116" customWidth="1"/>
    <col min="2110" max="2112" width="15.33203125" style="116" customWidth="1"/>
    <col min="2113" max="2113" width="15.6640625" style="116" customWidth="1"/>
    <col min="2114" max="2114" width="3.33203125" style="116" customWidth="1"/>
    <col min="2115" max="2115" width="7.33203125" style="116" customWidth="1"/>
    <col min="2116" max="2116" width="6.6640625" style="116" customWidth="1"/>
    <col min="2117" max="2119" width="15.33203125" style="116" customWidth="1"/>
    <col min="2120" max="2120" width="15.6640625" style="116" customWidth="1"/>
    <col min="2121" max="2121" width="3.33203125" style="116" customWidth="1"/>
    <col min="2122" max="2131" width="13.5546875" style="116" customWidth="1"/>
    <col min="2132" max="2337" width="12.5546875" style="116"/>
    <col min="2338" max="2338" width="7.44140625" style="116" bestFit="1" customWidth="1"/>
    <col min="2339" max="2339" width="56.5546875" style="116" customWidth="1"/>
    <col min="2340" max="2340" width="17" style="116" customWidth="1"/>
    <col min="2341" max="2341" width="22.33203125" style="116" bestFit="1" customWidth="1"/>
    <col min="2342" max="2342" width="10.33203125" style="116" bestFit="1" customWidth="1"/>
    <col min="2343" max="2343" width="7.6640625" style="116" customWidth="1"/>
    <col min="2344" max="2344" width="6.6640625" style="116" customWidth="1"/>
    <col min="2345" max="2347" width="15.33203125" style="116" customWidth="1"/>
    <col min="2348" max="2348" width="15.6640625" style="116" customWidth="1"/>
    <col min="2349" max="2349" width="3.33203125" style="116" customWidth="1"/>
    <col min="2350" max="2350" width="7.33203125" style="116" customWidth="1"/>
    <col min="2351" max="2351" width="6.6640625" style="116" customWidth="1"/>
    <col min="2352" max="2354" width="15.33203125" style="116" customWidth="1"/>
    <col min="2355" max="2355" width="15.6640625" style="116" customWidth="1"/>
    <col min="2356" max="2356" width="3.33203125" style="116" customWidth="1"/>
    <col min="2357" max="2357" width="7.33203125" style="116" customWidth="1"/>
    <col min="2358" max="2358" width="6.6640625" style="116" customWidth="1"/>
    <col min="2359" max="2361" width="15.33203125" style="116" customWidth="1"/>
    <col min="2362" max="2362" width="15.6640625" style="116" customWidth="1"/>
    <col min="2363" max="2363" width="3.33203125" style="116" customWidth="1"/>
    <col min="2364" max="2364" width="7.33203125" style="116" customWidth="1"/>
    <col min="2365" max="2365" width="6.6640625" style="116" customWidth="1"/>
    <col min="2366" max="2368" width="15.33203125" style="116" customWidth="1"/>
    <col min="2369" max="2369" width="15.6640625" style="116" customWidth="1"/>
    <col min="2370" max="2370" width="3.33203125" style="116" customWidth="1"/>
    <col min="2371" max="2371" width="7.33203125" style="116" customWidth="1"/>
    <col min="2372" max="2372" width="6.6640625" style="116" customWidth="1"/>
    <col min="2373" max="2375" width="15.33203125" style="116" customWidth="1"/>
    <col min="2376" max="2376" width="15.6640625" style="116" customWidth="1"/>
    <col min="2377" max="2377" width="3.33203125" style="116" customWidth="1"/>
    <col min="2378" max="2387" width="13.5546875" style="116" customWidth="1"/>
    <col min="2388" max="2593" width="12.5546875" style="116"/>
    <col min="2594" max="2594" width="7.44140625" style="116" bestFit="1" customWidth="1"/>
    <col min="2595" max="2595" width="56.5546875" style="116" customWidth="1"/>
    <col min="2596" max="2596" width="17" style="116" customWidth="1"/>
    <col min="2597" max="2597" width="22.33203125" style="116" bestFit="1" customWidth="1"/>
    <col min="2598" max="2598" width="10.33203125" style="116" bestFit="1" customWidth="1"/>
    <col min="2599" max="2599" width="7.6640625" style="116" customWidth="1"/>
    <col min="2600" max="2600" width="6.6640625" style="116" customWidth="1"/>
    <col min="2601" max="2603" width="15.33203125" style="116" customWidth="1"/>
    <col min="2604" max="2604" width="15.6640625" style="116" customWidth="1"/>
    <col min="2605" max="2605" width="3.33203125" style="116" customWidth="1"/>
    <col min="2606" max="2606" width="7.33203125" style="116" customWidth="1"/>
    <col min="2607" max="2607" width="6.6640625" style="116" customWidth="1"/>
    <col min="2608" max="2610" width="15.33203125" style="116" customWidth="1"/>
    <col min="2611" max="2611" width="15.6640625" style="116" customWidth="1"/>
    <col min="2612" max="2612" width="3.33203125" style="116" customWidth="1"/>
    <col min="2613" max="2613" width="7.33203125" style="116" customWidth="1"/>
    <col min="2614" max="2614" width="6.6640625" style="116" customWidth="1"/>
    <col min="2615" max="2617" width="15.33203125" style="116" customWidth="1"/>
    <col min="2618" max="2618" width="15.6640625" style="116" customWidth="1"/>
    <col min="2619" max="2619" width="3.33203125" style="116" customWidth="1"/>
    <col min="2620" max="2620" width="7.33203125" style="116" customWidth="1"/>
    <col min="2621" max="2621" width="6.6640625" style="116" customWidth="1"/>
    <col min="2622" max="2624" width="15.33203125" style="116" customWidth="1"/>
    <col min="2625" max="2625" width="15.6640625" style="116" customWidth="1"/>
    <col min="2626" max="2626" width="3.33203125" style="116" customWidth="1"/>
    <col min="2627" max="2627" width="7.33203125" style="116" customWidth="1"/>
    <col min="2628" max="2628" width="6.6640625" style="116" customWidth="1"/>
    <col min="2629" max="2631" width="15.33203125" style="116" customWidth="1"/>
    <col min="2632" max="2632" width="15.6640625" style="116" customWidth="1"/>
    <col min="2633" max="2633" width="3.33203125" style="116" customWidth="1"/>
    <col min="2634" max="2643" width="13.5546875" style="116" customWidth="1"/>
    <col min="2644" max="2849" width="12.5546875" style="116"/>
    <col min="2850" max="2850" width="7.44140625" style="116" bestFit="1" customWidth="1"/>
    <col min="2851" max="2851" width="56.5546875" style="116" customWidth="1"/>
    <col min="2852" max="2852" width="17" style="116" customWidth="1"/>
    <col min="2853" max="2853" width="22.33203125" style="116" bestFit="1" customWidth="1"/>
    <col min="2854" max="2854" width="10.33203125" style="116" bestFit="1" customWidth="1"/>
    <col min="2855" max="2855" width="7.6640625" style="116" customWidth="1"/>
    <col min="2856" max="2856" width="6.6640625" style="116" customWidth="1"/>
    <col min="2857" max="2859" width="15.33203125" style="116" customWidth="1"/>
    <col min="2860" max="2860" width="15.6640625" style="116" customWidth="1"/>
    <col min="2861" max="2861" width="3.33203125" style="116" customWidth="1"/>
    <col min="2862" max="2862" width="7.33203125" style="116" customWidth="1"/>
    <col min="2863" max="2863" width="6.6640625" style="116" customWidth="1"/>
    <col min="2864" max="2866" width="15.33203125" style="116" customWidth="1"/>
    <col min="2867" max="2867" width="15.6640625" style="116" customWidth="1"/>
    <col min="2868" max="2868" width="3.33203125" style="116" customWidth="1"/>
    <col min="2869" max="2869" width="7.33203125" style="116" customWidth="1"/>
    <col min="2870" max="2870" width="6.6640625" style="116" customWidth="1"/>
    <col min="2871" max="2873" width="15.33203125" style="116" customWidth="1"/>
    <col min="2874" max="2874" width="15.6640625" style="116" customWidth="1"/>
    <col min="2875" max="2875" width="3.33203125" style="116" customWidth="1"/>
    <col min="2876" max="2876" width="7.33203125" style="116" customWidth="1"/>
    <col min="2877" max="2877" width="6.6640625" style="116" customWidth="1"/>
    <col min="2878" max="2880" width="15.33203125" style="116" customWidth="1"/>
    <col min="2881" max="2881" width="15.6640625" style="116" customWidth="1"/>
    <col min="2882" max="2882" width="3.33203125" style="116" customWidth="1"/>
    <col min="2883" max="2883" width="7.33203125" style="116" customWidth="1"/>
    <col min="2884" max="2884" width="6.6640625" style="116" customWidth="1"/>
    <col min="2885" max="2887" width="15.33203125" style="116" customWidth="1"/>
    <col min="2888" max="2888" width="15.6640625" style="116" customWidth="1"/>
    <col min="2889" max="2889" width="3.33203125" style="116" customWidth="1"/>
    <col min="2890" max="2899" width="13.5546875" style="116" customWidth="1"/>
    <col min="2900" max="3105" width="12.5546875" style="116"/>
    <col min="3106" max="3106" width="7.44140625" style="116" bestFit="1" customWidth="1"/>
    <col min="3107" max="3107" width="56.5546875" style="116" customWidth="1"/>
    <col min="3108" max="3108" width="17" style="116" customWidth="1"/>
    <col min="3109" max="3109" width="22.33203125" style="116" bestFit="1" customWidth="1"/>
    <col min="3110" max="3110" width="10.33203125" style="116" bestFit="1" customWidth="1"/>
    <col min="3111" max="3111" width="7.6640625" style="116" customWidth="1"/>
    <col min="3112" max="3112" width="6.6640625" style="116" customWidth="1"/>
    <col min="3113" max="3115" width="15.33203125" style="116" customWidth="1"/>
    <col min="3116" max="3116" width="15.6640625" style="116" customWidth="1"/>
    <col min="3117" max="3117" width="3.33203125" style="116" customWidth="1"/>
    <col min="3118" max="3118" width="7.33203125" style="116" customWidth="1"/>
    <col min="3119" max="3119" width="6.6640625" style="116" customWidth="1"/>
    <col min="3120" max="3122" width="15.33203125" style="116" customWidth="1"/>
    <col min="3123" max="3123" width="15.6640625" style="116" customWidth="1"/>
    <col min="3124" max="3124" width="3.33203125" style="116" customWidth="1"/>
    <col min="3125" max="3125" width="7.33203125" style="116" customWidth="1"/>
    <col min="3126" max="3126" width="6.6640625" style="116" customWidth="1"/>
    <col min="3127" max="3129" width="15.33203125" style="116" customWidth="1"/>
    <col min="3130" max="3130" width="15.6640625" style="116" customWidth="1"/>
    <col min="3131" max="3131" width="3.33203125" style="116" customWidth="1"/>
    <col min="3132" max="3132" width="7.33203125" style="116" customWidth="1"/>
    <col min="3133" max="3133" width="6.6640625" style="116" customWidth="1"/>
    <col min="3134" max="3136" width="15.33203125" style="116" customWidth="1"/>
    <col min="3137" max="3137" width="15.6640625" style="116" customWidth="1"/>
    <col min="3138" max="3138" width="3.33203125" style="116" customWidth="1"/>
    <col min="3139" max="3139" width="7.33203125" style="116" customWidth="1"/>
    <col min="3140" max="3140" width="6.6640625" style="116" customWidth="1"/>
    <col min="3141" max="3143" width="15.33203125" style="116" customWidth="1"/>
    <col min="3144" max="3144" width="15.6640625" style="116" customWidth="1"/>
    <col min="3145" max="3145" width="3.33203125" style="116" customWidth="1"/>
    <col min="3146" max="3155" width="13.5546875" style="116" customWidth="1"/>
    <col min="3156" max="3361" width="12.5546875" style="116"/>
    <col min="3362" max="3362" width="7.44140625" style="116" bestFit="1" customWidth="1"/>
    <col min="3363" max="3363" width="56.5546875" style="116" customWidth="1"/>
    <col min="3364" max="3364" width="17" style="116" customWidth="1"/>
    <col min="3365" max="3365" width="22.33203125" style="116" bestFit="1" customWidth="1"/>
    <col min="3366" max="3366" width="10.33203125" style="116" bestFit="1" customWidth="1"/>
    <col min="3367" max="3367" width="7.6640625" style="116" customWidth="1"/>
    <col min="3368" max="3368" width="6.6640625" style="116" customWidth="1"/>
    <col min="3369" max="3371" width="15.33203125" style="116" customWidth="1"/>
    <col min="3372" max="3372" width="15.6640625" style="116" customWidth="1"/>
    <col min="3373" max="3373" width="3.33203125" style="116" customWidth="1"/>
    <col min="3374" max="3374" width="7.33203125" style="116" customWidth="1"/>
    <col min="3375" max="3375" width="6.6640625" style="116" customWidth="1"/>
    <col min="3376" max="3378" width="15.33203125" style="116" customWidth="1"/>
    <col min="3379" max="3379" width="15.6640625" style="116" customWidth="1"/>
    <col min="3380" max="3380" width="3.33203125" style="116" customWidth="1"/>
    <col min="3381" max="3381" width="7.33203125" style="116" customWidth="1"/>
    <col min="3382" max="3382" width="6.6640625" style="116" customWidth="1"/>
    <col min="3383" max="3385" width="15.33203125" style="116" customWidth="1"/>
    <col min="3386" max="3386" width="15.6640625" style="116" customWidth="1"/>
    <col min="3387" max="3387" width="3.33203125" style="116" customWidth="1"/>
    <col min="3388" max="3388" width="7.33203125" style="116" customWidth="1"/>
    <col min="3389" max="3389" width="6.6640625" style="116" customWidth="1"/>
    <col min="3390" max="3392" width="15.33203125" style="116" customWidth="1"/>
    <col min="3393" max="3393" width="15.6640625" style="116" customWidth="1"/>
    <col min="3394" max="3394" width="3.33203125" style="116" customWidth="1"/>
    <col min="3395" max="3395" width="7.33203125" style="116" customWidth="1"/>
    <col min="3396" max="3396" width="6.6640625" style="116" customWidth="1"/>
    <col min="3397" max="3399" width="15.33203125" style="116" customWidth="1"/>
    <col min="3400" max="3400" width="15.6640625" style="116" customWidth="1"/>
    <col min="3401" max="3401" width="3.33203125" style="116" customWidth="1"/>
    <col min="3402" max="3411" width="13.5546875" style="116" customWidth="1"/>
    <col min="3412" max="3617" width="12.5546875" style="116"/>
    <col min="3618" max="3618" width="7.44140625" style="116" bestFit="1" customWidth="1"/>
    <col min="3619" max="3619" width="56.5546875" style="116" customWidth="1"/>
    <col min="3620" max="3620" width="17" style="116" customWidth="1"/>
    <col min="3621" max="3621" width="22.33203125" style="116" bestFit="1" customWidth="1"/>
    <col min="3622" max="3622" width="10.33203125" style="116" bestFit="1" customWidth="1"/>
    <col min="3623" max="3623" width="7.6640625" style="116" customWidth="1"/>
    <col min="3624" max="3624" width="6.6640625" style="116" customWidth="1"/>
    <col min="3625" max="3627" width="15.33203125" style="116" customWidth="1"/>
    <col min="3628" max="3628" width="15.6640625" style="116" customWidth="1"/>
    <col min="3629" max="3629" width="3.33203125" style="116" customWidth="1"/>
    <col min="3630" max="3630" width="7.33203125" style="116" customWidth="1"/>
    <col min="3631" max="3631" width="6.6640625" style="116" customWidth="1"/>
    <col min="3632" max="3634" width="15.33203125" style="116" customWidth="1"/>
    <col min="3635" max="3635" width="15.6640625" style="116" customWidth="1"/>
    <col min="3636" max="3636" width="3.33203125" style="116" customWidth="1"/>
    <col min="3637" max="3637" width="7.33203125" style="116" customWidth="1"/>
    <col min="3638" max="3638" width="6.6640625" style="116" customWidth="1"/>
    <col min="3639" max="3641" width="15.33203125" style="116" customWidth="1"/>
    <col min="3642" max="3642" width="15.6640625" style="116" customWidth="1"/>
    <col min="3643" max="3643" width="3.33203125" style="116" customWidth="1"/>
    <col min="3644" max="3644" width="7.33203125" style="116" customWidth="1"/>
    <col min="3645" max="3645" width="6.6640625" style="116" customWidth="1"/>
    <col min="3646" max="3648" width="15.33203125" style="116" customWidth="1"/>
    <col min="3649" max="3649" width="15.6640625" style="116" customWidth="1"/>
    <col min="3650" max="3650" width="3.33203125" style="116" customWidth="1"/>
    <col min="3651" max="3651" width="7.33203125" style="116" customWidth="1"/>
    <col min="3652" max="3652" width="6.6640625" style="116" customWidth="1"/>
    <col min="3653" max="3655" width="15.33203125" style="116" customWidth="1"/>
    <col min="3656" max="3656" width="15.6640625" style="116" customWidth="1"/>
    <col min="3657" max="3657" width="3.33203125" style="116" customWidth="1"/>
    <col min="3658" max="3667" width="13.5546875" style="116" customWidth="1"/>
    <col min="3668" max="3873" width="12.5546875" style="116"/>
    <col min="3874" max="3874" width="7.44140625" style="116" bestFit="1" customWidth="1"/>
    <col min="3875" max="3875" width="56.5546875" style="116" customWidth="1"/>
    <col min="3876" max="3876" width="17" style="116" customWidth="1"/>
    <col min="3877" max="3877" width="22.33203125" style="116" bestFit="1" customWidth="1"/>
    <col min="3878" max="3878" width="10.33203125" style="116" bestFit="1" customWidth="1"/>
    <col min="3879" max="3879" width="7.6640625" style="116" customWidth="1"/>
    <col min="3880" max="3880" width="6.6640625" style="116" customWidth="1"/>
    <col min="3881" max="3883" width="15.33203125" style="116" customWidth="1"/>
    <col min="3884" max="3884" width="15.6640625" style="116" customWidth="1"/>
    <col min="3885" max="3885" width="3.33203125" style="116" customWidth="1"/>
    <col min="3886" max="3886" width="7.33203125" style="116" customWidth="1"/>
    <col min="3887" max="3887" width="6.6640625" style="116" customWidth="1"/>
    <col min="3888" max="3890" width="15.33203125" style="116" customWidth="1"/>
    <col min="3891" max="3891" width="15.6640625" style="116" customWidth="1"/>
    <col min="3892" max="3892" width="3.33203125" style="116" customWidth="1"/>
    <col min="3893" max="3893" width="7.33203125" style="116" customWidth="1"/>
    <col min="3894" max="3894" width="6.6640625" style="116" customWidth="1"/>
    <col min="3895" max="3897" width="15.33203125" style="116" customWidth="1"/>
    <col min="3898" max="3898" width="15.6640625" style="116" customWidth="1"/>
    <col min="3899" max="3899" width="3.33203125" style="116" customWidth="1"/>
    <col min="3900" max="3900" width="7.33203125" style="116" customWidth="1"/>
    <col min="3901" max="3901" width="6.6640625" style="116" customWidth="1"/>
    <col min="3902" max="3904" width="15.33203125" style="116" customWidth="1"/>
    <col min="3905" max="3905" width="15.6640625" style="116" customWidth="1"/>
    <col min="3906" max="3906" width="3.33203125" style="116" customWidth="1"/>
    <col min="3907" max="3907" width="7.33203125" style="116" customWidth="1"/>
    <col min="3908" max="3908" width="6.6640625" style="116" customWidth="1"/>
    <col min="3909" max="3911" width="15.33203125" style="116" customWidth="1"/>
    <col min="3912" max="3912" width="15.6640625" style="116" customWidth="1"/>
    <col min="3913" max="3913" width="3.33203125" style="116" customWidth="1"/>
    <col min="3914" max="3923" width="13.5546875" style="116" customWidth="1"/>
    <col min="3924" max="4129" width="12.5546875" style="116"/>
    <col min="4130" max="4130" width="7.44140625" style="116" bestFit="1" customWidth="1"/>
    <col min="4131" max="4131" width="56.5546875" style="116" customWidth="1"/>
    <col min="4132" max="4132" width="17" style="116" customWidth="1"/>
    <col min="4133" max="4133" width="22.33203125" style="116" bestFit="1" customWidth="1"/>
    <col min="4134" max="4134" width="10.33203125" style="116" bestFit="1" customWidth="1"/>
    <col min="4135" max="4135" width="7.6640625" style="116" customWidth="1"/>
    <col min="4136" max="4136" width="6.6640625" style="116" customWidth="1"/>
    <col min="4137" max="4139" width="15.33203125" style="116" customWidth="1"/>
    <col min="4140" max="4140" width="15.6640625" style="116" customWidth="1"/>
    <col min="4141" max="4141" width="3.33203125" style="116" customWidth="1"/>
    <col min="4142" max="4142" width="7.33203125" style="116" customWidth="1"/>
    <col min="4143" max="4143" width="6.6640625" style="116" customWidth="1"/>
    <col min="4144" max="4146" width="15.33203125" style="116" customWidth="1"/>
    <col min="4147" max="4147" width="15.6640625" style="116" customWidth="1"/>
    <col min="4148" max="4148" width="3.33203125" style="116" customWidth="1"/>
    <col min="4149" max="4149" width="7.33203125" style="116" customWidth="1"/>
    <col min="4150" max="4150" width="6.6640625" style="116" customWidth="1"/>
    <col min="4151" max="4153" width="15.33203125" style="116" customWidth="1"/>
    <col min="4154" max="4154" width="15.6640625" style="116" customWidth="1"/>
    <col min="4155" max="4155" width="3.33203125" style="116" customWidth="1"/>
    <col min="4156" max="4156" width="7.33203125" style="116" customWidth="1"/>
    <col min="4157" max="4157" width="6.6640625" style="116" customWidth="1"/>
    <col min="4158" max="4160" width="15.33203125" style="116" customWidth="1"/>
    <col min="4161" max="4161" width="15.6640625" style="116" customWidth="1"/>
    <col min="4162" max="4162" width="3.33203125" style="116" customWidth="1"/>
    <col min="4163" max="4163" width="7.33203125" style="116" customWidth="1"/>
    <col min="4164" max="4164" width="6.6640625" style="116" customWidth="1"/>
    <col min="4165" max="4167" width="15.33203125" style="116" customWidth="1"/>
    <col min="4168" max="4168" width="15.6640625" style="116" customWidth="1"/>
    <col min="4169" max="4169" width="3.33203125" style="116" customWidth="1"/>
    <col min="4170" max="4179" width="13.5546875" style="116" customWidth="1"/>
    <col min="4180" max="4385" width="12.5546875" style="116"/>
    <col min="4386" max="4386" width="7.44140625" style="116" bestFit="1" customWidth="1"/>
    <col min="4387" max="4387" width="56.5546875" style="116" customWidth="1"/>
    <col min="4388" max="4388" width="17" style="116" customWidth="1"/>
    <col min="4389" max="4389" width="22.33203125" style="116" bestFit="1" customWidth="1"/>
    <col min="4390" max="4390" width="10.33203125" style="116" bestFit="1" customWidth="1"/>
    <col min="4391" max="4391" width="7.6640625" style="116" customWidth="1"/>
    <col min="4392" max="4392" width="6.6640625" style="116" customWidth="1"/>
    <col min="4393" max="4395" width="15.33203125" style="116" customWidth="1"/>
    <col min="4396" max="4396" width="15.6640625" style="116" customWidth="1"/>
    <col min="4397" max="4397" width="3.33203125" style="116" customWidth="1"/>
    <col min="4398" max="4398" width="7.33203125" style="116" customWidth="1"/>
    <col min="4399" max="4399" width="6.6640625" style="116" customWidth="1"/>
    <col min="4400" max="4402" width="15.33203125" style="116" customWidth="1"/>
    <col min="4403" max="4403" width="15.6640625" style="116" customWidth="1"/>
    <col min="4404" max="4404" width="3.33203125" style="116" customWidth="1"/>
    <col min="4405" max="4405" width="7.33203125" style="116" customWidth="1"/>
    <col min="4406" max="4406" width="6.6640625" style="116" customWidth="1"/>
    <col min="4407" max="4409" width="15.33203125" style="116" customWidth="1"/>
    <col min="4410" max="4410" width="15.6640625" style="116" customWidth="1"/>
    <col min="4411" max="4411" width="3.33203125" style="116" customWidth="1"/>
    <col min="4412" max="4412" width="7.33203125" style="116" customWidth="1"/>
    <col min="4413" max="4413" width="6.6640625" style="116" customWidth="1"/>
    <col min="4414" max="4416" width="15.33203125" style="116" customWidth="1"/>
    <col min="4417" max="4417" width="15.6640625" style="116" customWidth="1"/>
    <col min="4418" max="4418" width="3.33203125" style="116" customWidth="1"/>
    <col min="4419" max="4419" width="7.33203125" style="116" customWidth="1"/>
    <col min="4420" max="4420" width="6.6640625" style="116" customWidth="1"/>
    <col min="4421" max="4423" width="15.33203125" style="116" customWidth="1"/>
    <col min="4424" max="4424" width="15.6640625" style="116" customWidth="1"/>
    <col min="4425" max="4425" width="3.33203125" style="116" customWidth="1"/>
    <col min="4426" max="4435" width="13.5546875" style="116" customWidth="1"/>
    <col min="4436" max="4641" width="12.5546875" style="116"/>
    <col min="4642" max="4642" width="7.44140625" style="116" bestFit="1" customWidth="1"/>
    <col min="4643" max="4643" width="56.5546875" style="116" customWidth="1"/>
    <col min="4644" max="4644" width="17" style="116" customWidth="1"/>
    <col min="4645" max="4645" width="22.33203125" style="116" bestFit="1" customWidth="1"/>
    <col min="4646" max="4646" width="10.33203125" style="116" bestFit="1" customWidth="1"/>
    <col min="4647" max="4647" width="7.6640625" style="116" customWidth="1"/>
    <col min="4648" max="4648" width="6.6640625" style="116" customWidth="1"/>
    <col min="4649" max="4651" width="15.33203125" style="116" customWidth="1"/>
    <col min="4652" max="4652" width="15.6640625" style="116" customWidth="1"/>
    <col min="4653" max="4653" width="3.33203125" style="116" customWidth="1"/>
    <col min="4654" max="4654" width="7.33203125" style="116" customWidth="1"/>
    <col min="4655" max="4655" width="6.6640625" style="116" customWidth="1"/>
    <col min="4656" max="4658" width="15.33203125" style="116" customWidth="1"/>
    <col min="4659" max="4659" width="15.6640625" style="116" customWidth="1"/>
    <col min="4660" max="4660" width="3.33203125" style="116" customWidth="1"/>
    <col min="4661" max="4661" width="7.33203125" style="116" customWidth="1"/>
    <col min="4662" max="4662" width="6.6640625" style="116" customWidth="1"/>
    <col min="4663" max="4665" width="15.33203125" style="116" customWidth="1"/>
    <col min="4666" max="4666" width="15.6640625" style="116" customWidth="1"/>
    <col min="4667" max="4667" width="3.33203125" style="116" customWidth="1"/>
    <col min="4668" max="4668" width="7.33203125" style="116" customWidth="1"/>
    <col min="4669" max="4669" width="6.6640625" style="116" customWidth="1"/>
    <col min="4670" max="4672" width="15.33203125" style="116" customWidth="1"/>
    <col min="4673" max="4673" width="15.6640625" style="116" customWidth="1"/>
    <col min="4674" max="4674" width="3.33203125" style="116" customWidth="1"/>
    <col min="4675" max="4675" width="7.33203125" style="116" customWidth="1"/>
    <col min="4676" max="4676" width="6.6640625" style="116" customWidth="1"/>
    <col min="4677" max="4679" width="15.33203125" style="116" customWidth="1"/>
    <col min="4680" max="4680" width="15.6640625" style="116" customWidth="1"/>
    <col min="4681" max="4681" width="3.33203125" style="116" customWidth="1"/>
    <col min="4682" max="4691" width="13.5546875" style="116" customWidth="1"/>
    <col min="4692" max="4897" width="12.5546875" style="116"/>
    <col min="4898" max="4898" width="7.44140625" style="116" bestFit="1" customWidth="1"/>
    <col min="4899" max="4899" width="56.5546875" style="116" customWidth="1"/>
    <col min="4900" max="4900" width="17" style="116" customWidth="1"/>
    <col min="4901" max="4901" width="22.33203125" style="116" bestFit="1" customWidth="1"/>
    <col min="4902" max="4902" width="10.33203125" style="116" bestFit="1" customWidth="1"/>
    <col min="4903" max="4903" width="7.6640625" style="116" customWidth="1"/>
    <col min="4904" max="4904" width="6.6640625" style="116" customWidth="1"/>
    <col min="4905" max="4907" width="15.33203125" style="116" customWidth="1"/>
    <col min="4908" max="4908" width="15.6640625" style="116" customWidth="1"/>
    <col min="4909" max="4909" width="3.33203125" style="116" customWidth="1"/>
    <col min="4910" max="4910" width="7.33203125" style="116" customWidth="1"/>
    <col min="4911" max="4911" width="6.6640625" style="116" customWidth="1"/>
    <col min="4912" max="4914" width="15.33203125" style="116" customWidth="1"/>
    <col min="4915" max="4915" width="15.6640625" style="116" customWidth="1"/>
    <col min="4916" max="4916" width="3.33203125" style="116" customWidth="1"/>
    <col min="4917" max="4917" width="7.33203125" style="116" customWidth="1"/>
    <col min="4918" max="4918" width="6.6640625" style="116" customWidth="1"/>
    <col min="4919" max="4921" width="15.33203125" style="116" customWidth="1"/>
    <col min="4922" max="4922" width="15.6640625" style="116" customWidth="1"/>
    <col min="4923" max="4923" width="3.33203125" style="116" customWidth="1"/>
    <col min="4924" max="4924" width="7.33203125" style="116" customWidth="1"/>
    <col min="4925" max="4925" width="6.6640625" style="116" customWidth="1"/>
    <col min="4926" max="4928" width="15.33203125" style="116" customWidth="1"/>
    <col min="4929" max="4929" width="15.6640625" style="116" customWidth="1"/>
    <col min="4930" max="4930" width="3.33203125" style="116" customWidth="1"/>
    <col min="4931" max="4931" width="7.33203125" style="116" customWidth="1"/>
    <col min="4932" max="4932" width="6.6640625" style="116" customWidth="1"/>
    <col min="4933" max="4935" width="15.33203125" style="116" customWidth="1"/>
    <col min="4936" max="4936" width="15.6640625" style="116" customWidth="1"/>
    <col min="4937" max="4937" width="3.33203125" style="116" customWidth="1"/>
    <col min="4938" max="4947" width="13.5546875" style="116" customWidth="1"/>
    <col min="4948" max="5153" width="12.5546875" style="116"/>
    <col min="5154" max="5154" width="7.44140625" style="116" bestFit="1" customWidth="1"/>
    <col min="5155" max="5155" width="56.5546875" style="116" customWidth="1"/>
    <col min="5156" max="5156" width="17" style="116" customWidth="1"/>
    <col min="5157" max="5157" width="22.33203125" style="116" bestFit="1" customWidth="1"/>
    <col min="5158" max="5158" width="10.33203125" style="116" bestFit="1" customWidth="1"/>
    <col min="5159" max="5159" width="7.6640625" style="116" customWidth="1"/>
    <col min="5160" max="5160" width="6.6640625" style="116" customWidth="1"/>
    <col min="5161" max="5163" width="15.33203125" style="116" customWidth="1"/>
    <col min="5164" max="5164" width="15.6640625" style="116" customWidth="1"/>
    <col min="5165" max="5165" width="3.33203125" style="116" customWidth="1"/>
    <col min="5166" max="5166" width="7.33203125" style="116" customWidth="1"/>
    <col min="5167" max="5167" width="6.6640625" style="116" customWidth="1"/>
    <col min="5168" max="5170" width="15.33203125" style="116" customWidth="1"/>
    <col min="5171" max="5171" width="15.6640625" style="116" customWidth="1"/>
    <col min="5172" max="5172" width="3.33203125" style="116" customWidth="1"/>
    <col min="5173" max="5173" width="7.33203125" style="116" customWidth="1"/>
    <col min="5174" max="5174" width="6.6640625" style="116" customWidth="1"/>
    <col min="5175" max="5177" width="15.33203125" style="116" customWidth="1"/>
    <col min="5178" max="5178" width="15.6640625" style="116" customWidth="1"/>
    <col min="5179" max="5179" width="3.33203125" style="116" customWidth="1"/>
    <col min="5180" max="5180" width="7.33203125" style="116" customWidth="1"/>
    <col min="5181" max="5181" width="6.6640625" style="116" customWidth="1"/>
    <col min="5182" max="5184" width="15.33203125" style="116" customWidth="1"/>
    <col min="5185" max="5185" width="15.6640625" style="116" customWidth="1"/>
    <col min="5186" max="5186" width="3.33203125" style="116" customWidth="1"/>
    <col min="5187" max="5187" width="7.33203125" style="116" customWidth="1"/>
    <col min="5188" max="5188" width="6.6640625" style="116" customWidth="1"/>
    <col min="5189" max="5191" width="15.33203125" style="116" customWidth="1"/>
    <col min="5192" max="5192" width="15.6640625" style="116" customWidth="1"/>
    <col min="5193" max="5193" width="3.33203125" style="116" customWidth="1"/>
    <col min="5194" max="5203" width="13.5546875" style="116" customWidth="1"/>
    <col min="5204" max="5409" width="12.5546875" style="116"/>
    <col min="5410" max="5410" width="7.44140625" style="116" bestFit="1" customWidth="1"/>
    <col min="5411" max="5411" width="56.5546875" style="116" customWidth="1"/>
    <col min="5412" max="5412" width="17" style="116" customWidth="1"/>
    <col min="5413" max="5413" width="22.33203125" style="116" bestFit="1" customWidth="1"/>
    <col min="5414" max="5414" width="10.33203125" style="116" bestFit="1" customWidth="1"/>
    <col min="5415" max="5415" width="7.6640625" style="116" customWidth="1"/>
    <col min="5416" max="5416" width="6.6640625" style="116" customWidth="1"/>
    <col min="5417" max="5419" width="15.33203125" style="116" customWidth="1"/>
    <col min="5420" max="5420" width="15.6640625" style="116" customWidth="1"/>
    <col min="5421" max="5421" width="3.33203125" style="116" customWidth="1"/>
    <col min="5422" max="5422" width="7.33203125" style="116" customWidth="1"/>
    <col min="5423" max="5423" width="6.6640625" style="116" customWidth="1"/>
    <col min="5424" max="5426" width="15.33203125" style="116" customWidth="1"/>
    <col min="5427" max="5427" width="15.6640625" style="116" customWidth="1"/>
    <col min="5428" max="5428" width="3.33203125" style="116" customWidth="1"/>
    <col min="5429" max="5429" width="7.33203125" style="116" customWidth="1"/>
    <col min="5430" max="5430" width="6.6640625" style="116" customWidth="1"/>
    <col min="5431" max="5433" width="15.33203125" style="116" customWidth="1"/>
    <col min="5434" max="5434" width="15.6640625" style="116" customWidth="1"/>
    <col min="5435" max="5435" width="3.33203125" style="116" customWidth="1"/>
    <col min="5436" max="5436" width="7.33203125" style="116" customWidth="1"/>
    <col min="5437" max="5437" width="6.6640625" style="116" customWidth="1"/>
    <col min="5438" max="5440" width="15.33203125" style="116" customWidth="1"/>
    <col min="5441" max="5441" width="15.6640625" style="116" customWidth="1"/>
    <col min="5442" max="5442" width="3.33203125" style="116" customWidth="1"/>
    <col min="5443" max="5443" width="7.33203125" style="116" customWidth="1"/>
    <col min="5444" max="5444" width="6.6640625" style="116" customWidth="1"/>
    <col min="5445" max="5447" width="15.33203125" style="116" customWidth="1"/>
    <col min="5448" max="5448" width="15.6640625" style="116" customWidth="1"/>
    <col min="5449" max="5449" width="3.33203125" style="116" customWidth="1"/>
    <col min="5450" max="5459" width="13.5546875" style="116" customWidth="1"/>
    <col min="5460" max="5665" width="12.5546875" style="116"/>
    <col min="5666" max="5666" width="7.44140625" style="116" bestFit="1" customWidth="1"/>
    <col min="5667" max="5667" width="56.5546875" style="116" customWidth="1"/>
    <col min="5668" max="5668" width="17" style="116" customWidth="1"/>
    <col min="5669" max="5669" width="22.33203125" style="116" bestFit="1" customWidth="1"/>
    <col min="5670" max="5670" width="10.33203125" style="116" bestFit="1" customWidth="1"/>
    <col min="5671" max="5671" width="7.6640625" style="116" customWidth="1"/>
    <col min="5672" max="5672" width="6.6640625" style="116" customWidth="1"/>
    <col min="5673" max="5675" width="15.33203125" style="116" customWidth="1"/>
    <col min="5676" max="5676" width="15.6640625" style="116" customWidth="1"/>
    <col min="5677" max="5677" width="3.33203125" style="116" customWidth="1"/>
    <col min="5678" max="5678" width="7.33203125" style="116" customWidth="1"/>
    <col min="5679" max="5679" width="6.6640625" style="116" customWidth="1"/>
    <col min="5680" max="5682" width="15.33203125" style="116" customWidth="1"/>
    <col min="5683" max="5683" width="15.6640625" style="116" customWidth="1"/>
    <col min="5684" max="5684" width="3.33203125" style="116" customWidth="1"/>
    <col min="5685" max="5685" width="7.33203125" style="116" customWidth="1"/>
    <col min="5686" max="5686" width="6.6640625" style="116" customWidth="1"/>
    <col min="5687" max="5689" width="15.33203125" style="116" customWidth="1"/>
    <col min="5690" max="5690" width="15.6640625" style="116" customWidth="1"/>
    <col min="5691" max="5691" width="3.33203125" style="116" customWidth="1"/>
    <col min="5692" max="5692" width="7.33203125" style="116" customWidth="1"/>
    <col min="5693" max="5693" width="6.6640625" style="116" customWidth="1"/>
    <col min="5694" max="5696" width="15.33203125" style="116" customWidth="1"/>
    <col min="5697" max="5697" width="15.6640625" style="116" customWidth="1"/>
    <col min="5698" max="5698" width="3.33203125" style="116" customWidth="1"/>
    <col min="5699" max="5699" width="7.33203125" style="116" customWidth="1"/>
    <col min="5700" max="5700" width="6.6640625" style="116" customWidth="1"/>
    <col min="5701" max="5703" width="15.33203125" style="116" customWidth="1"/>
    <col min="5704" max="5704" width="15.6640625" style="116" customWidth="1"/>
    <col min="5705" max="5705" width="3.33203125" style="116" customWidth="1"/>
    <col min="5706" max="5715" width="13.5546875" style="116" customWidth="1"/>
    <col min="5716" max="5921" width="12.5546875" style="116"/>
    <col min="5922" max="5922" width="7.44140625" style="116" bestFit="1" customWidth="1"/>
    <col min="5923" max="5923" width="56.5546875" style="116" customWidth="1"/>
    <col min="5924" max="5924" width="17" style="116" customWidth="1"/>
    <col min="5925" max="5925" width="22.33203125" style="116" bestFit="1" customWidth="1"/>
    <col min="5926" max="5926" width="10.33203125" style="116" bestFit="1" customWidth="1"/>
    <col min="5927" max="5927" width="7.6640625" style="116" customWidth="1"/>
    <col min="5928" max="5928" width="6.6640625" style="116" customWidth="1"/>
    <col min="5929" max="5931" width="15.33203125" style="116" customWidth="1"/>
    <col min="5932" max="5932" width="15.6640625" style="116" customWidth="1"/>
    <col min="5933" max="5933" width="3.33203125" style="116" customWidth="1"/>
    <col min="5934" max="5934" width="7.33203125" style="116" customWidth="1"/>
    <col min="5935" max="5935" width="6.6640625" style="116" customWidth="1"/>
    <col min="5936" max="5938" width="15.33203125" style="116" customWidth="1"/>
    <col min="5939" max="5939" width="15.6640625" style="116" customWidth="1"/>
    <col min="5940" max="5940" width="3.33203125" style="116" customWidth="1"/>
    <col min="5941" max="5941" width="7.33203125" style="116" customWidth="1"/>
    <col min="5942" max="5942" width="6.6640625" style="116" customWidth="1"/>
    <col min="5943" max="5945" width="15.33203125" style="116" customWidth="1"/>
    <col min="5946" max="5946" width="15.6640625" style="116" customWidth="1"/>
    <col min="5947" max="5947" width="3.33203125" style="116" customWidth="1"/>
    <col min="5948" max="5948" width="7.33203125" style="116" customWidth="1"/>
    <col min="5949" max="5949" width="6.6640625" style="116" customWidth="1"/>
    <col min="5950" max="5952" width="15.33203125" style="116" customWidth="1"/>
    <col min="5953" max="5953" width="15.6640625" style="116" customWidth="1"/>
    <col min="5954" max="5954" width="3.33203125" style="116" customWidth="1"/>
    <col min="5955" max="5955" width="7.33203125" style="116" customWidth="1"/>
    <col min="5956" max="5956" width="6.6640625" style="116" customWidth="1"/>
    <col min="5957" max="5959" width="15.33203125" style="116" customWidth="1"/>
    <col min="5960" max="5960" width="15.6640625" style="116" customWidth="1"/>
    <col min="5961" max="5961" width="3.33203125" style="116" customWidth="1"/>
    <col min="5962" max="5971" width="13.5546875" style="116" customWidth="1"/>
    <col min="5972" max="6177" width="12.5546875" style="116"/>
    <col min="6178" max="6178" width="7.44140625" style="116" bestFit="1" customWidth="1"/>
    <col min="6179" max="6179" width="56.5546875" style="116" customWidth="1"/>
    <col min="6180" max="6180" width="17" style="116" customWidth="1"/>
    <col min="6181" max="6181" width="22.33203125" style="116" bestFit="1" customWidth="1"/>
    <col min="6182" max="6182" width="10.33203125" style="116" bestFit="1" customWidth="1"/>
    <col min="6183" max="6183" width="7.6640625" style="116" customWidth="1"/>
    <col min="6184" max="6184" width="6.6640625" style="116" customWidth="1"/>
    <col min="6185" max="6187" width="15.33203125" style="116" customWidth="1"/>
    <col min="6188" max="6188" width="15.6640625" style="116" customWidth="1"/>
    <col min="6189" max="6189" width="3.33203125" style="116" customWidth="1"/>
    <col min="6190" max="6190" width="7.33203125" style="116" customWidth="1"/>
    <col min="6191" max="6191" width="6.6640625" style="116" customWidth="1"/>
    <col min="6192" max="6194" width="15.33203125" style="116" customWidth="1"/>
    <col min="6195" max="6195" width="15.6640625" style="116" customWidth="1"/>
    <col min="6196" max="6196" width="3.33203125" style="116" customWidth="1"/>
    <col min="6197" max="6197" width="7.33203125" style="116" customWidth="1"/>
    <col min="6198" max="6198" width="6.6640625" style="116" customWidth="1"/>
    <col min="6199" max="6201" width="15.33203125" style="116" customWidth="1"/>
    <col min="6202" max="6202" width="15.6640625" style="116" customWidth="1"/>
    <col min="6203" max="6203" width="3.33203125" style="116" customWidth="1"/>
    <col min="6204" max="6204" width="7.33203125" style="116" customWidth="1"/>
    <col min="6205" max="6205" width="6.6640625" style="116" customWidth="1"/>
    <col min="6206" max="6208" width="15.33203125" style="116" customWidth="1"/>
    <col min="6209" max="6209" width="15.6640625" style="116" customWidth="1"/>
    <col min="6210" max="6210" width="3.33203125" style="116" customWidth="1"/>
    <col min="6211" max="6211" width="7.33203125" style="116" customWidth="1"/>
    <col min="6212" max="6212" width="6.6640625" style="116" customWidth="1"/>
    <col min="6213" max="6215" width="15.33203125" style="116" customWidth="1"/>
    <col min="6216" max="6216" width="15.6640625" style="116" customWidth="1"/>
    <col min="6217" max="6217" width="3.33203125" style="116" customWidth="1"/>
    <col min="6218" max="6227" width="13.5546875" style="116" customWidth="1"/>
    <col min="6228" max="6433" width="12.5546875" style="116"/>
    <col min="6434" max="6434" width="7.44140625" style="116" bestFit="1" customWidth="1"/>
    <col min="6435" max="6435" width="56.5546875" style="116" customWidth="1"/>
    <col min="6436" max="6436" width="17" style="116" customWidth="1"/>
    <col min="6437" max="6437" width="22.33203125" style="116" bestFit="1" customWidth="1"/>
    <col min="6438" max="6438" width="10.33203125" style="116" bestFit="1" customWidth="1"/>
    <col min="6439" max="6439" width="7.6640625" style="116" customWidth="1"/>
    <col min="6440" max="6440" width="6.6640625" style="116" customWidth="1"/>
    <col min="6441" max="6443" width="15.33203125" style="116" customWidth="1"/>
    <col min="6444" max="6444" width="15.6640625" style="116" customWidth="1"/>
    <col min="6445" max="6445" width="3.33203125" style="116" customWidth="1"/>
    <col min="6446" max="6446" width="7.33203125" style="116" customWidth="1"/>
    <col min="6447" max="6447" width="6.6640625" style="116" customWidth="1"/>
    <col min="6448" max="6450" width="15.33203125" style="116" customWidth="1"/>
    <col min="6451" max="6451" width="15.6640625" style="116" customWidth="1"/>
    <col min="6452" max="6452" width="3.33203125" style="116" customWidth="1"/>
    <col min="6453" max="6453" width="7.33203125" style="116" customWidth="1"/>
    <col min="6454" max="6454" width="6.6640625" style="116" customWidth="1"/>
    <col min="6455" max="6457" width="15.33203125" style="116" customWidth="1"/>
    <col min="6458" max="6458" width="15.6640625" style="116" customWidth="1"/>
    <col min="6459" max="6459" width="3.33203125" style="116" customWidth="1"/>
    <col min="6460" max="6460" width="7.33203125" style="116" customWidth="1"/>
    <col min="6461" max="6461" width="6.6640625" style="116" customWidth="1"/>
    <col min="6462" max="6464" width="15.33203125" style="116" customWidth="1"/>
    <col min="6465" max="6465" width="15.6640625" style="116" customWidth="1"/>
    <col min="6466" max="6466" width="3.33203125" style="116" customWidth="1"/>
    <col min="6467" max="6467" width="7.33203125" style="116" customWidth="1"/>
    <col min="6468" max="6468" width="6.6640625" style="116" customWidth="1"/>
    <col min="6469" max="6471" width="15.33203125" style="116" customWidth="1"/>
    <col min="6472" max="6472" width="15.6640625" style="116" customWidth="1"/>
    <col min="6473" max="6473" width="3.33203125" style="116" customWidth="1"/>
    <col min="6474" max="6483" width="13.5546875" style="116" customWidth="1"/>
    <col min="6484" max="6689" width="12.5546875" style="116"/>
    <col min="6690" max="6690" width="7.44140625" style="116" bestFit="1" customWidth="1"/>
    <col min="6691" max="6691" width="56.5546875" style="116" customWidth="1"/>
    <col min="6692" max="6692" width="17" style="116" customWidth="1"/>
    <col min="6693" max="6693" width="22.33203125" style="116" bestFit="1" customWidth="1"/>
    <col min="6694" max="6694" width="10.33203125" style="116" bestFit="1" customWidth="1"/>
    <col min="6695" max="6695" width="7.6640625" style="116" customWidth="1"/>
    <col min="6696" max="6696" width="6.6640625" style="116" customWidth="1"/>
    <col min="6697" max="6699" width="15.33203125" style="116" customWidth="1"/>
    <col min="6700" max="6700" width="15.6640625" style="116" customWidth="1"/>
    <col min="6701" max="6701" width="3.33203125" style="116" customWidth="1"/>
    <col min="6702" max="6702" width="7.33203125" style="116" customWidth="1"/>
    <col min="6703" max="6703" width="6.6640625" style="116" customWidth="1"/>
    <col min="6704" max="6706" width="15.33203125" style="116" customWidth="1"/>
    <col min="6707" max="6707" width="15.6640625" style="116" customWidth="1"/>
    <col min="6708" max="6708" width="3.33203125" style="116" customWidth="1"/>
    <col min="6709" max="6709" width="7.33203125" style="116" customWidth="1"/>
    <col min="6710" max="6710" width="6.6640625" style="116" customWidth="1"/>
    <col min="6711" max="6713" width="15.33203125" style="116" customWidth="1"/>
    <col min="6714" max="6714" width="15.6640625" style="116" customWidth="1"/>
    <col min="6715" max="6715" width="3.33203125" style="116" customWidth="1"/>
    <col min="6716" max="6716" width="7.33203125" style="116" customWidth="1"/>
    <col min="6717" max="6717" width="6.6640625" style="116" customWidth="1"/>
    <col min="6718" max="6720" width="15.33203125" style="116" customWidth="1"/>
    <col min="6721" max="6721" width="15.6640625" style="116" customWidth="1"/>
    <col min="6722" max="6722" width="3.33203125" style="116" customWidth="1"/>
    <col min="6723" max="6723" width="7.33203125" style="116" customWidth="1"/>
    <col min="6724" max="6724" width="6.6640625" style="116" customWidth="1"/>
    <col min="6725" max="6727" width="15.33203125" style="116" customWidth="1"/>
    <col min="6728" max="6728" width="15.6640625" style="116" customWidth="1"/>
    <col min="6729" max="6729" width="3.33203125" style="116" customWidth="1"/>
    <col min="6730" max="6739" width="13.5546875" style="116" customWidth="1"/>
    <col min="6740" max="6945" width="12.5546875" style="116"/>
    <col min="6946" max="6946" width="7.44140625" style="116" bestFit="1" customWidth="1"/>
    <col min="6947" max="6947" width="56.5546875" style="116" customWidth="1"/>
    <col min="6948" max="6948" width="17" style="116" customWidth="1"/>
    <col min="6949" max="6949" width="22.33203125" style="116" bestFit="1" customWidth="1"/>
    <col min="6950" max="6950" width="10.33203125" style="116" bestFit="1" customWidth="1"/>
    <col min="6951" max="6951" width="7.6640625" style="116" customWidth="1"/>
    <col min="6952" max="6952" width="6.6640625" style="116" customWidth="1"/>
    <col min="6953" max="6955" width="15.33203125" style="116" customWidth="1"/>
    <col min="6956" max="6956" width="15.6640625" style="116" customWidth="1"/>
    <col min="6957" max="6957" width="3.33203125" style="116" customWidth="1"/>
    <col min="6958" max="6958" width="7.33203125" style="116" customWidth="1"/>
    <col min="6959" max="6959" width="6.6640625" style="116" customWidth="1"/>
    <col min="6960" max="6962" width="15.33203125" style="116" customWidth="1"/>
    <col min="6963" max="6963" width="15.6640625" style="116" customWidth="1"/>
    <col min="6964" max="6964" width="3.33203125" style="116" customWidth="1"/>
    <col min="6965" max="6965" width="7.33203125" style="116" customWidth="1"/>
    <col min="6966" max="6966" width="6.6640625" style="116" customWidth="1"/>
    <col min="6967" max="6969" width="15.33203125" style="116" customWidth="1"/>
    <col min="6970" max="6970" width="15.6640625" style="116" customWidth="1"/>
    <col min="6971" max="6971" width="3.33203125" style="116" customWidth="1"/>
    <col min="6972" max="6972" width="7.33203125" style="116" customWidth="1"/>
    <col min="6973" max="6973" width="6.6640625" style="116" customWidth="1"/>
    <col min="6974" max="6976" width="15.33203125" style="116" customWidth="1"/>
    <col min="6977" max="6977" width="15.6640625" style="116" customWidth="1"/>
    <col min="6978" max="6978" width="3.33203125" style="116" customWidth="1"/>
    <col min="6979" max="6979" width="7.33203125" style="116" customWidth="1"/>
    <col min="6980" max="6980" width="6.6640625" style="116" customWidth="1"/>
    <col min="6981" max="6983" width="15.33203125" style="116" customWidth="1"/>
    <col min="6984" max="6984" width="15.6640625" style="116" customWidth="1"/>
    <col min="6985" max="6985" width="3.33203125" style="116" customWidth="1"/>
    <col min="6986" max="6995" width="13.5546875" style="116" customWidth="1"/>
    <col min="6996" max="7201" width="12.5546875" style="116"/>
    <col min="7202" max="7202" width="7.44140625" style="116" bestFit="1" customWidth="1"/>
    <col min="7203" max="7203" width="56.5546875" style="116" customWidth="1"/>
    <col min="7204" max="7204" width="17" style="116" customWidth="1"/>
    <col min="7205" max="7205" width="22.33203125" style="116" bestFit="1" customWidth="1"/>
    <col min="7206" max="7206" width="10.33203125" style="116" bestFit="1" customWidth="1"/>
    <col min="7207" max="7207" width="7.6640625" style="116" customWidth="1"/>
    <col min="7208" max="7208" width="6.6640625" style="116" customWidth="1"/>
    <col min="7209" max="7211" width="15.33203125" style="116" customWidth="1"/>
    <col min="7212" max="7212" width="15.6640625" style="116" customWidth="1"/>
    <col min="7213" max="7213" width="3.33203125" style="116" customWidth="1"/>
    <col min="7214" max="7214" width="7.33203125" style="116" customWidth="1"/>
    <col min="7215" max="7215" width="6.6640625" style="116" customWidth="1"/>
    <col min="7216" max="7218" width="15.33203125" style="116" customWidth="1"/>
    <col min="7219" max="7219" width="15.6640625" style="116" customWidth="1"/>
    <col min="7220" max="7220" width="3.33203125" style="116" customWidth="1"/>
    <col min="7221" max="7221" width="7.33203125" style="116" customWidth="1"/>
    <col min="7222" max="7222" width="6.6640625" style="116" customWidth="1"/>
    <col min="7223" max="7225" width="15.33203125" style="116" customWidth="1"/>
    <col min="7226" max="7226" width="15.6640625" style="116" customWidth="1"/>
    <col min="7227" max="7227" width="3.33203125" style="116" customWidth="1"/>
    <col min="7228" max="7228" width="7.33203125" style="116" customWidth="1"/>
    <col min="7229" max="7229" width="6.6640625" style="116" customWidth="1"/>
    <col min="7230" max="7232" width="15.33203125" style="116" customWidth="1"/>
    <col min="7233" max="7233" width="15.6640625" style="116" customWidth="1"/>
    <col min="7234" max="7234" width="3.33203125" style="116" customWidth="1"/>
    <col min="7235" max="7235" width="7.33203125" style="116" customWidth="1"/>
    <col min="7236" max="7236" width="6.6640625" style="116" customWidth="1"/>
    <col min="7237" max="7239" width="15.33203125" style="116" customWidth="1"/>
    <col min="7240" max="7240" width="15.6640625" style="116" customWidth="1"/>
    <col min="7241" max="7241" width="3.33203125" style="116" customWidth="1"/>
    <col min="7242" max="7251" width="13.5546875" style="116" customWidth="1"/>
    <col min="7252" max="7457" width="12.5546875" style="116"/>
    <col min="7458" max="7458" width="7.44140625" style="116" bestFit="1" customWidth="1"/>
    <col min="7459" max="7459" width="56.5546875" style="116" customWidth="1"/>
    <col min="7460" max="7460" width="17" style="116" customWidth="1"/>
    <col min="7461" max="7461" width="22.33203125" style="116" bestFit="1" customWidth="1"/>
    <col min="7462" max="7462" width="10.33203125" style="116" bestFit="1" customWidth="1"/>
    <col min="7463" max="7463" width="7.6640625" style="116" customWidth="1"/>
    <col min="7464" max="7464" width="6.6640625" style="116" customWidth="1"/>
    <col min="7465" max="7467" width="15.33203125" style="116" customWidth="1"/>
    <col min="7468" max="7468" width="15.6640625" style="116" customWidth="1"/>
    <col min="7469" max="7469" width="3.33203125" style="116" customWidth="1"/>
    <col min="7470" max="7470" width="7.33203125" style="116" customWidth="1"/>
    <col min="7471" max="7471" width="6.6640625" style="116" customWidth="1"/>
    <col min="7472" max="7474" width="15.33203125" style="116" customWidth="1"/>
    <col min="7475" max="7475" width="15.6640625" style="116" customWidth="1"/>
    <col min="7476" max="7476" width="3.33203125" style="116" customWidth="1"/>
    <col min="7477" max="7477" width="7.33203125" style="116" customWidth="1"/>
    <col min="7478" max="7478" width="6.6640625" style="116" customWidth="1"/>
    <col min="7479" max="7481" width="15.33203125" style="116" customWidth="1"/>
    <col min="7482" max="7482" width="15.6640625" style="116" customWidth="1"/>
    <col min="7483" max="7483" width="3.33203125" style="116" customWidth="1"/>
    <col min="7484" max="7484" width="7.33203125" style="116" customWidth="1"/>
    <col min="7485" max="7485" width="6.6640625" style="116" customWidth="1"/>
    <col min="7486" max="7488" width="15.33203125" style="116" customWidth="1"/>
    <col min="7489" max="7489" width="15.6640625" style="116" customWidth="1"/>
    <col min="7490" max="7490" width="3.33203125" style="116" customWidth="1"/>
    <col min="7491" max="7491" width="7.33203125" style="116" customWidth="1"/>
    <col min="7492" max="7492" width="6.6640625" style="116" customWidth="1"/>
    <col min="7493" max="7495" width="15.33203125" style="116" customWidth="1"/>
    <col min="7496" max="7496" width="15.6640625" style="116" customWidth="1"/>
    <col min="7497" max="7497" width="3.33203125" style="116" customWidth="1"/>
    <col min="7498" max="7507" width="13.5546875" style="116" customWidth="1"/>
    <col min="7508" max="7713" width="12.5546875" style="116"/>
    <col min="7714" max="7714" width="7.44140625" style="116" bestFit="1" customWidth="1"/>
    <col min="7715" max="7715" width="56.5546875" style="116" customWidth="1"/>
    <col min="7716" max="7716" width="17" style="116" customWidth="1"/>
    <col min="7717" max="7717" width="22.33203125" style="116" bestFit="1" customWidth="1"/>
    <col min="7718" max="7718" width="10.33203125" style="116" bestFit="1" customWidth="1"/>
    <col min="7719" max="7719" width="7.6640625" style="116" customWidth="1"/>
    <col min="7720" max="7720" width="6.6640625" style="116" customWidth="1"/>
    <col min="7721" max="7723" width="15.33203125" style="116" customWidth="1"/>
    <col min="7724" max="7724" width="15.6640625" style="116" customWidth="1"/>
    <col min="7725" max="7725" width="3.33203125" style="116" customWidth="1"/>
    <col min="7726" max="7726" width="7.33203125" style="116" customWidth="1"/>
    <col min="7727" max="7727" width="6.6640625" style="116" customWidth="1"/>
    <col min="7728" max="7730" width="15.33203125" style="116" customWidth="1"/>
    <col min="7731" max="7731" width="15.6640625" style="116" customWidth="1"/>
    <col min="7732" max="7732" width="3.33203125" style="116" customWidth="1"/>
    <col min="7733" max="7733" width="7.33203125" style="116" customWidth="1"/>
    <col min="7734" max="7734" width="6.6640625" style="116" customWidth="1"/>
    <col min="7735" max="7737" width="15.33203125" style="116" customWidth="1"/>
    <col min="7738" max="7738" width="15.6640625" style="116" customWidth="1"/>
    <col min="7739" max="7739" width="3.33203125" style="116" customWidth="1"/>
    <col min="7740" max="7740" width="7.33203125" style="116" customWidth="1"/>
    <col min="7741" max="7741" width="6.6640625" style="116" customWidth="1"/>
    <col min="7742" max="7744" width="15.33203125" style="116" customWidth="1"/>
    <col min="7745" max="7745" width="15.6640625" style="116" customWidth="1"/>
    <col min="7746" max="7746" width="3.33203125" style="116" customWidth="1"/>
    <col min="7747" max="7747" width="7.33203125" style="116" customWidth="1"/>
    <col min="7748" max="7748" width="6.6640625" style="116" customWidth="1"/>
    <col min="7749" max="7751" width="15.33203125" style="116" customWidth="1"/>
    <col min="7752" max="7752" width="15.6640625" style="116" customWidth="1"/>
    <col min="7753" max="7753" width="3.33203125" style="116" customWidth="1"/>
    <col min="7754" max="7763" width="13.5546875" style="116" customWidth="1"/>
    <col min="7764" max="7969" width="12.5546875" style="116"/>
    <col min="7970" max="7970" width="7.44140625" style="116" bestFit="1" customWidth="1"/>
    <col min="7971" max="7971" width="56.5546875" style="116" customWidth="1"/>
    <col min="7972" max="7972" width="17" style="116" customWidth="1"/>
    <col min="7973" max="7973" width="22.33203125" style="116" bestFit="1" customWidth="1"/>
    <col min="7974" max="7974" width="10.33203125" style="116" bestFit="1" customWidth="1"/>
    <col min="7975" max="7975" width="7.6640625" style="116" customWidth="1"/>
    <col min="7976" max="7976" width="6.6640625" style="116" customWidth="1"/>
    <col min="7977" max="7979" width="15.33203125" style="116" customWidth="1"/>
    <col min="7980" max="7980" width="15.6640625" style="116" customWidth="1"/>
    <col min="7981" max="7981" width="3.33203125" style="116" customWidth="1"/>
    <col min="7982" max="7982" width="7.33203125" style="116" customWidth="1"/>
    <col min="7983" max="7983" width="6.6640625" style="116" customWidth="1"/>
    <col min="7984" max="7986" width="15.33203125" style="116" customWidth="1"/>
    <col min="7987" max="7987" width="15.6640625" style="116" customWidth="1"/>
    <col min="7988" max="7988" width="3.33203125" style="116" customWidth="1"/>
    <col min="7989" max="7989" width="7.33203125" style="116" customWidth="1"/>
    <col min="7990" max="7990" width="6.6640625" style="116" customWidth="1"/>
    <col min="7991" max="7993" width="15.33203125" style="116" customWidth="1"/>
    <col min="7994" max="7994" width="15.6640625" style="116" customWidth="1"/>
    <col min="7995" max="7995" width="3.33203125" style="116" customWidth="1"/>
    <col min="7996" max="7996" width="7.33203125" style="116" customWidth="1"/>
    <col min="7997" max="7997" width="6.6640625" style="116" customWidth="1"/>
    <col min="7998" max="8000" width="15.33203125" style="116" customWidth="1"/>
    <col min="8001" max="8001" width="15.6640625" style="116" customWidth="1"/>
    <col min="8002" max="8002" width="3.33203125" style="116" customWidth="1"/>
    <col min="8003" max="8003" width="7.33203125" style="116" customWidth="1"/>
    <col min="8004" max="8004" width="6.6640625" style="116" customWidth="1"/>
    <col min="8005" max="8007" width="15.33203125" style="116" customWidth="1"/>
    <col min="8008" max="8008" width="15.6640625" style="116" customWidth="1"/>
    <col min="8009" max="8009" width="3.33203125" style="116" customWidth="1"/>
    <col min="8010" max="8019" width="13.5546875" style="116" customWidth="1"/>
    <col min="8020" max="8225" width="12.5546875" style="116"/>
    <col min="8226" max="8226" width="7.44140625" style="116" bestFit="1" customWidth="1"/>
    <col min="8227" max="8227" width="56.5546875" style="116" customWidth="1"/>
    <col min="8228" max="8228" width="17" style="116" customWidth="1"/>
    <col min="8229" max="8229" width="22.33203125" style="116" bestFit="1" customWidth="1"/>
    <col min="8230" max="8230" width="10.33203125" style="116" bestFit="1" customWidth="1"/>
    <col min="8231" max="8231" width="7.6640625" style="116" customWidth="1"/>
    <col min="8232" max="8232" width="6.6640625" style="116" customWidth="1"/>
    <col min="8233" max="8235" width="15.33203125" style="116" customWidth="1"/>
    <col min="8236" max="8236" width="15.6640625" style="116" customWidth="1"/>
    <col min="8237" max="8237" width="3.33203125" style="116" customWidth="1"/>
    <col min="8238" max="8238" width="7.33203125" style="116" customWidth="1"/>
    <col min="8239" max="8239" width="6.6640625" style="116" customWidth="1"/>
    <col min="8240" max="8242" width="15.33203125" style="116" customWidth="1"/>
    <col min="8243" max="8243" width="15.6640625" style="116" customWidth="1"/>
    <col min="8244" max="8244" width="3.33203125" style="116" customWidth="1"/>
    <col min="8245" max="8245" width="7.33203125" style="116" customWidth="1"/>
    <col min="8246" max="8246" width="6.6640625" style="116" customWidth="1"/>
    <col min="8247" max="8249" width="15.33203125" style="116" customWidth="1"/>
    <col min="8250" max="8250" width="15.6640625" style="116" customWidth="1"/>
    <col min="8251" max="8251" width="3.33203125" style="116" customWidth="1"/>
    <col min="8252" max="8252" width="7.33203125" style="116" customWidth="1"/>
    <col min="8253" max="8253" width="6.6640625" style="116" customWidth="1"/>
    <col min="8254" max="8256" width="15.33203125" style="116" customWidth="1"/>
    <col min="8257" max="8257" width="15.6640625" style="116" customWidth="1"/>
    <col min="8258" max="8258" width="3.33203125" style="116" customWidth="1"/>
    <col min="8259" max="8259" width="7.33203125" style="116" customWidth="1"/>
    <col min="8260" max="8260" width="6.6640625" style="116" customWidth="1"/>
    <col min="8261" max="8263" width="15.33203125" style="116" customWidth="1"/>
    <col min="8264" max="8264" width="15.6640625" style="116" customWidth="1"/>
    <col min="8265" max="8265" width="3.33203125" style="116" customWidth="1"/>
    <col min="8266" max="8275" width="13.5546875" style="116" customWidth="1"/>
    <col min="8276" max="8481" width="12.5546875" style="116"/>
    <col min="8482" max="8482" width="7.44140625" style="116" bestFit="1" customWidth="1"/>
    <col min="8483" max="8483" width="56.5546875" style="116" customWidth="1"/>
    <col min="8484" max="8484" width="17" style="116" customWidth="1"/>
    <col min="8485" max="8485" width="22.33203125" style="116" bestFit="1" customWidth="1"/>
    <col min="8486" max="8486" width="10.33203125" style="116" bestFit="1" customWidth="1"/>
    <col min="8487" max="8487" width="7.6640625" style="116" customWidth="1"/>
    <col min="8488" max="8488" width="6.6640625" style="116" customWidth="1"/>
    <col min="8489" max="8491" width="15.33203125" style="116" customWidth="1"/>
    <col min="8492" max="8492" width="15.6640625" style="116" customWidth="1"/>
    <col min="8493" max="8493" width="3.33203125" style="116" customWidth="1"/>
    <col min="8494" max="8494" width="7.33203125" style="116" customWidth="1"/>
    <col min="8495" max="8495" width="6.6640625" style="116" customWidth="1"/>
    <col min="8496" max="8498" width="15.33203125" style="116" customWidth="1"/>
    <col min="8499" max="8499" width="15.6640625" style="116" customWidth="1"/>
    <col min="8500" max="8500" width="3.33203125" style="116" customWidth="1"/>
    <col min="8501" max="8501" width="7.33203125" style="116" customWidth="1"/>
    <col min="8502" max="8502" width="6.6640625" style="116" customWidth="1"/>
    <col min="8503" max="8505" width="15.33203125" style="116" customWidth="1"/>
    <col min="8506" max="8506" width="15.6640625" style="116" customWidth="1"/>
    <col min="8507" max="8507" width="3.33203125" style="116" customWidth="1"/>
    <col min="8508" max="8508" width="7.33203125" style="116" customWidth="1"/>
    <col min="8509" max="8509" width="6.6640625" style="116" customWidth="1"/>
    <col min="8510" max="8512" width="15.33203125" style="116" customWidth="1"/>
    <col min="8513" max="8513" width="15.6640625" style="116" customWidth="1"/>
    <col min="8514" max="8514" width="3.33203125" style="116" customWidth="1"/>
    <col min="8515" max="8515" width="7.33203125" style="116" customWidth="1"/>
    <col min="8516" max="8516" width="6.6640625" style="116" customWidth="1"/>
    <col min="8517" max="8519" width="15.33203125" style="116" customWidth="1"/>
    <col min="8520" max="8520" width="15.6640625" style="116" customWidth="1"/>
    <col min="8521" max="8521" width="3.33203125" style="116" customWidth="1"/>
    <col min="8522" max="8531" width="13.5546875" style="116" customWidth="1"/>
    <col min="8532" max="8737" width="12.5546875" style="116"/>
    <col min="8738" max="8738" width="7.44140625" style="116" bestFit="1" customWidth="1"/>
    <col min="8739" max="8739" width="56.5546875" style="116" customWidth="1"/>
    <col min="8740" max="8740" width="17" style="116" customWidth="1"/>
    <col min="8741" max="8741" width="22.33203125" style="116" bestFit="1" customWidth="1"/>
    <col min="8742" max="8742" width="10.33203125" style="116" bestFit="1" customWidth="1"/>
    <col min="8743" max="8743" width="7.6640625" style="116" customWidth="1"/>
    <col min="8744" max="8744" width="6.6640625" style="116" customWidth="1"/>
    <col min="8745" max="8747" width="15.33203125" style="116" customWidth="1"/>
    <col min="8748" max="8748" width="15.6640625" style="116" customWidth="1"/>
    <col min="8749" max="8749" width="3.33203125" style="116" customWidth="1"/>
    <col min="8750" max="8750" width="7.33203125" style="116" customWidth="1"/>
    <col min="8751" max="8751" width="6.6640625" style="116" customWidth="1"/>
    <col min="8752" max="8754" width="15.33203125" style="116" customWidth="1"/>
    <col min="8755" max="8755" width="15.6640625" style="116" customWidth="1"/>
    <col min="8756" max="8756" width="3.33203125" style="116" customWidth="1"/>
    <col min="8757" max="8757" width="7.33203125" style="116" customWidth="1"/>
    <col min="8758" max="8758" width="6.6640625" style="116" customWidth="1"/>
    <col min="8759" max="8761" width="15.33203125" style="116" customWidth="1"/>
    <col min="8762" max="8762" width="15.6640625" style="116" customWidth="1"/>
    <col min="8763" max="8763" width="3.33203125" style="116" customWidth="1"/>
    <col min="8764" max="8764" width="7.33203125" style="116" customWidth="1"/>
    <col min="8765" max="8765" width="6.6640625" style="116" customWidth="1"/>
    <col min="8766" max="8768" width="15.33203125" style="116" customWidth="1"/>
    <col min="8769" max="8769" width="15.6640625" style="116" customWidth="1"/>
    <col min="8770" max="8770" width="3.33203125" style="116" customWidth="1"/>
    <col min="8771" max="8771" width="7.33203125" style="116" customWidth="1"/>
    <col min="8772" max="8772" width="6.6640625" style="116" customWidth="1"/>
    <col min="8773" max="8775" width="15.33203125" style="116" customWidth="1"/>
    <col min="8776" max="8776" width="15.6640625" style="116" customWidth="1"/>
    <col min="8777" max="8777" width="3.33203125" style="116" customWidth="1"/>
    <col min="8778" max="8787" width="13.5546875" style="116" customWidth="1"/>
    <col min="8788" max="8993" width="12.5546875" style="116"/>
    <col min="8994" max="8994" width="7.44140625" style="116" bestFit="1" customWidth="1"/>
    <col min="8995" max="8995" width="56.5546875" style="116" customWidth="1"/>
    <col min="8996" max="8996" width="17" style="116" customWidth="1"/>
    <col min="8997" max="8997" width="22.33203125" style="116" bestFit="1" customWidth="1"/>
    <col min="8998" max="8998" width="10.33203125" style="116" bestFit="1" customWidth="1"/>
    <col min="8999" max="8999" width="7.6640625" style="116" customWidth="1"/>
    <col min="9000" max="9000" width="6.6640625" style="116" customWidth="1"/>
    <col min="9001" max="9003" width="15.33203125" style="116" customWidth="1"/>
    <col min="9004" max="9004" width="15.6640625" style="116" customWidth="1"/>
    <col min="9005" max="9005" width="3.33203125" style="116" customWidth="1"/>
    <col min="9006" max="9006" width="7.33203125" style="116" customWidth="1"/>
    <col min="9007" max="9007" width="6.6640625" style="116" customWidth="1"/>
    <col min="9008" max="9010" width="15.33203125" style="116" customWidth="1"/>
    <col min="9011" max="9011" width="15.6640625" style="116" customWidth="1"/>
    <col min="9012" max="9012" width="3.33203125" style="116" customWidth="1"/>
    <col min="9013" max="9013" width="7.33203125" style="116" customWidth="1"/>
    <col min="9014" max="9014" width="6.6640625" style="116" customWidth="1"/>
    <col min="9015" max="9017" width="15.33203125" style="116" customWidth="1"/>
    <col min="9018" max="9018" width="15.6640625" style="116" customWidth="1"/>
    <col min="9019" max="9019" width="3.33203125" style="116" customWidth="1"/>
    <col min="9020" max="9020" width="7.33203125" style="116" customWidth="1"/>
    <col min="9021" max="9021" width="6.6640625" style="116" customWidth="1"/>
    <col min="9022" max="9024" width="15.33203125" style="116" customWidth="1"/>
    <col min="9025" max="9025" width="15.6640625" style="116" customWidth="1"/>
    <col min="9026" max="9026" width="3.33203125" style="116" customWidth="1"/>
    <col min="9027" max="9027" width="7.33203125" style="116" customWidth="1"/>
    <col min="9028" max="9028" width="6.6640625" style="116" customWidth="1"/>
    <col min="9029" max="9031" width="15.33203125" style="116" customWidth="1"/>
    <col min="9032" max="9032" width="15.6640625" style="116" customWidth="1"/>
    <col min="9033" max="9033" width="3.33203125" style="116" customWidth="1"/>
    <col min="9034" max="9043" width="13.5546875" style="116" customWidth="1"/>
    <col min="9044" max="9249" width="12.5546875" style="116"/>
    <col min="9250" max="9250" width="7.44140625" style="116" bestFit="1" customWidth="1"/>
    <col min="9251" max="9251" width="56.5546875" style="116" customWidth="1"/>
    <col min="9252" max="9252" width="17" style="116" customWidth="1"/>
    <col min="9253" max="9253" width="22.33203125" style="116" bestFit="1" customWidth="1"/>
    <col min="9254" max="9254" width="10.33203125" style="116" bestFit="1" customWidth="1"/>
    <col min="9255" max="9255" width="7.6640625" style="116" customWidth="1"/>
    <col min="9256" max="9256" width="6.6640625" style="116" customWidth="1"/>
    <col min="9257" max="9259" width="15.33203125" style="116" customWidth="1"/>
    <col min="9260" max="9260" width="15.6640625" style="116" customWidth="1"/>
    <col min="9261" max="9261" width="3.33203125" style="116" customWidth="1"/>
    <col min="9262" max="9262" width="7.33203125" style="116" customWidth="1"/>
    <col min="9263" max="9263" width="6.6640625" style="116" customWidth="1"/>
    <col min="9264" max="9266" width="15.33203125" style="116" customWidth="1"/>
    <col min="9267" max="9267" width="15.6640625" style="116" customWidth="1"/>
    <col min="9268" max="9268" width="3.33203125" style="116" customWidth="1"/>
    <col min="9269" max="9269" width="7.33203125" style="116" customWidth="1"/>
    <col min="9270" max="9270" width="6.6640625" style="116" customWidth="1"/>
    <col min="9271" max="9273" width="15.33203125" style="116" customWidth="1"/>
    <col min="9274" max="9274" width="15.6640625" style="116" customWidth="1"/>
    <col min="9275" max="9275" width="3.33203125" style="116" customWidth="1"/>
    <col min="9276" max="9276" width="7.33203125" style="116" customWidth="1"/>
    <col min="9277" max="9277" width="6.6640625" style="116" customWidth="1"/>
    <col min="9278" max="9280" width="15.33203125" style="116" customWidth="1"/>
    <col min="9281" max="9281" width="15.6640625" style="116" customWidth="1"/>
    <col min="9282" max="9282" width="3.33203125" style="116" customWidth="1"/>
    <col min="9283" max="9283" width="7.33203125" style="116" customWidth="1"/>
    <col min="9284" max="9284" width="6.6640625" style="116" customWidth="1"/>
    <col min="9285" max="9287" width="15.33203125" style="116" customWidth="1"/>
    <col min="9288" max="9288" width="15.6640625" style="116" customWidth="1"/>
    <col min="9289" max="9289" width="3.33203125" style="116" customWidth="1"/>
    <col min="9290" max="9299" width="13.5546875" style="116" customWidth="1"/>
    <col min="9300" max="9505" width="12.5546875" style="116"/>
    <col min="9506" max="9506" width="7.44140625" style="116" bestFit="1" customWidth="1"/>
    <col min="9507" max="9507" width="56.5546875" style="116" customWidth="1"/>
    <col min="9508" max="9508" width="17" style="116" customWidth="1"/>
    <col min="9509" max="9509" width="22.33203125" style="116" bestFit="1" customWidth="1"/>
    <col min="9510" max="9510" width="10.33203125" style="116" bestFit="1" customWidth="1"/>
    <col min="9511" max="9511" width="7.6640625" style="116" customWidth="1"/>
    <col min="9512" max="9512" width="6.6640625" style="116" customWidth="1"/>
    <col min="9513" max="9515" width="15.33203125" style="116" customWidth="1"/>
    <col min="9516" max="9516" width="15.6640625" style="116" customWidth="1"/>
    <col min="9517" max="9517" width="3.33203125" style="116" customWidth="1"/>
    <col min="9518" max="9518" width="7.33203125" style="116" customWidth="1"/>
    <col min="9519" max="9519" width="6.6640625" style="116" customWidth="1"/>
    <col min="9520" max="9522" width="15.33203125" style="116" customWidth="1"/>
    <col min="9523" max="9523" width="15.6640625" style="116" customWidth="1"/>
    <col min="9524" max="9524" width="3.33203125" style="116" customWidth="1"/>
    <col min="9525" max="9525" width="7.33203125" style="116" customWidth="1"/>
    <col min="9526" max="9526" width="6.6640625" style="116" customWidth="1"/>
    <col min="9527" max="9529" width="15.33203125" style="116" customWidth="1"/>
    <col min="9530" max="9530" width="15.6640625" style="116" customWidth="1"/>
    <col min="9531" max="9531" width="3.33203125" style="116" customWidth="1"/>
    <col min="9532" max="9532" width="7.33203125" style="116" customWidth="1"/>
    <col min="9533" max="9533" width="6.6640625" style="116" customWidth="1"/>
    <col min="9534" max="9536" width="15.33203125" style="116" customWidth="1"/>
    <col min="9537" max="9537" width="15.6640625" style="116" customWidth="1"/>
    <col min="9538" max="9538" width="3.33203125" style="116" customWidth="1"/>
    <col min="9539" max="9539" width="7.33203125" style="116" customWidth="1"/>
    <col min="9540" max="9540" width="6.6640625" style="116" customWidth="1"/>
    <col min="9541" max="9543" width="15.33203125" style="116" customWidth="1"/>
    <col min="9544" max="9544" width="15.6640625" style="116" customWidth="1"/>
    <col min="9545" max="9545" width="3.33203125" style="116" customWidth="1"/>
    <col min="9546" max="9555" width="13.5546875" style="116" customWidth="1"/>
    <col min="9556" max="9761" width="12.5546875" style="116"/>
    <col min="9762" max="9762" width="7.44140625" style="116" bestFit="1" customWidth="1"/>
    <col min="9763" max="9763" width="56.5546875" style="116" customWidth="1"/>
    <col min="9764" max="9764" width="17" style="116" customWidth="1"/>
    <col min="9765" max="9765" width="22.33203125" style="116" bestFit="1" customWidth="1"/>
    <col min="9766" max="9766" width="10.33203125" style="116" bestFit="1" customWidth="1"/>
    <col min="9767" max="9767" width="7.6640625" style="116" customWidth="1"/>
    <col min="9768" max="9768" width="6.6640625" style="116" customWidth="1"/>
    <col min="9769" max="9771" width="15.33203125" style="116" customWidth="1"/>
    <col min="9772" max="9772" width="15.6640625" style="116" customWidth="1"/>
    <col min="9773" max="9773" width="3.33203125" style="116" customWidth="1"/>
    <col min="9774" max="9774" width="7.33203125" style="116" customWidth="1"/>
    <col min="9775" max="9775" width="6.6640625" style="116" customWidth="1"/>
    <col min="9776" max="9778" width="15.33203125" style="116" customWidth="1"/>
    <col min="9779" max="9779" width="15.6640625" style="116" customWidth="1"/>
    <col min="9780" max="9780" width="3.33203125" style="116" customWidth="1"/>
    <col min="9781" max="9781" width="7.33203125" style="116" customWidth="1"/>
    <col min="9782" max="9782" width="6.6640625" style="116" customWidth="1"/>
    <col min="9783" max="9785" width="15.33203125" style="116" customWidth="1"/>
    <col min="9786" max="9786" width="15.6640625" style="116" customWidth="1"/>
    <col min="9787" max="9787" width="3.33203125" style="116" customWidth="1"/>
    <col min="9788" max="9788" width="7.33203125" style="116" customWidth="1"/>
    <col min="9789" max="9789" width="6.6640625" style="116" customWidth="1"/>
    <col min="9790" max="9792" width="15.33203125" style="116" customWidth="1"/>
    <col min="9793" max="9793" width="15.6640625" style="116" customWidth="1"/>
    <col min="9794" max="9794" width="3.33203125" style="116" customWidth="1"/>
    <col min="9795" max="9795" width="7.33203125" style="116" customWidth="1"/>
    <col min="9796" max="9796" width="6.6640625" style="116" customWidth="1"/>
    <col min="9797" max="9799" width="15.33203125" style="116" customWidth="1"/>
    <col min="9800" max="9800" width="15.6640625" style="116" customWidth="1"/>
    <col min="9801" max="9801" width="3.33203125" style="116" customWidth="1"/>
    <col min="9802" max="9811" width="13.5546875" style="116" customWidth="1"/>
    <col min="9812" max="10017" width="12.5546875" style="116"/>
    <col min="10018" max="10018" width="7.44140625" style="116" bestFit="1" customWidth="1"/>
    <col min="10019" max="10019" width="56.5546875" style="116" customWidth="1"/>
    <col min="10020" max="10020" width="17" style="116" customWidth="1"/>
    <col min="10021" max="10021" width="22.33203125" style="116" bestFit="1" customWidth="1"/>
    <col min="10022" max="10022" width="10.33203125" style="116" bestFit="1" customWidth="1"/>
    <col min="10023" max="10023" width="7.6640625" style="116" customWidth="1"/>
    <col min="10024" max="10024" width="6.6640625" style="116" customWidth="1"/>
    <col min="10025" max="10027" width="15.33203125" style="116" customWidth="1"/>
    <col min="10028" max="10028" width="15.6640625" style="116" customWidth="1"/>
    <col min="10029" max="10029" width="3.33203125" style="116" customWidth="1"/>
    <col min="10030" max="10030" width="7.33203125" style="116" customWidth="1"/>
    <col min="10031" max="10031" width="6.6640625" style="116" customWidth="1"/>
    <col min="10032" max="10034" width="15.33203125" style="116" customWidth="1"/>
    <col min="10035" max="10035" width="15.6640625" style="116" customWidth="1"/>
    <col min="10036" max="10036" width="3.33203125" style="116" customWidth="1"/>
    <col min="10037" max="10037" width="7.33203125" style="116" customWidth="1"/>
    <col min="10038" max="10038" width="6.6640625" style="116" customWidth="1"/>
    <col min="10039" max="10041" width="15.33203125" style="116" customWidth="1"/>
    <col min="10042" max="10042" width="15.6640625" style="116" customWidth="1"/>
    <col min="10043" max="10043" width="3.33203125" style="116" customWidth="1"/>
    <col min="10044" max="10044" width="7.33203125" style="116" customWidth="1"/>
    <col min="10045" max="10045" width="6.6640625" style="116" customWidth="1"/>
    <col min="10046" max="10048" width="15.33203125" style="116" customWidth="1"/>
    <col min="10049" max="10049" width="15.6640625" style="116" customWidth="1"/>
    <col min="10050" max="10050" width="3.33203125" style="116" customWidth="1"/>
    <col min="10051" max="10051" width="7.33203125" style="116" customWidth="1"/>
    <col min="10052" max="10052" width="6.6640625" style="116" customWidth="1"/>
    <col min="10053" max="10055" width="15.33203125" style="116" customWidth="1"/>
    <col min="10056" max="10056" width="15.6640625" style="116" customWidth="1"/>
    <col min="10057" max="10057" width="3.33203125" style="116" customWidth="1"/>
    <col min="10058" max="10067" width="13.5546875" style="116" customWidth="1"/>
    <col min="10068" max="10273" width="12.5546875" style="116"/>
    <col min="10274" max="10274" width="7.44140625" style="116" bestFit="1" customWidth="1"/>
    <col min="10275" max="10275" width="56.5546875" style="116" customWidth="1"/>
    <col min="10276" max="10276" width="17" style="116" customWidth="1"/>
    <col min="10277" max="10277" width="22.33203125" style="116" bestFit="1" customWidth="1"/>
    <col min="10278" max="10278" width="10.33203125" style="116" bestFit="1" customWidth="1"/>
    <col min="10279" max="10279" width="7.6640625" style="116" customWidth="1"/>
    <col min="10280" max="10280" width="6.6640625" style="116" customWidth="1"/>
    <col min="10281" max="10283" width="15.33203125" style="116" customWidth="1"/>
    <col min="10284" max="10284" width="15.6640625" style="116" customWidth="1"/>
    <col min="10285" max="10285" width="3.33203125" style="116" customWidth="1"/>
    <col min="10286" max="10286" width="7.33203125" style="116" customWidth="1"/>
    <col min="10287" max="10287" width="6.6640625" style="116" customWidth="1"/>
    <col min="10288" max="10290" width="15.33203125" style="116" customWidth="1"/>
    <col min="10291" max="10291" width="15.6640625" style="116" customWidth="1"/>
    <col min="10292" max="10292" width="3.33203125" style="116" customWidth="1"/>
    <col min="10293" max="10293" width="7.33203125" style="116" customWidth="1"/>
    <col min="10294" max="10294" width="6.6640625" style="116" customWidth="1"/>
    <col min="10295" max="10297" width="15.33203125" style="116" customWidth="1"/>
    <col min="10298" max="10298" width="15.6640625" style="116" customWidth="1"/>
    <col min="10299" max="10299" width="3.33203125" style="116" customWidth="1"/>
    <col min="10300" max="10300" width="7.33203125" style="116" customWidth="1"/>
    <col min="10301" max="10301" width="6.6640625" style="116" customWidth="1"/>
    <col min="10302" max="10304" width="15.33203125" style="116" customWidth="1"/>
    <col min="10305" max="10305" width="15.6640625" style="116" customWidth="1"/>
    <col min="10306" max="10306" width="3.33203125" style="116" customWidth="1"/>
    <col min="10307" max="10307" width="7.33203125" style="116" customWidth="1"/>
    <col min="10308" max="10308" width="6.6640625" style="116" customWidth="1"/>
    <col min="10309" max="10311" width="15.33203125" style="116" customWidth="1"/>
    <col min="10312" max="10312" width="15.6640625" style="116" customWidth="1"/>
    <col min="10313" max="10313" width="3.33203125" style="116" customWidth="1"/>
    <col min="10314" max="10323" width="13.5546875" style="116" customWidth="1"/>
    <col min="10324" max="10529" width="12.5546875" style="116"/>
    <col min="10530" max="10530" width="7.44140625" style="116" bestFit="1" customWidth="1"/>
    <col min="10531" max="10531" width="56.5546875" style="116" customWidth="1"/>
    <col min="10532" max="10532" width="17" style="116" customWidth="1"/>
    <col min="10533" max="10533" width="22.33203125" style="116" bestFit="1" customWidth="1"/>
    <col min="10534" max="10534" width="10.33203125" style="116" bestFit="1" customWidth="1"/>
    <col min="10535" max="10535" width="7.6640625" style="116" customWidth="1"/>
    <col min="10536" max="10536" width="6.6640625" style="116" customWidth="1"/>
    <col min="10537" max="10539" width="15.33203125" style="116" customWidth="1"/>
    <col min="10540" max="10540" width="15.6640625" style="116" customWidth="1"/>
    <col min="10541" max="10541" width="3.33203125" style="116" customWidth="1"/>
    <col min="10542" max="10542" width="7.33203125" style="116" customWidth="1"/>
    <col min="10543" max="10543" width="6.6640625" style="116" customWidth="1"/>
    <col min="10544" max="10546" width="15.33203125" style="116" customWidth="1"/>
    <col min="10547" max="10547" width="15.6640625" style="116" customWidth="1"/>
    <col min="10548" max="10548" width="3.33203125" style="116" customWidth="1"/>
    <col min="10549" max="10549" width="7.33203125" style="116" customWidth="1"/>
    <col min="10550" max="10550" width="6.6640625" style="116" customWidth="1"/>
    <col min="10551" max="10553" width="15.33203125" style="116" customWidth="1"/>
    <col min="10554" max="10554" width="15.6640625" style="116" customWidth="1"/>
    <col min="10555" max="10555" width="3.33203125" style="116" customWidth="1"/>
    <col min="10556" max="10556" width="7.33203125" style="116" customWidth="1"/>
    <col min="10557" max="10557" width="6.6640625" style="116" customWidth="1"/>
    <col min="10558" max="10560" width="15.33203125" style="116" customWidth="1"/>
    <col min="10561" max="10561" width="15.6640625" style="116" customWidth="1"/>
    <col min="10562" max="10562" width="3.33203125" style="116" customWidth="1"/>
    <col min="10563" max="10563" width="7.33203125" style="116" customWidth="1"/>
    <col min="10564" max="10564" width="6.6640625" style="116" customWidth="1"/>
    <col min="10565" max="10567" width="15.33203125" style="116" customWidth="1"/>
    <col min="10568" max="10568" width="15.6640625" style="116" customWidth="1"/>
    <col min="10569" max="10569" width="3.33203125" style="116" customWidth="1"/>
    <col min="10570" max="10579" width="13.5546875" style="116" customWidth="1"/>
    <col min="10580" max="10785" width="12.5546875" style="116"/>
    <col min="10786" max="10786" width="7.44140625" style="116" bestFit="1" customWidth="1"/>
    <col min="10787" max="10787" width="56.5546875" style="116" customWidth="1"/>
    <col min="10788" max="10788" width="17" style="116" customWidth="1"/>
    <col min="10789" max="10789" width="22.33203125" style="116" bestFit="1" customWidth="1"/>
    <col min="10790" max="10790" width="10.33203125" style="116" bestFit="1" customWidth="1"/>
    <col min="10791" max="10791" width="7.6640625" style="116" customWidth="1"/>
    <col min="10792" max="10792" width="6.6640625" style="116" customWidth="1"/>
    <col min="10793" max="10795" width="15.33203125" style="116" customWidth="1"/>
    <col min="10796" max="10796" width="15.6640625" style="116" customWidth="1"/>
    <col min="10797" max="10797" width="3.33203125" style="116" customWidth="1"/>
    <col min="10798" max="10798" width="7.33203125" style="116" customWidth="1"/>
    <col min="10799" max="10799" width="6.6640625" style="116" customWidth="1"/>
    <col min="10800" max="10802" width="15.33203125" style="116" customWidth="1"/>
    <col min="10803" max="10803" width="15.6640625" style="116" customWidth="1"/>
    <col min="10804" max="10804" width="3.33203125" style="116" customWidth="1"/>
    <col min="10805" max="10805" width="7.33203125" style="116" customWidth="1"/>
    <col min="10806" max="10806" width="6.6640625" style="116" customWidth="1"/>
    <col min="10807" max="10809" width="15.33203125" style="116" customWidth="1"/>
    <col min="10810" max="10810" width="15.6640625" style="116" customWidth="1"/>
    <col min="10811" max="10811" width="3.33203125" style="116" customWidth="1"/>
    <col min="10812" max="10812" width="7.33203125" style="116" customWidth="1"/>
    <col min="10813" max="10813" width="6.6640625" style="116" customWidth="1"/>
    <col min="10814" max="10816" width="15.33203125" style="116" customWidth="1"/>
    <col min="10817" max="10817" width="15.6640625" style="116" customWidth="1"/>
    <col min="10818" max="10818" width="3.33203125" style="116" customWidth="1"/>
    <col min="10819" max="10819" width="7.33203125" style="116" customWidth="1"/>
    <col min="10820" max="10820" width="6.6640625" style="116" customWidth="1"/>
    <col min="10821" max="10823" width="15.33203125" style="116" customWidth="1"/>
    <col min="10824" max="10824" width="15.6640625" style="116" customWidth="1"/>
    <col min="10825" max="10825" width="3.33203125" style="116" customWidth="1"/>
    <col min="10826" max="10835" width="13.5546875" style="116" customWidth="1"/>
    <col min="10836" max="11041" width="12.5546875" style="116"/>
    <col min="11042" max="11042" width="7.44140625" style="116" bestFit="1" customWidth="1"/>
    <col min="11043" max="11043" width="56.5546875" style="116" customWidth="1"/>
    <col min="11044" max="11044" width="17" style="116" customWidth="1"/>
    <col min="11045" max="11045" width="22.33203125" style="116" bestFit="1" customWidth="1"/>
    <col min="11046" max="11046" width="10.33203125" style="116" bestFit="1" customWidth="1"/>
    <col min="11047" max="11047" width="7.6640625" style="116" customWidth="1"/>
    <col min="11048" max="11048" width="6.6640625" style="116" customWidth="1"/>
    <col min="11049" max="11051" width="15.33203125" style="116" customWidth="1"/>
    <col min="11052" max="11052" width="15.6640625" style="116" customWidth="1"/>
    <col min="11053" max="11053" width="3.33203125" style="116" customWidth="1"/>
    <col min="11054" max="11054" width="7.33203125" style="116" customWidth="1"/>
    <col min="11055" max="11055" width="6.6640625" style="116" customWidth="1"/>
    <col min="11056" max="11058" width="15.33203125" style="116" customWidth="1"/>
    <col min="11059" max="11059" width="15.6640625" style="116" customWidth="1"/>
    <col min="11060" max="11060" width="3.33203125" style="116" customWidth="1"/>
    <col min="11061" max="11061" width="7.33203125" style="116" customWidth="1"/>
    <col min="11062" max="11062" width="6.6640625" style="116" customWidth="1"/>
    <col min="11063" max="11065" width="15.33203125" style="116" customWidth="1"/>
    <col min="11066" max="11066" width="15.6640625" style="116" customWidth="1"/>
    <col min="11067" max="11067" width="3.33203125" style="116" customWidth="1"/>
    <col min="11068" max="11068" width="7.33203125" style="116" customWidth="1"/>
    <col min="11069" max="11069" width="6.6640625" style="116" customWidth="1"/>
    <col min="11070" max="11072" width="15.33203125" style="116" customWidth="1"/>
    <col min="11073" max="11073" width="15.6640625" style="116" customWidth="1"/>
    <col min="11074" max="11074" width="3.33203125" style="116" customWidth="1"/>
    <col min="11075" max="11075" width="7.33203125" style="116" customWidth="1"/>
    <col min="11076" max="11076" width="6.6640625" style="116" customWidth="1"/>
    <col min="11077" max="11079" width="15.33203125" style="116" customWidth="1"/>
    <col min="11080" max="11080" width="15.6640625" style="116" customWidth="1"/>
    <col min="11081" max="11081" width="3.33203125" style="116" customWidth="1"/>
    <col min="11082" max="11091" width="13.5546875" style="116" customWidth="1"/>
    <col min="11092" max="11297" width="12.5546875" style="116"/>
    <col min="11298" max="11298" width="7.44140625" style="116" bestFit="1" customWidth="1"/>
    <col min="11299" max="11299" width="56.5546875" style="116" customWidth="1"/>
    <col min="11300" max="11300" width="17" style="116" customWidth="1"/>
    <col min="11301" max="11301" width="22.33203125" style="116" bestFit="1" customWidth="1"/>
    <col min="11302" max="11302" width="10.33203125" style="116" bestFit="1" customWidth="1"/>
    <col min="11303" max="11303" width="7.6640625" style="116" customWidth="1"/>
    <col min="11304" max="11304" width="6.6640625" style="116" customWidth="1"/>
    <col min="11305" max="11307" width="15.33203125" style="116" customWidth="1"/>
    <col min="11308" max="11308" width="15.6640625" style="116" customWidth="1"/>
    <col min="11309" max="11309" width="3.33203125" style="116" customWidth="1"/>
    <col min="11310" max="11310" width="7.33203125" style="116" customWidth="1"/>
    <col min="11311" max="11311" width="6.6640625" style="116" customWidth="1"/>
    <col min="11312" max="11314" width="15.33203125" style="116" customWidth="1"/>
    <col min="11315" max="11315" width="15.6640625" style="116" customWidth="1"/>
    <col min="11316" max="11316" width="3.33203125" style="116" customWidth="1"/>
    <col min="11317" max="11317" width="7.33203125" style="116" customWidth="1"/>
    <col min="11318" max="11318" width="6.6640625" style="116" customWidth="1"/>
    <col min="11319" max="11321" width="15.33203125" style="116" customWidth="1"/>
    <col min="11322" max="11322" width="15.6640625" style="116" customWidth="1"/>
    <col min="11323" max="11323" width="3.33203125" style="116" customWidth="1"/>
    <col min="11324" max="11324" width="7.33203125" style="116" customWidth="1"/>
    <col min="11325" max="11325" width="6.6640625" style="116" customWidth="1"/>
    <col min="11326" max="11328" width="15.33203125" style="116" customWidth="1"/>
    <col min="11329" max="11329" width="15.6640625" style="116" customWidth="1"/>
    <col min="11330" max="11330" width="3.33203125" style="116" customWidth="1"/>
    <col min="11331" max="11331" width="7.33203125" style="116" customWidth="1"/>
    <col min="11332" max="11332" width="6.6640625" style="116" customWidth="1"/>
    <col min="11333" max="11335" width="15.33203125" style="116" customWidth="1"/>
    <col min="11336" max="11336" width="15.6640625" style="116" customWidth="1"/>
    <col min="11337" max="11337" width="3.33203125" style="116" customWidth="1"/>
    <col min="11338" max="11347" width="13.5546875" style="116" customWidth="1"/>
    <col min="11348" max="11553" width="12.5546875" style="116"/>
    <col min="11554" max="11554" width="7.44140625" style="116" bestFit="1" customWidth="1"/>
    <col min="11555" max="11555" width="56.5546875" style="116" customWidth="1"/>
    <col min="11556" max="11556" width="17" style="116" customWidth="1"/>
    <col min="11557" max="11557" width="22.33203125" style="116" bestFit="1" customWidth="1"/>
    <col min="11558" max="11558" width="10.33203125" style="116" bestFit="1" customWidth="1"/>
    <col min="11559" max="11559" width="7.6640625" style="116" customWidth="1"/>
    <col min="11560" max="11560" width="6.6640625" style="116" customWidth="1"/>
    <col min="11561" max="11563" width="15.33203125" style="116" customWidth="1"/>
    <col min="11564" max="11564" width="15.6640625" style="116" customWidth="1"/>
    <col min="11565" max="11565" width="3.33203125" style="116" customWidth="1"/>
    <col min="11566" max="11566" width="7.33203125" style="116" customWidth="1"/>
    <col min="11567" max="11567" width="6.6640625" style="116" customWidth="1"/>
    <col min="11568" max="11570" width="15.33203125" style="116" customWidth="1"/>
    <col min="11571" max="11571" width="15.6640625" style="116" customWidth="1"/>
    <col min="11572" max="11572" width="3.33203125" style="116" customWidth="1"/>
    <col min="11573" max="11573" width="7.33203125" style="116" customWidth="1"/>
    <col min="11574" max="11574" width="6.6640625" style="116" customWidth="1"/>
    <col min="11575" max="11577" width="15.33203125" style="116" customWidth="1"/>
    <col min="11578" max="11578" width="15.6640625" style="116" customWidth="1"/>
    <col min="11579" max="11579" width="3.33203125" style="116" customWidth="1"/>
    <col min="11580" max="11580" width="7.33203125" style="116" customWidth="1"/>
    <col min="11581" max="11581" width="6.6640625" style="116" customWidth="1"/>
    <col min="11582" max="11584" width="15.33203125" style="116" customWidth="1"/>
    <col min="11585" max="11585" width="15.6640625" style="116" customWidth="1"/>
    <col min="11586" max="11586" width="3.33203125" style="116" customWidth="1"/>
    <col min="11587" max="11587" width="7.33203125" style="116" customWidth="1"/>
    <col min="11588" max="11588" width="6.6640625" style="116" customWidth="1"/>
    <col min="11589" max="11591" width="15.33203125" style="116" customWidth="1"/>
    <col min="11592" max="11592" width="15.6640625" style="116" customWidth="1"/>
    <col min="11593" max="11593" width="3.33203125" style="116" customWidth="1"/>
    <col min="11594" max="11603" width="13.5546875" style="116" customWidth="1"/>
    <col min="11604" max="11809" width="12.5546875" style="116"/>
    <col min="11810" max="11810" width="7.44140625" style="116" bestFit="1" customWidth="1"/>
    <col min="11811" max="11811" width="56.5546875" style="116" customWidth="1"/>
    <col min="11812" max="11812" width="17" style="116" customWidth="1"/>
    <col min="11813" max="11813" width="22.33203125" style="116" bestFit="1" customWidth="1"/>
    <col min="11814" max="11814" width="10.33203125" style="116" bestFit="1" customWidth="1"/>
    <col min="11815" max="11815" width="7.6640625" style="116" customWidth="1"/>
    <col min="11816" max="11816" width="6.6640625" style="116" customWidth="1"/>
    <col min="11817" max="11819" width="15.33203125" style="116" customWidth="1"/>
    <col min="11820" max="11820" width="15.6640625" style="116" customWidth="1"/>
    <col min="11821" max="11821" width="3.33203125" style="116" customWidth="1"/>
    <col min="11822" max="11822" width="7.33203125" style="116" customWidth="1"/>
    <col min="11823" max="11823" width="6.6640625" style="116" customWidth="1"/>
    <col min="11824" max="11826" width="15.33203125" style="116" customWidth="1"/>
    <col min="11827" max="11827" width="15.6640625" style="116" customWidth="1"/>
    <col min="11828" max="11828" width="3.33203125" style="116" customWidth="1"/>
    <col min="11829" max="11829" width="7.33203125" style="116" customWidth="1"/>
    <col min="11830" max="11830" width="6.6640625" style="116" customWidth="1"/>
    <col min="11831" max="11833" width="15.33203125" style="116" customWidth="1"/>
    <col min="11834" max="11834" width="15.6640625" style="116" customWidth="1"/>
    <col min="11835" max="11835" width="3.33203125" style="116" customWidth="1"/>
    <col min="11836" max="11836" width="7.33203125" style="116" customWidth="1"/>
    <col min="11837" max="11837" width="6.6640625" style="116" customWidth="1"/>
    <col min="11838" max="11840" width="15.33203125" style="116" customWidth="1"/>
    <col min="11841" max="11841" width="15.6640625" style="116" customWidth="1"/>
    <col min="11842" max="11842" width="3.33203125" style="116" customWidth="1"/>
    <col min="11843" max="11843" width="7.33203125" style="116" customWidth="1"/>
    <col min="11844" max="11844" width="6.6640625" style="116" customWidth="1"/>
    <col min="11845" max="11847" width="15.33203125" style="116" customWidth="1"/>
    <col min="11848" max="11848" width="15.6640625" style="116" customWidth="1"/>
    <col min="11849" max="11849" width="3.33203125" style="116" customWidth="1"/>
    <col min="11850" max="11859" width="13.5546875" style="116" customWidth="1"/>
    <col min="11860" max="12065" width="12.5546875" style="116"/>
    <col min="12066" max="12066" width="7.44140625" style="116" bestFit="1" customWidth="1"/>
    <col min="12067" max="12067" width="56.5546875" style="116" customWidth="1"/>
    <col min="12068" max="12068" width="17" style="116" customWidth="1"/>
    <col min="12069" max="12069" width="22.33203125" style="116" bestFit="1" customWidth="1"/>
    <col min="12070" max="12070" width="10.33203125" style="116" bestFit="1" customWidth="1"/>
    <col min="12071" max="12071" width="7.6640625" style="116" customWidth="1"/>
    <col min="12072" max="12072" width="6.6640625" style="116" customWidth="1"/>
    <col min="12073" max="12075" width="15.33203125" style="116" customWidth="1"/>
    <col min="12076" max="12076" width="15.6640625" style="116" customWidth="1"/>
    <col min="12077" max="12077" width="3.33203125" style="116" customWidth="1"/>
    <col min="12078" max="12078" width="7.33203125" style="116" customWidth="1"/>
    <col min="12079" max="12079" width="6.6640625" style="116" customWidth="1"/>
    <col min="12080" max="12082" width="15.33203125" style="116" customWidth="1"/>
    <col min="12083" max="12083" width="15.6640625" style="116" customWidth="1"/>
    <col min="12084" max="12084" width="3.33203125" style="116" customWidth="1"/>
    <col min="12085" max="12085" width="7.33203125" style="116" customWidth="1"/>
    <col min="12086" max="12086" width="6.6640625" style="116" customWidth="1"/>
    <col min="12087" max="12089" width="15.33203125" style="116" customWidth="1"/>
    <col min="12090" max="12090" width="15.6640625" style="116" customWidth="1"/>
    <col min="12091" max="12091" width="3.33203125" style="116" customWidth="1"/>
    <col min="12092" max="12092" width="7.33203125" style="116" customWidth="1"/>
    <col min="12093" max="12093" width="6.6640625" style="116" customWidth="1"/>
    <col min="12094" max="12096" width="15.33203125" style="116" customWidth="1"/>
    <col min="12097" max="12097" width="15.6640625" style="116" customWidth="1"/>
    <col min="12098" max="12098" width="3.33203125" style="116" customWidth="1"/>
    <col min="12099" max="12099" width="7.33203125" style="116" customWidth="1"/>
    <col min="12100" max="12100" width="6.6640625" style="116" customWidth="1"/>
    <col min="12101" max="12103" width="15.33203125" style="116" customWidth="1"/>
    <col min="12104" max="12104" width="15.6640625" style="116" customWidth="1"/>
    <col min="12105" max="12105" width="3.33203125" style="116" customWidth="1"/>
    <col min="12106" max="12115" width="13.5546875" style="116" customWidth="1"/>
    <col min="12116" max="12321" width="12.5546875" style="116"/>
    <col min="12322" max="12322" width="7.44140625" style="116" bestFit="1" customWidth="1"/>
    <col min="12323" max="12323" width="56.5546875" style="116" customWidth="1"/>
    <col min="12324" max="12324" width="17" style="116" customWidth="1"/>
    <col min="12325" max="12325" width="22.33203125" style="116" bestFit="1" customWidth="1"/>
    <col min="12326" max="12326" width="10.33203125" style="116" bestFit="1" customWidth="1"/>
    <col min="12327" max="12327" width="7.6640625" style="116" customWidth="1"/>
    <col min="12328" max="12328" width="6.6640625" style="116" customWidth="1"/>
    <col min="12329" max="12331" width="15.33203125" style="116" customWidth="1"/>
    <col min="12332" max="12332" width="15.6640625" style="116" customWidth="1"/>
    <col min="12333" max="12333" width="3.33203125" style="116" customWidth="1"/>
    <col min="12334" max="12334" width="7.33203125" style="116" customWidth="1"/>
    <col min="12335" max="12335" width="6.6640625" style="116" customWidth="1"/>
    <col min="12336" max="12338" width="15.33203125" style="116" customWidth="1"/>
    <col min="12339" max="12339" width="15.6640625" style="116" customWidth="1"/>
    <col min="12340" max="12340" width="3.33203125" style="116" customWidth="1"/>
    <col min="12341" max="12341" width="7.33203125" style="116" customWidth="1"/>
    <col min="12342" max="12342" width="6.6640625" style="116" customWidth="1"/>
    <col min="12343" max="12345" width="15.33203125" style="116" customWidth="1"/>
    <col min="12346" max="12346" width="15.6640625" style="116" customWidth="1"/>
    <col min="12347" max="12347" width="3.33203125" style="116" customWidth="1"/>
    <col min="12348" max="12348" width="7.33203125" style="116" customWidth="1"/>
    <col min="12349" max="12349" width="6.6640625" style="116" customWidth="1"/>
    <col min="12350" max="12352" width="15.33203125" style="116" customWidth="1"/>
    <col min="12353" max="12353" width="15.6640625" style="116" customWidth="1"/>
    <col min="12354" max="12354" width="3.33203125" style="116" customWidth="1"/>
    <col min="12355" max="12355" width="7.33203125" style="116" customWidth="1"/>
    <col min="12356" max="12356" width="6.6640625" style="116" customWidth="1"/>
    <col min="12357" max="12359" width="15.33203125" style="116" customWidth="1"/>
    <col min="12360" max="12360" width="15.6640625" style="116" customWidth="1"/>
    <col min="12361" max="12361" width="3.33203125" style="116" customWidth="1"/>
    <col min="12362" max="12371" width="13.5546875" style="116" customWidth="1"/>
    <col min="12372" max="12577" width="12.5546875" style="116"/>
    <col min="12578" max="12578" width="7.44140625" style="116" bestFit="1" customWidth="1"/>
    <col min="12579" max="12579" width="56.5546875" style="116" customWidth="1"/>
    <col min="12580" max="12580" width="17" style="116" customWidth="1"/>
    <col min="12581" max="12581" width="22.33203125" style="116" bestFit="1" customWidth="1"/>
    <col min="12582" max="12582" width="10.33203125" style="116" bestFit="1" customWidth="1"/>
    <col min="12583" max="12583" width="7.6640625" style="116" customWidth="1"/>
    <col min="12584" max="12584" width="6.6640625" style="116" customWidth="1"/>
    <col min="12585" max="12587" width="15.33203125" style="116" customWidth="1"/>
    <col min="12588" max="12588" width="15.6640625" style="116" customWidth="1"/>
    <col min="12589" max="12589" width="3.33203125" style="116" customWidth="1"/>
    <col min="12590" max="12590" width="7.33203125" style="116" customWidth="1"/>
    <col min="12591" max="12591" width="6.6640625" style="116" customWidth="1"/>
    <col min="12592" max="12594" width="15.33203125" style="116" customWidth="1"/>
    <col min="12595" max="12595" width="15.6640625" style="116" customWidth="1"/>
    <col min="12596" max="12596" width="3.33203125" style="116" customWidth="1"/>
    <col min="12597" max="12597" width="7.33203125" style="116" customWidth="1"/>
    <col min="12598" max="12598" width="6.6640625" style="116" customWidth="1"/>
    <col min="12599" max="12601" width="15.33203125" style="116" customWidth="1"/>
    <col min="12602" max="12602" width="15.6640625" style="116" customWidth="1"/>
    <col min="12603" max="12603" width="3.33203125" style="116" customWidth="1"/>
    <col min="12604" max="12604" width="7.33203125" style="116" customWidth="1"/>
    <col min="12605" max="12605" width="6.6640625" style="116" customWidth="1"/>
    <col min="12606" max="12608" width="15.33203125" style="116" customWidth="1"/>
    <col min="12609" max="12609" width="15.6640625" style="116" customWidth="1"/>
    <col min="12610" max="12610" width="3.33203125" style="116" customWidth="1"/>
    <col min="12611" max="12611" width="7.33203125" style="116" customWidth="1"/>
    <col min="12612" max="12612" width="6.6640625" style="116" customWidth="1"/>
    <col min="12613" max="12615" width="15.33203125" style="116" customWidth="1"/>
    <col min="12616" max="12616" width="15.6640625" style="116" customWidth="1"/>
    <col min="12617" max="12617" width="3.33203125" style="116" customWidth="1"/>
    <col min="12618" max="12627" width="13.5546875" style="116" customWidth="1"/>
    <col min="12628" max="12833" width="12.5546875" style="116"/>
    <col min="12834" max="12834" width="7.44140625" style="116" bestFit="1" customWidth="1"/>
    <col min="12835" max="12835" width="56.5546875" style="116" customWidth="1"/>
    <col min="12836" max="12836" width="17" style="116" customWidth="1"/>
    <col min="12837" max="12837" width="22.33203125" style="116" bestFit="1" customWidth="1"/>
    <col min="12838" max="12838" width="10.33203125" style="116" bestFit="1" customWidth="1"/>
    <col min="12839" max="12839" width="7.6640625" style="116" customWidth="1"/>
    <col min="12840" max="12840" width="6.6640625" style="116" customWidth="1"/>
    <col min="12841" max="12843" width="15.33203125" style="116" customWidth="1"/>
    <col min="12844" max="12844" width="15.6640625" style="116" customWidth="1"/>
    <col min="12845" max="12845" width="3.33203125" style="116" customWidth="1"/>
    <col min="12846" max="12846" width="7.33203125" style="116" customWidth="1"/>
    <col min="12847" max="12847" width="6.6640625" style="116" customWidth="1"/>
    <col min="12848" max="12850" width="15.33203125" style="116" customWidth="1"/>
    <col min="12851" max="12851" width="15.6640625" style="116" customWidth="1"/>
    <col min="12852" max="12852" width="3.33203125" style="116" customWidth="1"/>
    <col min="12853" max="12853" width="7.33203125" style="116" customWidth="1"/>
    <col min="12854" max="12854" width="6.6640625" style="116" customWidth="1"/>
    <col min="12855" max="12857" width="15.33203125" style="116" customWidth="1"/>
    <col min="12858" max="12858" width="15.6640625" style="116" customWidth="1"/>
    <col min="12859" max="12859" width="3.33203125" style="116" customWidth="1"/>
    <col min="12860" max="12860" width="7.33203125" style="116" customWidth="1"/>
    <col min="12861" max="12861" width="6.6640625" style="116" customWidth="1"/>
    <col min="12862" max="12864" width="15.33203125" style="116" customWidth="1"/>
    <col min="12865" max="12865" width="15.6640625" style="116" customWidth="1"/>
    <col min="12866" max="12866" width="3.33203125" style="116" customWidth="1"/>
    <col min="12867" max="12867" width="7.33203125" style="116" customWidth="1"/>
    <col min="12868" max="12868" width="6.6640625" style="116" customWidth="1"/>
    <col min="12869" max="12871" width="15.33203125" style="116" customWidth="1"/>
    <col min="12872" max="12872" width="15.6640625" style="116" customWidth="1"/>
    <col min="12873" max="12873" width="3.33203125" style="116" customWidth="1"/>
    <col min="12874" max="12883" width="13.5546875" style="116" customWidth="1"/>
    <col min="12884" max="13089" width="12.5546875" style="116"/>
    <col min="13090" max="13090" width="7.44140625" style="116" bestFit="1" customWidth="1"/>
    <col min="13091" max="13091" width="56.5546875" style="116" customWidth="1"/>
    <col min="13092" max="13092" width="17" style="116" customWidth="1"/>
    <col min="13093" max="13093" width="22.33203125" style="116" bestFit="1" customWidth="1"/>
    <col min="13094" max="13094" width="10.33203125" style="116" bestFit="1" customWidth="1"/>
    <col min="13095" max="13095" width="7.6640625" style="116" customWidth="1"/>
    <col min="13096" max="13096" width="6.6640625" style="116" customWidth="1"/>
    <col min="13097" max="13099" width="15.33203125" style="116" customWidth="1"/>
    <col min="13100" max="13100" width="15.6640625" style="116" customWidth="1"/>
    <col min="13101" max="13101" width="3.33203125" style="116" customWidth="1"/>
    <col min="13102" max="13102" width="7.33203125" style="116" customWidth="1"/>
    <col min="13103" max="13103" width="6.6640625" style="116" customWidth="1"/>
    <col min="13104" max="13106" width="15.33203125" style="116" customWidth="1"/>
    <col min="13107" max="13107" width="15.6640625" style="116" customWidth="1"/>
    <col min="13108" max="13108" width="3.33203125" style="116" customWidth="1"/>
    <col min="13109" max="13109" width="7.33203125" style="116" customWidth="1"/>
    <col min="13110" max="13110" width="6.6640625" style="116" customWidth="1"/>
    <col min="13111" max="13113" width="15.33203125" style="116" customWidth="1"/>
    <col min="13114" max="13114" width="15.6640625" style="116" customWidth="1"/>
    <col min="13115" max="13115" width="3.33203125" style="116" customWidth="1"/>
    <col min="13116" max="13116" width="7.33203125" style="116" customWidth="1"/>
    <col min="13117" max="13117" width="6.6640625" style="116" customWidth="1"/>
    <col min="13118" max="13120" width="15.33203125" style="116" customWidth="1"/>
    <col min="13121" max="13121" width="15.6640625" style="116" customWidth="1"/>
    <col min="13122" max="13122" width="3.33203125" style="116" customWidth="1"/>
    <col min="13123" max="13123" width="7.33203125" style="116" customWidth="1"/>
    <col min="13124" max="13124" width="6.6640625" style="116" customWidth="1"/>
    <col min="13125" max="13127" width="15.33203125" style="116" customWidth="1"/>
    <col min="13128" max="13128" width="15.6640625" style="116" customWidth="1"/>
    <col min="13129" max="13129" width="3.33203125" style="116" customWidth="1"/>
    <col min="13130" max="13139" width="13.5546875" style="116" customWidth="1"/>
    <col min="13140" max="13345" width="12.5546875" style="116"/>
    <col min="13346" max="13346" width="7.44140625" style="116" bestFit="1" customWidth="1"/>
    <col min="13347" max="13347" width="56.5546875" style="116" customWidth="1"/>
    <col min="13348" max="13348" width="17" style="116" customWidth="1"/>
    <col min="13349" max="13349" width="22.33203125" style="116" bestFit="1" customWidth="1"/>
    <col min="13350" max="13350" width="10.33203125" style="116" bestFit="1" customWidth="1"/>
    <col min="13351" max="13351" width="7.6640625" style="116" customWidth="1"/>
    <col min="13352" max="13352" width="6.6640625" style="116" customWidth="1"/>
    <col min="13353" max="13355" width="15.33203125" style="116" customWidth="1"/>
    <col min="13356" max="13356" width="15.6640625" style="116" customWidth="1"/>
    <col min="13357" max="13357" width="3.33203125" style="116" customWidth="1"/>
    <col min="13358" max="13358" width="7.33203125" style="116" customWidth="1"/>
    <col min="13359" max="13359" width="6.6640625" style="116" customWidth="1"/>
    <col min="13360" max="13362" width="15.33203125" style="116" customWidth="1"/>
    <col min="13363" max="13363" width="15.6640625" style="116" customWidth="1"/>
    <col min="13364" max="13364" width="3.33203125" style="116" customWidth="1"/>
    <col min="13365" max="13365" width="7.33203125" style="116" customWidth="1"/>
    <col min="13366" max="13366" width="6.6640625" style="116" customWidth="1"/>
    <col min="13367" max="13369" width="15.33203125" style="116" customWidth="1"/>
    <col min="13370" max="13370" width="15.6640625" style="116" customWidth="1"/>
    <col min="13371" max="13371" width="3.33203125" style="116" customWidth="1"/>
    <col min="13372" max="13372" width="7.33203125" style="116" customWidth="1"/>
    <col min="13373" max="13373" width="6.6640625" style="116" customWidth="1"/>
    <col min="13374" max="13376" width="15.33203125" style="116" customWidth="1"/>
    <col min="13377" max="13377" width="15.6640625" style="116" customWidth="1"/>
    <col min="13378" max="13378" width="3.33203125" style="116" customWidth="1"/>
    <col min="13379" max="13379" width="7.33203125" style="116" customWidth="1"/>
    <col min="13380" max="13380" width="6.6640625" style="116" customWidth="1"/>
    <col min="13381" max="13383" width="15.33203125" style="116" customWidth="1"/>
    <col min="13384" max="13384" width="15.6640625" style="116" customWidth="1"/>
    <col min="13385" max="13385" width="3.33203125" style="116" customWidth="1"/>
    <col min="13386" max="13395" width="13.5546875" style="116" customWidth="1"/>
    <col min="13396" max="13601" width="12.5546875" style="116"/>
    <col min="13602" max="13602" width="7.44140625" style="116" bestFit="1" customWidth="1"/>
    <col min="13603" max="13603" width="56.5546875" style="116" customWidth="1"/>
    <col min="13604" max="13604" width="17" style="116" customWidth="1"/>
    <col min="13605" max="13605" width="22.33203125" style="116" bestFit="1" customWidth="1"/>
    <col min="13606" max="13606" width="10.33203125" style="116" bestFit="1" customWidth="1"/>
    <col min="13607" max="13607" width="7.6640625" style="116" customWidth="1"/>
    <col min="13608" max="13608" width="6.6640625" style="116" customWidth="1"/>
    <col min="13609" max="13611" width="15.33203125" style="116" customWidth="1"/>
    <col min="13612" max="13612" width="15.6640625" style="116" customWidth="1"/>
    <col min="13613" max="13613" width="3.33203125" style="116" customWidth="1"/>
    <col min="13614" max="13614" width="7.33203125" style="116" customWidth="1"/>
    <col min="13615" max="13615" width="6.6640625" style="116" customWidth="1"/>
    <col min="13616" max="13618" width="15.33203125" style="116" customWidth="1"/>
    <col min="13619" max="13619" width="15.6640625" style="116" customWidth="1"/>
    <col min="13620" max="13620" width="3.33203125" style="116" customWidth="1"/>
    <col min="13621" max="13621" width="7.33203125" style="116" customWidth="1"/>
    <col min="13622" max="13622" width="6.6640625" style="116" customWidth="1"/>
    <col min="13623" max="13625" width="15.33203125" style="116" customWidth="1"/>
    <col min="13626" max="13626" width="15.6640625" style="116" customWidth="1"/>
    <col min="13627" max="13627" width="3.33203125" style="116" customWidth="1"/>
    <col min="13628" max="13628" width="7.33203125" style="116" customWidth="1"/>
    <col min="13629" max="13629" width="6.6640625" style="116" customWidth="1"/>
    <col min="13630" max="13632" width="15.33203125" style="116" customWidth="1"/>
    <col min="13633" max="13633" width="15.6640625" style="116" customWidth="1"/>
    <col min="13634" max="13634" width="3.33203125" style="116" customWidth="1"/>
    <col min="13635" max="13635" width="7.33203125" style="116" customWidth="1"/>
    <col min="13636" max="13636" width="6.6640625" style="116" customWidth="1"/>
    <col min="13637" max="13639" width="15.33203125" style="116" customWidth="1"/>
    <col min="13640" max="13640" width="15.6640625" style="116" customWidth="1"/>
    <col min="13641" max="13641" width="3.33203125" style="116" customWidth="1"/>
    <col min="13642" max="13651" width="13.5546875" style="116" customWidth="1"/>
    <col min="13652" max="13857" width="12.5546875" style="116"/>
    <col min="13858" max="13858" width="7.44140625" style="116" bestFit="1" customWidth="1"/>
    <col min="13859" max="13859" width="56.5546875" style="116" customWidth="1"/>
    <col min="13860" max="13860" width="17" style="116" customWidth="1"/>
    <col min="13861" max="13861" width="22.33203125" style="116" bestFit="1" customWidth="1"/>
    <col min="13862" max="13862" width="10.33203125" style="116" bestFit="1" customWidth="1"/>
    <col min="13863" max="13863" width="7.6640625" style="116" customWidth="1"/>
    <col min="13864" max="13864" width="6.6640625" style="116" customWidth="1"/>
    <col min="13865" max="13867" width="15.33203125" style="116" customWidth="1"/>
    <col min="13868" max="13868" width="15.6640625" style="116" customWidth="1"/>
    <col min="13869" max="13869" width="3.33203125" style="116" customWidth="1"/>
    <col min="13870" max="13870" width="7.33203125" style="116" customWidth="1"/>
    <col min="13871" max="13871" width="6.6640625" style="116" customWidth="1"/>
    <col min="13872" max="13874" width="15.33203125" style="116" customWidth="1"/>
    <col min="13875" max="13875" width="15.6640625" style="116" customWidth="1"/>
    <col min="13876" max="13876" width="3.33203125" style="116" customWidth="1"/>
    <col min="13877" max="13877" width="7.33203125" style="116" customWidth="1"/>
    <col min="13878" max="13878" width="6.6640625" style="116" customWidth="1"/>
    <col min="13879" max="13881" width="15.33203125" style="116" customWidth="1"/>
    <col min="13882" max="13882" width="15.6640625" style="116" customWidth="1"/>
    <col min="13883" max="13883" width="3.33203125" style="116" customWidth="1"/>
    <col min="13884" max="13884" width="7.33203125" style="116" customWidth="1"/>
    <col min="13885" max="13885" width="6.6640625" style="116" customWidth="1"/>
    <col min="13886" max="13888" width="15.33203125" style="116" customWidth="1"/>
    <col min="13889" max="13889" width="15.6640625" style="116" customWidth="1"/>
    <col min="13890" max="13890" width="3.33203125" style="116" customWidth="1"/>
    <col min="13891" max="13891" width="7.33203125" style="116" customWidth="1"/>
    <col min="13892" max="13892" width="6.6640625" style="116" customWidth="1"/>
    <col min="13893" max="13895" width="15.33203125" style="116" customWidth="1"/>
    <col min="13896" max="13896" width="15.6640625" style="116" customWidth="1"/>
    <col min="13897" max="13897" width="3.33203125" style="116" customWidth="1"/>
    <col min="13898" max="13907" width="13.5546875" style="116" customWidth="1"/>
    <col min="13908" max="14113" width="12.5546875" style="116"/>
    <col min="14114" max="14114" width="7.44140625" style="116" bestFit="1" customWidth="1"/>
    <col min="14115" max="14115" width="56.5546875" style="116" customWidth="1"/>
    <col min="14116" max="14116" width="17" style="116" customWidth="1"/>
    <col min="14117" max="14117" width="22.33203125" style="116" bestFit="1" customWidth="1"/>
    <col min="14118" max="14118" width="10.33203125" style="116" bestFit="1" customWidth="1"/>
    <col min="14119" max="14119" width="7.6640625" style="116" customWidth="1"/>
    <col min="14120" max="14120" width="6.6640625" style="116" customWidth="1"/>
    <col min="14121" max="14123" width="15.33203125" style="116" customWidth="1"/>
    <col min="14124" max="14124" width="15.6640625" style="116" customWidth="1"/>
    <col min="14125" max="14125" width="3.33203125" style="116" customWidth="1"/>
    <col min="14126" max="14126" width="7.33203125" style="116" customWidth="1"/>
    <col min="14127" max="14127" width="6.6640625" style="116" customWidth="1"/>
    <col min="14128" max="14130" width="15.33203125" style="116" customWidth="1"/>
    <col min="14131" max="14131" width="15.6640625" style="116" customWidth="1"/>
    <col min="14132" max="14132" width="3.33203125" style="116" customWidth="1"/>
    <col min="14133" max="14133" width="7.33203125" style="116" customWidth="1"/>
    <col min="14134" max="14134" width="6.6640625" style="116" customWidth="1"/>
    <col min="14135" max="14137" width="15.33203125" style="116" customWidth="1"/>
    <col min="14138" max="14138" width="15.6640625" style="116" customWidth="1"/>
    <col min="14139" max="14139" width="3.33203125" style="116" customWidth="1"/>
    <col min="14140" max="14140" width="7.33203125" style="116" customWidth="1"/>
    <col min="14141" max="14141" width="6.6640625" style="116" customWidth="1"/>
    <col min="14142" max="14144" width="15.33203125" style="116" customWidth="1"/>
    <col min="14145" max="14145" width="15.6640625" style="116" customWidth="1"/>
    <col min="14146" max="14146" width="3.33203125" style="116" customWidth="1"/>
    <col min="14147" max="14147" width="7.33203125" style="116" customWidth="1"/>
    <col min="14148" max="14148" width="6.6640625" style="116" customWidth="1"/>
    <col min="14149" max="14151" width="15.33203125" style="116" customWidth="1"/>
    <col min="14152" max="14152" width="15.6640625" style="116" customWidth="1"/>
    <col min="14153" max="14153" width="3.33203125" style="116" customWidth="1"/>
    <col min="14154" max="14163" width="13.5546875" style="116" customWidth="1"/>
    <col min="14164" max="14369" width="12.5546875" style="116"/>
    <col min="14370" max="14370" width="7.44140625" style="116" bestFit="1" customWidth="1"/>
    <col min="14371" max="14371" width="56.5546875" style="116" customWidth="1"/>
    <col min="14372" max="14372" width="17" style="116" customWidth="1"/>
    <col min="14373" max="14373" width="22.33203125" style="116" bestFit="1" customWidth="1"/>
    <col min="14374" max="14374" width="10.33203125" style="116" bestFit="1" customWidth="1"/>
    <col min="14375" max="14375" width="7.6640625" style="116" customWidth="1"/>
    <col min="14376" max="14376" width="6.6640625" style="116" customWidth="1"/>
    <col min="14377" max="14379" width="15.33203125" style="116" customWidth="1"/>
    <col min="14380" max="14380" width="15.6640625" style="116" customWidth="1"/>
    <col min="14381" max="14381" width="3.33203125" style="116" customWidth="1"/>
    <col min="14382" max="14382" width="7.33203125" style="116" customWidth="1"/>
    <col min="14383" max="14383" width="6.6640625" style="116" customWidth="1"/>
    <col min="14384" max="14386" width="15.33203125" style="116" customWidth="1"/>
    <col min="14387" max="14387" width="15.6640625" style="116" customWidth="1"/>
    <col min="14388" max="14388" width="3.33203125" style="116" customWidth="1"/>
    <col min="14389" max="14389" width="7.33203125" style="116" customWidth="1"/>
    <col min="14390" max="14390" width="6.6640625" style="116" customWidth="1"/>
    <col min="14391" max="14393" width="15.33203125" style="116" customWidth="1"/>
    <col min="14394" max="14394" width="15.6640625" style="116" customWidth="1"/>
    <col min="14395" max="14395" width="3.33203125" style="116" customWidth="1"/>
    <col min="14396" max="14396" width="7.33203125" style="116" customWidth="1"/>
    <col min="14397" max="14397" width="6.6640625" style="116" customWidth="1"/>
    <col min="14398" max="14400" width="15.33203125" style="116" customWidth="1"/>
    <col min="14401" max="14401" width="15.6640625" style="116" customWidth="1"/>
    <col min="14402" max="14402" width="3.33203125" style="116" customWidth="1"/>
    <col min="14403" max="14403" width="7.33203125" style="116" customWidth="1"/>
    <col min="14404" max="14404" width="6.6640625" style="116" customWidth="1"/>
    <col min="14405" max="14407" width="15.33203125" style="116" customWidth="1"/>
    <col min="14408" max="14408" width="15.6640625" style="116" customWidth="1"/>
    <col min="14409" max="14409" width="3.33203125" style="116" customWidth="1"/>
    <col min="14410" max="14419" width="13.5546875" style="116" customWidth="1"/>
    <col min="14420" max="14625" width="12.5546875" style="116"/>
    <col min="14626" max="14626" width="7.44140625" style="116" bestFit="1" customWidth="1"/>
    <col min="14627" max="14627" width="56.5546875" style="116" customWidth="1"/>
    <col min="14628" max="14628" width="17" style="116" customWidth="1"/>
    <col min="14629" max="14629" width="22.33203125" style="116" bestFit="1" customWidth="1"/>
    <col min="14630" max="14630" width="10.33203125" style="116" bestFit="1" customWidth="1"/>
    <col min="14631" max="14631" width="7.6640625" style="116" customWidth="1"/>
    <col min="14632" max="14632" width="6.6640625" style="116" customWidth="1"/>
    <col min="14633" max="14635" width="15.33203125" style="116" customWidth="1"/>
    <col min="14636" max="14636" width="15.6640625" style="116" customWidth="1"/>
    <col min="14637" max="14637" width="3.33203125" style="116" customWidth="1"/>
    <col min="14638" max="14638" width="7.33203125" style="116" customWidth="1"/>
    <col min="14639" max="14639" width="6.6640625" style="116" customWidth="1"/>
    <col min="14640" max="14642" width="15.33203125" style="116" customWidth="1"/>
    <col min="14643" max="14643" width="15.6640625" style="116" customWidth="1"/>
    <col min="14644" max="14644" width="3.33203125" style="116" customWidth="1"/>
    <col min="14645" max="14645" width="7.33203125" style="116" customWidth="1"/>
    <col min="14646" max="14646" width="6.6640625" style="116" customWidth="1"/>
    <col min="14647" max="14649" width="15.33203125" style="116" customWidth="1"/>
    <col min="14650" max="14650" width="15.6640625" style="116" customWidth="1"/>
    <col min="14651" max="14651" width="3.33203125" style="116" customWidth="1"/>
    <col min="14652" max="14652" width="7.33203125" style="116" customWidth="1"/>
    <col min="14653" max="14653" width="6.6640625" style="116" customWidth="1"/>
    <col min="14654" max="14656" width="15.33203125" style="116" customWidth="1"/>
    <col min="14657" max="14657" width="15.6640625" style="116" customWidth="1"/>
    <col min="14658" max="14658" width="3.33203125" style="116" customWidth="1"/>
    <col min="14659" max="14659" width="7.33203125" style="116" customWidth="1"/>
    <col min="14660" max="14660" width="6.6640625" style="116" customWidth="1"/>
    <col min="14661" max="14663" width="15.33203125" style="116" customWidth="1"/>
    <col min="14664" max="14664" width="15.6640625" style="116" customWidth="1"/>
    <col min="14665" max="14665" width="3.33203125" style="116" customWidth="1"/>
    <col min="14666" max="14675" width="13.5546875" style="116" customWidth="1"/>
    <col min="14676" max="14881" width="12.5546875" style="116"/>
    <col min="14882" max="14882" width="7.44140625" style="116" bestFit="1" customWidth="1"/>
    <col min="14883" max="14883" width="56.5546875" style="116" customWidth="1"/>
    <col min="14884" max="14884" width="17" style="116" customWidth="1"/>
    <col min="14885" max="14885" width="22.33203125" style="116" bestFit="1" customWidth="1"/>
    <col min="14886" max="14886" width="10.33203125" style="116" bestFit="1" customWidth="1"/>
    <col min="14887" max="14887" width="7.6640625" style="116" customWidth="1"/>
    <col min="14888" max="14888" width="6.6640625" style="116" customWidth="1"/>
    <col min="14889" max="14891" width="15.33203125" style="116" customWidth="1"/>
    <col min="14892" max="14892" width="15.6640625" style="116" customWidth="1"/>
    <col min="14893" max="14893" width="3.33203125" style="116" customWidth="1"/>
    <col min="14894" max="14894" width="7.33203125" style="116" customWidth="1"/>
    <col min="14895" max="14895" width="6.6640625" style="116" customWidth="1"/>
    <col min="14896" max="14898" width="15.33203125" style="116" customWidth="1"/>
    <col min="14899" max="14899" width="15.6640625" style="116" customWidth="1"/>
    <col min="14900" max="14900" width="3.33203125" style="116" customWidth="1"/>
    <col min="14901" max="14901" width="7.33203125" style="116" customWidth="1"/>
    <col min="14902" max="14902" width="6.6640625" style="116" customWidth="1"/>
    <col min="14903" max="14905" width="15.33203125" style="116" customWidth="1"/>
    <col min="14906" max="14906" width="15.6640625" style="116" customWidth="1"/>
    <col min="14907" max="14907" width="3.33203125" style="116" customWidth="1"/>
    <col min="14908" max="14908" width="7.33203125" style="116" customWidth="1"/>
    <col min="14909" max="14909" width="6.6640625" style="116" customWidth="1"/>
    <col min="14910" max="14912" width="15.33203125" style="116" customWidth="1"/>
    <col min="14913" max="14913" width="15.6640625" style="116" customWidth="1"/>
    <col min="14914" max="14914" width="3.33203125" style="116" customWidth="1"/>
    <col min="14915" max="14915" width="7.33203125" style="116" customWidth="1"/>
    <col min="14916" max="14916" width="6.6640625" style="116" customWidth="1"/>
    <col min="14917" max="14919" width="15.33203125" style="116" customWidth="1"/>
    <col min="14920" max="14920" width="15.6640625" style="116" customWidth="1"/>
    <col min="14921" max="14921" width="3.33203125" style="116" customWidth="1"/>
    <col min="14922" max="14931" width="13.5546875" style="116" customWidth="1"/>
    <col min="14932" max="15137" width="12.5546875" style="116"/>
    <col min="15138" max="15138" width="7.44140625" style="116" bestFit="1" customWidth="1"/>
    <col min="15139" max="15139" width="56.5546875" style="116" customWidth="1"/>
    <col min="15140" max="15140" width="17" style="116" customWidth="1"/>
    <col min="15141" max="15141" width="22.33203125" style="116" bestFit="1" customWidth="1"/>
    <col min="15142" max="15142" width="10.33203125" style="116" bestFit="1" customWidth="1"/>
    <col min="15143" max="15143" width="7.6640625" style="116" customWidth="1"/>
    <col min="15144" max="15144" width="6.6640625" style="116" customWidth="1"/>
    <col min="15145" max="15147" width="15.33203125" style="116" customWidth="1"/>
    <col min="15148" max="15148" width="15.6640625" style="116" customWidth="1"/>
    <col min="15149" max="15149" width="3.33203125" style="116" customWidth="1"/>
    <col min="15150" max="15150" width="7.33203125" style="116" customWidth="1"/>
    <col min="15151" max="15151" width="6.6640625" style="116" customWidth="1"/>
    <col min="15152" max="15154" width="15.33203125" style="116" customWidth="1"/>
    <col min="15155" max="15155" width="15.6640625" style="116" customWidth="1"/>
    <col min="15156" max="15156" width="3.33203125" style="116" customWidth="1"/>
    <col min="15157" max="15157" width="7.33203125" style="116" customWidth="1"/>
    <col min="15158" max="15158" width="6.6640625" style="116" customWidth="1"/>
    <col min="15159" max="15161" width="15.33203125" style="116" customWidth="1"/>
    <col min="15162" max="15162" width="15.6640625" style="116" customWidth="1"/>
    <col min="15163" max="15163" width="3.33203125" style="116" customWidth="1"/>
    <col min="15164" max="15164" width="7.33203125" style="116" customWidth="1"/>
    <col min="15165" max="15165" width="6.6640625" style="116" customWidth="1"/>
    <col min="15166" max="15168" width="15.33203125" style="116" customWidth="1"/>
    <col min="15169" max="15169" width="15.6640625" style="116" customWidth="1"/>
    <col min="15170" max="15170" width="3.33203125" style="116" customWidth="1"/>
    <col min="15171" max="15171" width="7.33203125" style="116" customWidth="1"/>
    <col min="15172" max="15172" width="6.6640625" style="116" customWidth="1"/>
    <col min="15173" max="15175" width="15.33203125" style="116" customWidth="1"/>
    <col min="15176" max="15176" width="15.6640625" style="116" customWidth="1"/>
    <col min="15177" max="15177" width="3.33203125" style="116" customWidth="1"/>
    <col min="15178" max="15187" width="13.5546875" style="116" customWidth="1"/>
    <col min="15188" max="15393" width="12.5546875" style="116"/>
    <col min="15394" max="15394" width="7.44140625" style="116" bestFit="1" customWidth="1"/>
    <col min="15395" max="15395" width="56.5546875" style="116" customWidth="1"/>
    <col min="15396" max="15396" width="17" style="116" customWidth="1"/>
    <col min="15397" max="15397" width="22.33203125" style="116" bestFit="1" customWidth="1"/>
    <col min="15398" max="15398" width="10.33203125" style="116" bestFit="1" customWidth="1"/>
    <col min="15399" max="15399" width="7.6640625" style="116" customWidth="1"/>
    <col min="15400" max="15400" width="6.6640625" style="116" customWidth="1"/>
    <col min="15401" max="15403" width="15.33203125" style="116" customWidth="1"/>
    <col min="15404" max="15404" width="15.6640625" style="116" customWidth="1"/>
    <col min="15405" max="15405" width="3.33203125" style="116" customWidth="1"/>
    <col min="15406" max="15406" width="7.33203125" style="116" customWidth="1"/>
    <col min="15407" max="15407" width="6.6640625" style="116" customWidth="1"/>
    <col min="15408" max="15410" width="15.33203125" style="116" customWidth="1"/>
    <col min="15411" max="15411" width="15.6640625" style="116" customWidth="1"/>
    <col min="15412" max="15412" width="3.33203125" style="116" customWidth="1"/>
    <col min="15413" max="15413" width="7.33203125" style="116" customWidth="1"/>
    <col min="15414" max="15414" width="6.6640625" style="116" customWidth="1"/>
    <col min="15415" max="15417" width="15.33203125" style="116" customWidth="1"/>
    <col min="15418" max="15418" width="15.6640625" style="116" customWidth="1"/>
    <col min="15419" max="15419" width="3.33203125" style="116" customWidth="1"/>
    <col min="15420" max="15420" width="7.33203125" style="116" customWidth="1"/>
    <col min="15421" max="15421" width="6.6640625" style="116" customWidth="1"/>
    <col min="15422" max="15424" width="15.33203125" style="116" customWidth="1"/>
    <col min="15425" max="15425" width="15.6640625" style="116" customWidth="1"/>
    <col min="15426" max="15426" width="3.33203125" style="116" customWidth="1"/>
    <col min="15427" max="15427" width="7.33203125" style="116" customWidth="1"/>
    <col min="15428" max="15428" width="6.6640625" style="116" customWidth="1"/>
    <col min="15429" max="15431" width="15.33203125" style="116" customWidth="1"/>
    <col min="15432" max="15432" width="15.6640625" style="116" customWidth="1"/>
    <col min="15433" max="15433" width="3.33203125" style="116" customWidth="1"/>
    <col min="15434" max="15443" width="13.5546875" style="116" customWidth="1"/>
    <col min="15444" max="15649" width="12.5546875" style="116"/>
    <col min="15650" max="15650" width="7.44140625" style="116" bestFit="1" customWidth="1"/>
    <col min="15651" max="15651" width="56.5546875" style="116" customWidth="1"/>
    <col min="15652" max="15652" width="17" style="116" customWidth="1"/>
    <col min="15653" max="15653" width="22.33203125" style="116" bestFit="1" customWidth="1"/>
    <col min="15654" max="15654" width="10.33203125" style="116" bestFit="1" customWidth="1"/>
    <col min="15655" max="15655" width="7.6640625" style="116" customWidth="1"/>
    <col min="15656" max="15656" width="6.6640625" style="116" customWidth="1"/>
    <col min="15657" max="15659" width="15.33203125" style="116" customWidth="1"/>
    <col min="15660" max="15660" width="15.6640625" style="116" customWidth="1"/>
    <col min="15661" max="15661" width="3.33203125" style="116" customWidth="1"/>
    <col min="15662" max="15662" width="7.33203125" style="116" customWidth="1"/>
    <col min="15663" max="15663" width="6.6640625" style="116" customWidth="1"/>
    <col min="15664" max="15666" width="15.33203125" style="116" customWidth="1"/>
    <col min="15667" max="15667" width="15.6640625" style="116" customWidth="1"/>
    <col min="15668" max="15668" width="3.33203125" style="116" customWidth="1"/>
    <col min="15669" max="15669" width="7.33203125" style="116" customWidth="1"/>
    <col min="15670" max="15670" width="6.6640625" style="116" customWidth="1"/>
    <col min="15671" max="15673" width="15.33203125" style="116" customWidth="1"/>
    <col min="15674" max="15674" width="15.6640625" style="116" customWidth="1"/>
    <col min="15675" max="15675" width="3.33203125" style="116" customWidth="1"/>
    <col min="15676" max="15676" width="7.33203125" style="116" customWidth="1"/>
    <col min="15677" max="15677" width="6.6640625" style="116" customWidth="1"/>
    <col min="15678" max="15680" width="15.33203125" style="116" customWidth="1"/>
    <col min="15681" max="15681" width="15.6640625" style="116" customWidth="1"/>
    <col min="15682" max="15682" width="3.33203125" style="116" customWidth="1"/>
    <col min="15683" max="15683" width="7.33203125" style="116" customWidth="1"/>
    <col min="15684" max="15684" width="6.6640625" style="116" customWidth="1"/>
    <col min="15685" max="15687" width="15.33203125" style="116" customWidth="1"/>
    <col min="15688" max="15688" width="15.6640625" style="116" customWidth="1"/>
    <col min="15689" max="15689" width="3.33203125" style="116" customWidth="1"/>
    <col min="15690" max="15699" width="13.5546875" style="116" customWidth="1"/>
    <col min="15700" max="15905" width="12.5546875" style="116"/>
    <col min="15906" max="15906" width="7.44140625" style="116" bestFit="1" customWidth="1"/>
    <col min="15907" max="15907" width="56.5546875" style="116" customWidth="1"/>
    <col min="15908" max="15908" width="17" style="116" customWidth="1"/>
    <col min="15909" max="15909" width="22.33203125" style="116" bestFit="1" customWidth="1"/>
    <col min="15910" max="15910" width="10.33203125" style="116" bestFit="1" customWidth="1"/>
    <col min="15911" max="15911" width="7.6640625" style="116" customWidth="1"/>
    <col min="15912" max="15912" width="6.6640625" style="116" customWidth="1"/>
    <col min="15913" max="15915" width="15.33203125" style="116" customWidth="1"/>
    <col min="15916" max="15916" width="15.6640625" style="116" customWidth="1"/>
    <col min="15917" max="15917" width="3.33203125" style="116" customWidth="1"/>
    <col min="15918" max="15918" width="7.33203125" style="116" customWidth="1"/>
    <col min="15919" max="15919" width="6.6640625" style="116" customWidth="1"/>
    <col min="15920" max="15922" width="15.33203125" style="116" customWidth="1"/>
    <col min="15923" max="15923" width="15.6640625" style="116" customWidth="1"/>
    <col min="15924" max="15924" width="3.33203125" style="116" customWidth="1"/>
    <col min="15925" max="15925" width="7.33203125" style="116" customWidth="1"/>
    <col min="15926" max="15926" width="6.6640625" style="116" customWidth="1"/>
    <col min="15927" max="15929" width="15.33203125" style="116" customWidth="1"/>
    <col min="15930" max="15930" width="15.6640625" style="116" customWidth="1"/>
    <col min="15931" max="15931" width="3.33203125" style="116" customWidth="1"/>
    <col min="15932" max="15932" width="7.33203125" style="116" customWidth="1"/>
    <col min="15933" max="15933" width="6.6640625" style="116" customWidth="1"/>
    <col min="15934" max="15936" width="15.33203125" style="116" customWidth="1"/>
    <col min="15937" max="15937" width="15.6640625" style="116" customWidth="1"/>
    <col min="15938" max="15938" width="3.33203125" style="116" customWidth="1"/>
    <col min="15939" max="15939" width="7.33203125" style="116" customWidth="1"/>
    <col min="15940" max="15940" width="6.6640625" style="116" customWidth="1"/>
    <col min="15941" max="15943" width="15.33203125" style="116" customWidth="1"/>
    <col min="15944" max="15944" width="15.6640625" style="116" customWidth="1"/>
    <col min="15945" max="15945" width="3.33203125" style="116" customWidth="1"/>
    <col min="15946" max="15955" width="13.5546875" style="116" customWidth="1"/>
    <col min="15956" max="16384" width="12.5546875" style="116"/>
  </cols>
  <sheetData>
    <row r="1" spans="1:13" ht="37.200000000000003" customHeight="1" x14ac:dyDescent="0.3"/>
    <row r="2" spans="1:13" ht="15" thickBot="1" x14ac:dyDescent="0.35"/>
    <row r="3" spans="1:13" ht="26.25" customHeight="1" x14ac:dyDescent="0.3">
      <c r="C3" s="441" t="s">
        <v>56</v>
      </c>
      <c r="D3" s="442"/>
      <c r="G3" s="461">
        <f>'Pricing Sheet'!C6</f>
        <v>0</v>
      </c>
      <c r="H3" s="462"/>
      <c r="I3" s="462"/>
      <c r="J3" s="462"/>
      <c r="K3" s="462"/>
      <c r="L3" s="463"/>
      <c r="M3" s="116"/>
    </row>
    <row r="4" spans="1:13" ht="15" customHeight="1" x14ac:dyDescent="0.3">
      <c r="C4" s="276" t="s">
        <v>433</v>
      </c>
      <c r="D4" s="297" t="str">
        <f>'Pricing Sheet'!$C$8</f>
        <v>&lt;enter subcontractor company name&gt;</v>
      </c>
      <c r="G4" s="464"/>
      <c r="H4" s="465"/>
      <c r="I4" s="465"/>
      <c r="J4" s="465"/>
      <c r="K4" s="465"/>
      <c r="L4" s="466"/>
      <c r="M4" s="116"/>
    </row>
    <row r="5" spans="1:13" ht="15.75" customHeight="1" x14ac:dyDescent="0.3">
      <c r="C5" s="276" t="s">
        <v>869</v>
      </c>
      <c r="D5" s="297" t="str">
        <f>'Pricing Sheet'!$C$12</f>
        <v>May 31, 2023</v>
      </c>
      <c r="G5" s="464"/>
      <c r="H5" s="465"/>
      <c r="I5" s="465"/>
      <c r="J5" s="465"/>
      <c r="K5" s="465"/>
      <c r="L5" s="466"/>
      <c r="M5" s="116"/>
    </row>
    <row r="6" spans="1:13" ht="12.6" customHeight="1" thickBot="1" x14ac:dyDescent="0.35">
      <c r="C6" s="276" t="s">
        <v>227</v>
      </c>
      <c r="D6" s="277">
        <v>72</v>
      </c>
      <c r="E6" s="119"/>
      <c r="F6" s="120"/>
      <c r="G6" s="467"/>
      <c r="H6" s="468"/>
      <c r="I6" s="468"/>
      <c r="J6" s="468"/>
      <c r="K6" s="468"/>
      <c r="L6" s="469"/>
      <c r="M6" s="116"/>
    </row>
    <row r="7" spans="1:13" ht="18" thickBot="1" x14ac:dyDescent="0.35">
      <c r="C7" s="278" t="s">
        <v>228</v>
      </c>
      <c r="D7" s="279">
        <v>97</v>
      </c>
      <c r="E7" s="119"/>
      <c r="F7" s="120"/>
      <c r="G7" s="120"/>
      <c r="H7" s="121"/>
      <c r="I7" s="116"/>
      <c r="J7" s="123"/>
      <c r="K7" s="122"/>
      <c r="L7" s="122"/>
      <c r="M7" s="122"/>
    </row>
    <row r="8" spans="1:13" ht="18" thickBot="1" x14ac:dyDescent="0.35">
      <c r="B8" s="237"/>
      <c r="C8" s="234" t="s">
        <v>871</v>
      </c>
      <c r="D8" s="126"/>
      <c r="E8" s="127" t="s">
        <v>862</v>
      </c>
      <c r="F8" s="203"/>
      <c r="G8" s="456" t="s">
        <v>432</v>
      </c>
      <c r="H8" s="457"/>
      <c r="I8" s="458"/>
      <c r="J8" s="206"/>
      <c r="K8" s="207"/>
      <c r="L8" s="208"/>
      <c r="M8" s="122"/>
    </row>
    <row r="9" spans="1:13" ht="16.2" outlineLevel="1" thickBot="1" x14ac:dyDescent="0.35">
      <c r="A9" s="121"/>
      <c r="B9" s="398"/>
      <c r="C9" s="397" t="s">
        <v>870</v>
      </c>
      <c r="D9" s="369"/>
      <c r="E9" s="124" t="s">
        <v>127</v>
      </c>
      <c r="F9" s="204"/>
      <c r="G9" s="459" t="s">
        <v>128</v>
      </c>
      <c r="H9" s="460"/>
      <c r="I9" s="262">
        <v>10</v>
      </c>
      <c r="J9" s="298"/>
      <c r="K9" s="298"/>
      <c r="L9" s="299"/>
      <c r="M9" s="122"/>
    </row>
    <row r="10" spans="1:13" ht="15.6" outlineLevel="1" x14ac:dyDescent="0.3">
      <c r="A10" s="121"/>
      <c r="B10" s="398"/>
      <c r="C10" s="345"/>
      <c r="D10" s="179"/>
      <c r="E10" s="124" t="s">
        <v>778</v>
      </c>
      <c r="F10" s="204"/>
      <c r="G10" s="459" t="s">
        <v>516</v>
      </c>
      <c r="H10" s="460"/>
      <c r="I10" s="262">
        <v>0</v>
      </c>
      <c r="J10" s="298"/>
      <c r="K10" s="298"/>
      <c r="L10" s="299"/>
      <c r="M10" s="122"/>
    </row>
    <row r="11" spans="1:13" ht="15.6" outlineLevel="1" x14ac:dyDescent="0.3">
      <c r="A11" s="121"/>
      <c r="B11" s="398"/>
      <c r="C11" s="235"/>
      <c r="D11" s="179"/>
      <c r="E11" s="124" t="s">
        <v>779</v>
      </c>
      <c r="F11" s="204"/>
      <c r="G11" s="459" t="s">
        <v>517</v>
      </c>
      <c r="H11" s="460"/>
      <c r="I11" s="262">
        <v>10</v>
      </c>
      <c r="J11" s="298"/>
      <c r="K11" s="298"/>
      <c r="L11" s="299"/>
      <c r="M11" s="122"/>
    </row>
    <row r="12" spans="1:13" ht="15.6" outlineLevel="1" x14ac:dyDescent="0.3">
      <c r="A12" s="121"/>
      <c r="B12" s="398"/>
      <c r="C12" s="235"/>
      <c r="D12" s="179"/>
      <c r="E12" s="124" t="s">
        <v>780</v>
      </c>
      <c r="F12" s="204"/>
      <c r="G12" s="459" t="s">
        <v>457</v>
      </c>
      <c r="H12" s="460"/>
      <c r="I12" s="262">
        <v>5</v>
      </c>
      <c r="J12" s="300"/>
      <c r="K12" s="298"/>
      <c r="L12" s="301"/>
      <c r="M12" s="122"/>
    </row>
    <row r="13" spans="1:13" ht="15.6" outlineLevel="1" x14ac:dyDescent="0.3">
      <c r="A13" s="121"/>
      <c r="B13" s="398"/>
      <c r="C13" s="235"/>
      <c r="D13" s="179"/>
      <c r="E13" s="124" t="s">
        <v>781</v>
      </c>
      <c r="F13" s="204"/>
      <c r="G13" s="459" t="s">
        <v>458</v>
      </c>
      <c r="H13" s="460"/>
      <c r="I13" s="262">
        <v>0</v>
      </c>
      <c r="J13" s="300"/>
      <c r="K13" s="298"/>
      <c r="L13" s="301"/>
      <c r="M13" s="122"/>
    </row>
    <row r="14" spans="1:13" ht="15.6" outlineLevel="1" x14ac:dyDescent="0.3">
      <c r="A14" s="121"/>
      <c r="B14" s="398"/>
      <c r="C14" s="235"/>
      <c r="D14" s="179"/>
      <c r="E14" s="124" t="s">
        <v>782</v>
      </c>
      <c r="F14" s="204"/>
      <c r="G14" s="459" t="s">
        <v>455</v>
      </c>
      <c r="H14" s="460"/>
      <c r="I14" s="262">
        <v>6</v>
      </c>
      <c r="J14" s="300"/>
      <c r="K14" s="298"/>
      <c r="L14" s="301"/>
      <c r="M14" s="122"/>
    </row>
    <row r="15" spans="1:13" ht="15.6" outlineLevel="1" x14ac:dyDescent="0.3">
      <c r="A15" s="121"/>
      <c r="B15" s="398"/>
      <c r="C15" s="235"/>
      <c r="D15" s="179"/>
      <c r="E15" s="124" t="s">
        <v>783</v>
      </c>
      <c r="F15" s="204"/>
      <c r="G15" s="459" t="s">
        <v>456</v>
      </c>
      <c r="H15" s="460"/>
      <c r="I15" s="262">
        <v>0</v>
      </c>
      <c r="J15" s="300"/>
      <c r="K15" s="298"/>
      <c r="L15" s="301"/>
      <c r="M15" s="122"/>
    </row>
    <row r="16" spans="1:13" ht="17.399999999999999" outlineLevel="1" x14ac:dyDescent="0.25">
      <c r="A16" s="121"/>
      <c r="B16" s="398"/>
      <c r="C16" s="235"/>
      <c r="D16" s="179"/>
      <c r="E16" s="124" t="s">
        <v>785</v>
      </c>
      <c r="F16" s="204"/>
      <c r="G16" s="459" t="s">
        <v>454</v>
      </c>
      <c r="H16" s="460"/>
      <c r="I16" s="262">
        <v>0</v>
      </c>
      <c r="J16" s="302"/>
      <c r="K16" s="303"/>
      <c r="L16" s="304"/>
      <c r="M16" s="122"/>
    </row>
    <row r="17" spans="1:13" ht="17.399999999999999" outlineLevel="1" x14ac:dyDescent="0.25">
      <c r="A17" s="121"/>
      <c r="B17" s="398"/>
      <c r="C17" s="235"/>
      <c r="D17" s="179"/>
      <c r="E17" s="124" t="s">
        <v>784</v>
      </c>
      <c r="F17" s="204"/>
      <c r="G17" s="459" t="s">
        <v>453</v>
      </c>
      <c r="H17" s="460"/>
      <c r="I17" s="262">
        <v>1</v>
      </c>
      <c r="J17" s="302"/>
      <c r="K17" s="303"/>
      <c r="L17" s="304"/>
      <c r="M17" s="122"/>
    </row>
    <row r="18" spans="1:13" ht="18" outlineLevel="1" thickBot="1" x14ac:dyDescent="0.3">
      <c r="A18" s="121"/>
      <c r="B18" s="399"/>
      <c r="C18" s="235"/>
      <c r="D18" s="179"/>
      <c r="E18" s="124" t="s">
        <v>786</v>
      </c>
      <c r="F18" s="204"/>
      <c r="G18" s="459" t="s">
        <v>452</v>
      </c>
      <c r="H18" s="460"/>
      <c r="I18" s="262">
        <v>4</v>
      </c>
      <c r="J18" s="302"/>
      <c r="K18" s="303"/>
      <c r="L18" s="304"/>
      <c r="M18" s="122"/>
    </row>
    <row r="19" spans="1:13" ht="19.95" customHeight="1" outlineLevel="1" thickBot="1" x14ac:dyDescent="0.35">
      <c r="B19" s="238"/>
      <c r="C19" s="236"/>
      <c r="D19" s="180"/>
      <c r="E19" s="125"/>
      <c r="F19" s="205"/>
      <c r="G19" s="443"/>
      <c r="H19" s="444"/>
      <c r="I19" s="445" t="s">
        <v>229</v>
      </c>
      <c r="J19" s="446"/>
      <c r="K19" s="445" t="s">
        <v>230</v>
      </c>
      <c r="L19" s="446"/>
      <c r="M19" s="122"/>
    </row>
    <row r="20" spans="1:13" s="128" customFormat="1" ht="28.2" thickBot="1" x14ac:dyDescent="0.3">
      <c r="A20" s="346" t="s">
        <v>875</v>
      </c>
      <c r="B20" s="195" t="s">
        <v>231</v>
      </c>
      <c r="C20" s="196" t="s">
        <v>232</v>
      </c>
      <c r="D20" s="197" t="s">
        <v>233</v>
      </c>
      <c r="E20" s="198" t="s">
        <v>428</v>
      </c>
      <c r="F20" s="199" t="s">
        <v>52</v>
      </c>
      <c r="G20" s="435" t="s">
        <v>234</v>
      </c>
      <c r="H20" s="436"/>
      <c r="I20" s="200" t="s">
        <v>380</v>
      </c>
      <c r="J20" s="201" t="s">
        <v>429</v>
      </c>
      <c r="K20" s="198" t="s">
        <v>430</v>
      </c>
      <c r="L20" s="202" t="s">
        <v>235</v>
      </c>
      <c r="M20" s="118"/>
    </row>
    <row r="21" spans="1:13" x14ac:dyDescent="0.3">
      <c r="A21" s="347"/>
      <c r="B21" s="381" t="s">
        <v>236</v>
      </c>
      <c r="C21" s="380" t="s">
        <v>879</v>
      </c>
      <c r="D21" s="187"/>
      <c r="E21" s="188"/>
      <c r="F21" s="189"/>
      <c r="G21" s="190"/>
      <c r="H21" s="191"/>
      <c r="I21" s="192"/>
      <c r="J21" s="193"/>
      <c r="K21" s="194"/>
      <c r="L21" s="210"/>
    </row>
    <row r="22" spans="1:13" ht="15" customHeight="1" outlineLevel="1" x14ac:dyDescent="0.3">
      <c r="A22" s="347"/>
      <c r="B22" s="211" t="s">
        <v>237</v>
      </c>
      <c r="C22" s="264" t="s">
        <v>1005</v>
      </c>
      <c r="D22" s="182" t="s">
        <v>756</v>
      </c>
      <c r="E22" s="239" t="s">
        <v>592</v>
      </c>
      <c r="F22" s="136"/>
      <c r="G22" s="260">
        <v>9</v>
      </c>
      <c r="H22" s="137" t="s">
        <v>766</v>
      </c>
      <c r="I22" s="307"/>
      <c r="J22" s="308">
        <v>0</v>
      </c>
      <c r="K22" s="307"/>
      <c r="L22" s="212">
        <f>G22*J22</f>
        <v>0</v>
      </c>
    </row>
    <row r="23" spans="1:13" ht="15" customHeight="1" outlineLevel="1" x14ac:dyDescent="0.3">
      <c r="A23" s="347"/>
      <c r="B23" s="211" t="s">
        <v>239</v>
      </c>
      <c r="C23" s="264" t="s">
        <v>1006</v>
      </c>
      <c r="D23" s="182" t="s">
        <v>756</v>
      </c>
      <c r="E23" s="239" t="s">
        <v>593</v>
      </c>
      <c r="F23" s="136"/>
      <c r="G23" s="260">
        <v>14</v>
      </c>
      <c r="H23" s="137" t="s">
        <v>766</v>
      </c>
      <c r="I23" s="307"/>
      <c r="J23" s="308">
        <v>0</v>
      </c>
      <c r="K23" s="307"/>
      <c r="L23" s="212">
        <f t="shared" ref="L23:L51" si="0">G23*J23</f>
        <v>0</v>
      </c>
    </row>
    <row r="24" spans="1:13" ht="15" customHeight="1" outlineLevel="1" x14ac:dyDescent="0.3">
      <c r="A24" s="347"/>
      <c r="B24" s="211" t="s">
        <v>240</v>
      </c>
      <c r="C24" s="264" t="s">
        <v>582</v>
      </c>
      <c r="D24" s="182" t="s">
        <v>756</v>
      </c>
      <c r="E24" s="239" t="s">
        <v>272</v>
      </c>
      <c r="F24" s="136"/>
      <c r="G24" s="260">
        <v>4</v>
      </c>
      <c r="H24" s="137" t="s">
        <v>766</v>
      </c>
      <c r="I24" s="307"/>
      <c r="J24" s="308">
        <v>0</v>
      </c>
      <c r="K24" s="307"/>
      <c r="L24" s="212">
        <f t="shared" si="0"/>
        <v>0</v>
      </c>
    </row>
    <row r="25" spans="1:13" ht="15" customHeight="1" outlineLevel="1" x14ac:dyDescent="0.3">
      <c r="A25" s="347"/>
      <c r="B25" s="211" t="s">
        <v>241</v>
      </c>
      <c r="C25" s="264" t="s">
        <v>583</v>
      </c>
      <c r="D25" s="182" t="s">
        <v>756</v>
      </c>
      <c r="E25" s="239" t="s">
        <v>275</v>
      </c>
      <c r="F25" s="136"/>
      <c r="G25" s="260">
        <v>2</v>
      </c>
      <c r="H25" s="137" t="s">
        <v>766</v>
      </c>
      <c r="I25" s="307"/>
      <c r="J25" s="308">
        <v>0</v>
      </c>
      <c r="K25" s="307"/>
      <c r="L25" s="212">
        <f t="shared" si="0"/>
        <v>0</v>
      </c>
    </row>
    <row r="26" spans="1:13" ht="15" customHeight="1" outlineLevel="1" x14ac:dyDescent="0.3">
      <c r="A26" s="347"/>
      <c r="B26" s="211" t="s">
        <v>242</v>
      </c>
      <c r="C26" s="264" t="s">
        <v>584</v>
      </c>
      <c r="D26" s="182" t="s">
        <v>756</v>
      </c>
      <c r="E26" s="239" t="s">
        <v>73</v>
      </c>
      <c r="F26" s="136"/>
      <c r="G26" s="260">
        <v>2</v>
      </c>
      <c r="H26" s="137" t="s">
        <v>766</v>
      </c>
      <c r="I26" s="307"/>
      <c r="J26" s="308">
        <v>0</v>
      </c>
      <c r="K26" s="307"/>
      <c r="L26" s="212">
        <f t="shared" si="0"/>
        <v>0</v>
      </c>
    </row>
    <row r="27" spans="1:13" ht="15" customHeight="1" outlineLevel="1" x14ac:dyDescent="0.3">
      <c r="A27" s="347"/>
      <c r="B27" s="211" t="s">
        <v>243</v>
      </c>
      <c r="C27" s="264" t="s">
        <v>1007</v>
      </c>
      <c r="D27" s="182" t="s">
        <v>756</v>
      </c>
      <c r="E27" s="239" t="s">
        <v>1008</v>
      </c>
      <c r="F27" s="136"/>
      <c r="G27" s="260">
        <v>4</v>
      </c>
      <c r="H27" s="137" t="s">
        <v>766</v>
      </c>
      <c r="I27" s="307"/>
      <c r="J27" s="308">
        <v>0</v>
      </c>
      <c r="K27" s="307"/>
      <c r="L27" s="212">
        <f t="shared" si="0"/>
        <v>0</v>
      </c>
    </row>
    <row r="28" spans="1:13" ht="15" customHeight="1" outlineLevel="1" x14ac:dyDescent="0.3">
      <c r="A28" s="347"/>
      <c r="B28" s="211" t="s">
        <v>244</v>
      </c>
      <c r="C28" s="264" t="s">
        <v>1009</v>
      </c>
      <c r="D28" s="182" t="s">
        <v>756</v>
      </c>
      <c r="E28" s="239" t="s">
        <v>595</v>
      </c>
      <c r="F28" s="136"/>
      <c r="G28" s="260">
        <v>3</v>
      </c>
      <c r="H28" s="137" t="s">
        <v>766</v>
      </c>
      <c r="I28" s="307"/>
      <c r="J28" s="308">
        <v>0</v>
      </c>
      <c r="K28" s="307"/>
      <c r="L28" s="212">
        <f t="shared" si="0"/>
        <v>0</v>
      </c>
    </row>
    <row r="29" spans="1:13" outlineLevel="1" x14ac:dyDescent="0.3">
      <c r="A29" s="347"/>
      <c r="B29" s="211" t="s">
        <v>245</v>
      </c>
      <c r="C29" s="264" t="s">
        <v>1015</v>
      </c>
      <c r="D29" s="182" t="s">
        <v>756</v>
      </c>
      <c r="E29" s="293" t="s">
        <v>1010</v>
      </c>
      <c r="F29" s="136"/>
      <c r="G29" s="260">
        <v>4</v>
      </c>
      <c r="H29" s="137" t="s">
        <v>766</v>
      </c>
      <c r="I29" s="307"/>
      <c r="J29" s="308">
        <v>0</v>
      </c>
      <c r="K29" s="307"/>
      <c r="L29" s="212">
        <f t="shared" si="0"/>
        <v>0</v>
      </c>
    </row>
    <row r="30" spans="1:13" outlineLevel="1" x14ac:dyDescent="0.3">
      <c r="A30" s="347"/>
      <c r="B30" s="211" t="s">
        <v>246</v>
      </c>
      <c r="C30" s="264" t="s">
        <v>447</v>
      </c>
      <c r="D30" s="182" t="s">
        <v>756</v>
      </c>
      <c r="E30" s="239" t="s">
        <v>594</v>
      </c>
      <c r="F30" s="136"/>
      <c r="G30" s="260">
        <v>5</v>
      </c>
      <c r="H30" s="137" t="s">
        <v>766</v>
      </c>
      <c r="I30" s="307"/>
      <c r="J30" s="308">
        <v>0</v>
      </c>
      <c r="K30" s="307"/>
      <c r="L30" s="212">
        <f t="shared" si="0"/>
        <v>0</v>
      </c>
    </row>
    <row r="31" spans="1:13" outlineLevel="1" x14ac:dyDescent="0.3">
      <c r="A31" s="347"/>
      <c r="B31" s="211" t="s">
        <v>247</v>
      </c>
      <c r="C31" s="264" t="s">
        <v>280</v>
      </c>
      <c r="D31" s="182" t="s">
        <v>756</v>
      </c>
      <c r="E31" s="239" t="s">
        <v>85</v>
      </c>
      <c r="F31" s="136"/>
      <c r="G31" s="260">
        <v>1</v>
      </c>
      <c r="H31" s="137" t="s">
        <v>766</v>
      </c>
      <c r="I31" s="307"/>
      <c r="J31" s="308">
        <v>0</v>
      </c>
      <c r="K31" s="307"/>
      <c r="L31" s="212">
        <f t="shared" si="0"/>
        <v>0</v>
      </c>
    </row>
    <row r="32" spans="1:13" outlineLevel="1" x14ac:dyDescent="0.3">
      <c r="A32" s="347"/>
      <c r="B32" s="211" t="s">
        <v>381</v>
      </c>
      <c r="C32" s="264" t="s">
        <v>448</v>
      </c>
      <c r="D32" s="182" t="s">
        <v>756</v>
      </c>
      <c r="E32" s="239" t="s">
        <v>596</v>
      </c>
      <c r="F32" s="136"/>
      <c r="G32" s="260">
        <v>2</v>
      </c>
      <c r="H32" s="137" t="s">
        <v>766</v>
      </c>
      <c r="I32" s="307"/>
      <c r="J32" s="308">
        <v>0</v>
      </c>
      <c r="K32" s="307"/>
      <c r="L32" s="212">
        <f t="shared" si="0"/>
        <v>0</v>
      </c>
    </row>
    <row r="33" spans="1:12" outlineLevel="1" x14ac:dyDescent="0.3">
      <c r="A33" s="347"/>
      <c r="B33" s="211" t="s">
        <v>382</v>
      </c>
      <c r="C33" s="264" t="s">
        <v>1016</v>
      </c>
      <c r="D33" s="182" t="s">
        <v>756</v>
      </c>
      <c r="E33" s="293" t="s">
        <v>1010</v>
      </c>
      <c r="F33" s="136"/>
      <c r="G33" s="260"/>
      <c r="H33" s="137" t="s">
        <v>766</v>
      </c>
      <c r="I33" s="307"/>
      <c r="J33" s="308">
        <v>0</v>
      </c>
      <c r="K33" s="307"/>
      <c r="L33" s="212">
        <f t="shared" si="0"/>
        <v>0</v>
      </c>
    </row>
    <row r="34" spans="1:12" outlineLevel="1" x14ac:dyDescent="0.3">
      <c r="A34" s="347"/>
      <c r="B34" s="211" t="s">
        <v>383</v>
      </c>
      <c r="C34" s="264" t="s">
        <v>450</v>
      </c>
      <c r="D34" s="182" t="s">
        <v>756</v>
      </c>
      <c r="E34" s="291" t="s">
        <v>77</v>
      </c>
      <c r="F34" s="136"/>
      <c r="G34" s="260">
        <v>1</v>
      </c>
      <c r="H34" s="137" t="s">
        <v>766</v>
      </c>
      <c r="I34" s="307"/>
      <c r="J34" s="308">
        <v>0</v>
      </c>
      <c r="K34" s="307"/>
      <c r="L34" s="212">
        <f t="shared" si="0"/>
        <v>0</v>
      </c>
    </row>
    <row r="35" spans="1:12" outlineLevel="1" x14ac:dyDescent="0.3">
      <c r="A35" s="347"/>
      <c r="B35" s="211" t="s">
        <v>384</v>
      </c>
      <c r="C35" s="264" t="s">
        <v>451</v>
      </c>
      <c r="D35" s="182" t="s">
        <v>756</v>
      </c>
      <c r="E35" s="239" t="s">
        <v>597</v>
      </c>
      <c r="F35" s="136"/>
      <c r="G35" s="260">
        <v>0</v>
      </c>
      <c r="H35" s="137" t="s">
        <v>766</v>
      </c>
      <c r="I35" s="307"/>
      <c r="J35" s="308">
        <v>0</v>
      </c>
      <c r="K35" s="307"/>
      <c r="L35" s="212">
        <f t="shared" si="0"/>
        <v>0</v>
      </c>
    </row>
    <row r="36" spans="1:12" outlineLevel="1" x14ac:dyDescent="0.3">
      <c r="A36" s="347"/>
      <c r="B36" s="211" t="s">
        <v>385</v>
      </c>
      <c r="C36" s="264" t="s">
        <v>585</v>
      </c>
      <c r="D36" s="182" t="s">
        <v>756</v>
      </c>
      <c r="E36" s="293" t="s">
        <v>1010</v>
      </c>
      <c r="F36" s="136"/>
      <c r="G36" s="260">
        <v>0</v>
      </c>
      <c r="H36" s="137" t="s">
        <v>766</v>
      </c>
      <c r="I36" s="307"/>
      <c r="J36" s="308">
        <v>0</v>
      </c>
      <c r="K36" s="307"/>
      <c r="L36" s="212">
        <f t="shared" si="0"/>
        <v>0</v>
      </c>
    </row>
    <row r="37" spans="1:12" outlineLevel="1" x14ac:dyDescent="0.3">
      <c r="A37" s="347"/>
      <c r="B37" s="211" t="s">
        <v>386</v>
      </c>
      <c r="C37" s="264" t="s">
        <v>586</v>
      </c>
      <c r="D37" s="182" t="s">
        <v>756</v>
      </c>
      <c r="E37" s="239" t="s">
        <v>598</v>
      </c>
      <c r="F37" s="136"/>
      <c r="G37" s="260">
        <v>7</v>
      </c>
      <c r="H37" s="137" t="s">
        <v>766</v>
      </c>
      <c r="I37" s="307"/>
      <c r="J37" s="308">
        <v>0</v>
      </c>
      <c r="K37" s="307"/>
      <c r="L37" s="212">
        <f t="shared" si="0"/>
        <v>0</v>
      </c>
    </row>
    <row r="38" spans="1:12" outlineLevel="1" x14ac:dyDescent="0.3">
      <c r="A38" s="347"/>
      <c r="B38" s="211" t="s">
        <v>387</v>
      </c>
      <c r="C38" s="264" t="s">
        <v>587</v>
      </c>
      <c r="D38" s="182" t="s">
        <v>756</v>
      </c>
      <c r="E38" s="239" t="s">
        <v>269</v>
      </c>
      <c r="F38" s="136"/>
      <c r="G38" s="260">
        <v>0</v>
      </c>
      <c r="H38" s="137" t="s">
        <v>766</v>
      </c>
      <c r="I38" s="307"/>
      <c r="J38" s="308">
        <v>0</v>
      </c>
      <c r="K38" s="307"/>
      <c r="L38" s="212">
        <f t="shared" si="0"/>
        <v>0</v>
      </c>
    </row>
    <row r="39" spans="1:12" outlineLevel="1" x14ac:dyDescent="0.3">
      <c r="A39" s="347"/>
      <c r="B39" s="211" t="s">
        <v>388</v>
      </c>
      <c r="C39" s="264" t="s">
        <v>588</v>
      </c>
      <c r="D39" s="182" t="s">
        <v>756</v>
      </c>
      <c r="E39" s="293" t="s">
        <v>1010</v>
      </c>
      <c r="F39" s="136"/>
      <c r="G39" s="260">
        <v>3</v>
      </c>
      <c r="H39" s="137" t="s">
        <v>766</v>
      </c>
      <c r="I39" s="307"/>
      <c r="J39" s="308">
        <v>0</v>
      </c>
      <c r="K39" s="307"/>
      <c r="L39" s="212">
        <f t="shared" si="0"/>
        <v>0</v>
      </c>
    </row>
    <row r="40" spans="1:12" outlineLevel="1" x14ac:dyDescent="0.3">
      <c r="A40" s="347"/>
      <c r="B40" s="211" t="s">
        <v>389</v>
      </c>
      <c r="C40" s="264" t="s">
        <v>589</v>
      </c>
      <c r="D40" s="182" t="s">
        <v>756</v>
      </c>
      <c r="E40" s="293" t="s">
        <v>1010</v>
      </c>
      <c r="F40" s="136"/>
      <c r="G40" s="260">
        <v>3</v>
      </c>
      <c r="H40" s="137" t="s">
        <v>766</v>
      </c>
      <c r="I40" s="307"/>
      <c r="J40" s="308">
        <v>0</v>
      </c>
      <c r="K40" s="307"/>
      <c r="L40" s="212">
        <f t="shared" si="0"/>
        <v>0</v>
      </c>
    </row>
    <row r="41" spans="1:12" outlineLevel="1" x14ac:dyDescent="0.3">
      <c r="A41" s="347"/>
      <c r="B41" s="211" t="s">
        <v>390</v>
      </c>
      <c r="C41" s="396" t="s">
        <v>995</v>
      </c>
      <c r="D41" s="182" t="s">
        <v>756</v>
      </c>
      <c r="E41" s="293" t="s">
        <v>1010</v>
      </c>
      <c r="F41" s="136"/>
      <c r="G41" s="260"/>
      <c r="H41" s="137" t="s">
        <v>766</v>
      </c>
      <c r="I41" s="307"/>
      <c r="J41" s="308">
        <v>0</v>
      </c>
      <c r="K41" s="307"/>
      <c r="L41" s="212">
        <f t="shared" si="0"/>
        <v>0</v>
      </c>
    </row>
    <row r="42" spans="1:12" outlineLevel="1" x14ac:dyDescent="0.3">
      <c r="A42" s="347"/>
      <c r="B42" s="211" t="s">
        <v>391</v>
      </c>
      <c r="C42" s="264" t="s">
        <v>590</v>
      </c>
      <c r="D42" s="182" t="s">
        <v>756</v>
      </c>
      <c r="E42" s="239"/>
      <c r="F42" s="136"/>
      <c r="G42" s="260">
        <v>15</v>
      </c>
      <c r="H42" s="137" t="s">
        <v>766</v>
      </c>
      <c r="I42" s="307"/>
      <c r="J42" s="308">
        <v>0</v>
      </c>
      <c r="K42" s="307"/>
      <c r="L42" s="212">
        <f t="shared" si="0"/>
        <v>0</v>
      </c>
    </row>
    <row r="43" spans="1:12" outlineLevel="1" x14ac:dyDescent="0.3">
      <c r="A43" s="347"/>
      <c r="B43" s="211" t="s">
        <v>392</v>
      </c>
      <c r="C43" s="264" t="s">
        <v>1017</v>
      </c>
      <c r="D43" s="182" t="s">
        <v>756</v>
      </c>
      <c r="E43" s="239"/>
      <c r="F43" s="136"/>
      <c r="G43" s="260">
        <v>20</v>
      </c>
      <c r="H43" s="137" t="s">
        <v>766</v>
      </c>
      <c r="I43" s="307"/>
      <c r="J43" s="308">
        <v>0</v>
      </c>
      <c r="K43" s="307"/>
      <c r="L43" s="212">
        <f t="shared" si="0"/>
        <v>0</v>
      </c>
    </row>
    <row r="44" spans="1:12" outlineLevel="1" x14ac:dyDescent="0.3">
      <c r="A44" s="347"/>
      <c r="B44" s="211" t="s">
        <v>393</v>
      </c>
      <c r="C44" s="264" t="s">
        <v>591</v>
      </c>
      <c r="D44" s="182" t="s">
        <v>756</v>
      </c>
      <c r="E44" s="239"/>
      <c r="F44" s="136"/>
      <c r="G44" s="260">
        <v>20</v>
      </c>
      <c r="H44" s="137" t="s">
        <v>766</v>
      </c>
      <c r="I44" s="307"/>
      <c r="J44" s="308">
        <v>0</v>
      </c>
      <c r="K44" s="307"/>
      <c r="L44" s="212">
        <f t="shared" si="0"/>
        <v>0</v>
      </c>
    </row>
    <row r="45" spans="1:12" outlineLevel="1" x14ac:dyDescent="0.3">
      <c r="A45" s="347"/>
      <c r="B45" s="211" t="s">
        <v>394</v>
      </c>
      <c r="C45" s="264" t="s">
        <v>1018</v>
      </c>
      <c r="D45" s="182" t="s">
        <v>756</v>
      </c>
      <c r="E45" s="239"/>
      <c r="F45" s="136"/>
      <c r="G45" s="260">
        <v>20</v>
      </c>
      <c r="H45" s="137" t="s">
        <v>766</v>
      </c>
      <c r="I45" s="307"/>
      <c r="J45" s="308">
        <v>0</v>
      </c>
      <c r="K45" s="307"/>
      <c r="L45" s="212">
        <f t="shared" si="0"/>
        <v>0</v>
      </c>
    </row>
    <row r="46" spans="1:12" outlineLevel="1" x14ac:dyDescent="0.3">
      <c r="A46" s="347"/>
      <c r="B46" s="211" t="s">
        <v>395</v>
      </c>
      <c r="C46" s="264" t="s">
        <v>1011</v>
      </c>
      <c r="D46" s="182" t="s">
        <v>756</v>
      </c>
      <c r="E46" s="239"/>
      <c r="F46" s="136"/>
      <c r="G46" s="260">
        <v>12.333333333333332</v>
      </c>
      <c r="H46" s="137" t="s">
        <v>766</v>
      </c>
      <c r="I46" s="307"/>
      <c r="J46" s="308">
        <v>0</v>
      </c>
      <c r="K46" s="307"/>
      <c r="L46" s="212">
        <f t="shared" si="0"/>
        <v>0</v>
      </c>
    </row>
    <row r="47" spans="1:12" outlineLevel="1" x14ac:dyDescent="0.3">
      <c r="A47" s="347"/>
      <c r="B47" s="211" t="s">
        <v>396</v>
      </c>
      <c r="C47" s="264"/>
      <c r="D47" s="221"/>
      <c r="E47" s="220"/>
      <c r="F47" s="136"/>
      <c r="G47" s="260"/>
      <c r="H47" s="137" t="s">
        <v>766</v>
      </c>
      <c r="I47" s="307"/>
      <c r="J47" s="308">
        <v>0</v>
      </c>
      <c r="K47" s="307"/>
      <c r="L47" s="212">
        <f t="shared" si="0"/>
        <v>0</v>
      </c>
    </row>
    <row r="48" spans="1:12" outlineLevel="1" x14ac:dyDescent="0.3">
      <c r="A48" s="347"/>
      <c r="B48" s="211" t="s">
        <v>397</v>
      </c>
      <c r="C48" s="264"/>
      <c r="D48" s="221"/>
      <c r="E48" s="220"/>
      <c r="F48" s="136"/>
      <c r="G48" s="260"/>
      <c r="H48" s="137" t="s">
        <v>766</v>
      </c>
      <c r="I48" s="307"/>
      <c r="J48" s="308">
        <v>0</v>
      </c>
      <c r="K48" s="307"/>
      <c r="L48" s="212">
        <f t="shared" si="0"/>
        <v>0</v>
      </c>
    </row>
    <row r="49" spans="1:14" outlineLevel="1" x14ac:dyDescent="0.3">
      <c r="A49" s="347"/>
      <c r="B49" s="211" t="s">
        <v>398</v>
      </c>
      <c r="C49" s="264"/>
      <c r="D49" s="221"/>
      <c r="E49" s="220"/>
      <c r="F49" s="136"/>
      <c r="G49" s="260"/>
      <c r="H49" s="137" t="s">
        <v>766</v>
      </c>
      <c r="I49" s="307"/>
      <c r="J49" s="308">
        <v>0</v>
      </c>
      <c r="K49" s="307"/>
      <c r="L49" s="212">
        <f t="shared" si="0"/>
        <v>0</v>
      </c>
    </row>
    <row r="50" spans="1:14" outlineLevel="1" x14ac:dyDescent="0.3">
      <c r="A50" s="347"/>
      <c r="B50" s="211" t="s">
        <v>399</v>
      </c>
      <c r="C50" s="264"/>
      <c r="D50" s="221"/>
      <c r="E50" s="220"/>
      <c r="F50" s="136"/>
      <c r="G50" s="260"/>
      <c r="H50" s="137" t="s">
        <v>766</v>
      </c>
      <c r="I50" s="307"/>
      <c r="J50" s="308">
        <v>0</v>
      </c>
      <c r="K50" s="307"/>
      <c r="L50" s="212">
        <f t="shared" si="0"/>
        <v>0</v>
      </c>
    </row>
    <row r="51" spans="1:14" outlineLevel="1" x14ac:dyDescent="0.3">
      <c r="A51" s="347"/>
      <c r="B51" s="211" t="s">
        <v>400</v>
      </c>
      <c r="C51" s="264"/>
      <c r="D51" s="221"/>
      <c r="E51" s="220"/>
      <c r="F51" s="136"/>
      <c r="G51" s="260"/>
      <c r="H51" s="137" t="s">
        <v>766</v>
      </c>
      <c r="I51" s="307"/>
      <c r="J51" s="308">
        <v>0</v>
      </c>
      <c r="K51" s="307"/>
      <c r="L51" s="212">
        <f t="shared" si="0"/>
        <v>0</v>
      </c>
    </row>
    <row r="52" spans="1:14" s="118" customFormat="1" x14ac:dyDescent="0.3">
      <c r="A52" s="347"/>
      <c r="B52" s="213"/>
      <c r="C52" s="139"/>
      <c r="D52" s="183"/>
      <c r="E52" s="111"/>
      <c r="F52" s="140"/>
      <c r="G52" s="141"/>
      <c r="H52" s="142"/>
      <c r="I52" s="143"/>
      <c r="J52" s="144"/>
      <c r="K52" s="145">
        <f>SUM(K22:K51)</f>
        <v>0</v>
      </c>
      <c r="L52" s="214">
        <f>SUM(L22:L51)</f>
        <v>0</v>
      </c>
      <c r="N52" s="116"/>
    </row>
    <row r="53" spans="1:14" s="118" customFormat="1" ht="27.6" customHeight="1" x14ac:dyDescent="0.25">
      <c r="A53" s="376" t="s">
        <v>880</v>
      </c>
      <c r="B53" s="240" t="s">
        <v>248</v>
      </c>
      <c r="C53" s="241" t="s">
        <v>282</v>
      </c>
      <c r="D53" s="181"/>
      <c r="E53" s="112"/>
      <c r="F53" s="146"/>
      <c r="G53" s="130"/>
      <c r="H53" s="324"/>
      <c r="I53" s="318"/>
      <c r="J53" s="319"/>
      <c r="K53" s="320"/>
      <c r="L53" s="215"/>
      <c r="N53" s="116"/>
    </row>
    <row r="54" spans="1:14" s="118" customFormat="1" outlineLevel="1" x14ac:dyDescent="0.3">
      <c r="A54" s="288" t="s">
        <v>505</v>
      </c>
      <c r="B54" s="211" t="s">
        <v>250</v>
      </c>
      <c r="C54" s="223" t="s">
        <v>503</v>
      </c>
      <c r="D54" s="286" t="s">
        <v>756</v>
      </c>
      <c r="E54" s="288"/>
      <c r="F54" s="287"/>
      <c r="G54" s="260"/>
      <c r="H54" s="137" t="s">
        <v>766</v>
      </c>
      <c r="I54" s="307"/>
      <c r="J54" s="308">
        <v>0</v>
      </c>
      <c r="K54" s="307"/>
      <c r="L54" s="212">
        <f t="shared" ref="L54:L63" si="1">G54*J54</f>
        <v>0</v>
      </c>
      <c r="N54" s="116"/>
    </row>
    <row r="55" spans="1:14" s="118" customFormat="1" outlineLevel="1" x14ac:dyDescent="0.3">
      <c r="A55" s="288" t="s">
        <v>506</v>
      </c>
      <c r="B55" s="211" t="s">
        <v>251</v>
      </c>
      <c r="C55" s="223" t="s">
        <v>773</v>
      </c>
      <c r="D55" s="286" t="s">
        <v>756</v>
      </c>
      <c r="E55" s="288"/>
      <c r="F55" s="287"/>
      <c r="G55" s="260">
        <v>3</v>
      </c>
      <c r="H55" s="137" t="s">
        <v>766</v>
      </c>
      <c r="I55" s="307"/>
      <c r="J55" s="308">
        <v>0</v>
      </c>
      <c r="K55" s="307"/>
      <c r="L55" s="212">
        <f t="shared" si="1"/>
        <v>0</v>
      </c>
      <c r="N55" s="116"/>
    </row>
    <row r="56" spans="1:14" s="118" customFormat="1" outlineLevel="1" x14ac:dyDescent="0.3">
      <c r="A56" s="288" t="s">
        <v>507</v>
      </c>
      <c r="B56" s="211" t="s">
        <v>253</v>
      </c>
      <c r="C56" s="223" t="s">
        <v>774</v>
      </c>
      <c r="D56" s="286" t="s">
        <v>756</v>
      </c>
      <c r="E56" s="288"/>
      <c r="F56" s="287"/>
      <c r="G56" s="260">
        <v>40</v>
      </c>
      <c r="H56" s="137" t="s">
        <v>766</v>
      </c>
      <c r="I56" s="307"/>
      <c r="J56" s="308">
        <v>0</v>
      </c>
      <c r="K56" s="307"/>
      <c r="L56" s="212">
        <f t="shared" si="1"/>
        <v>0</v>
      </c>
      <c r="N56" s="116"/>
    </row>
    <row r="57" spans="1:14" s="118" customFormat="1" outlineLevel="1" x14ac:dyDescent="0.3">
      <c r="A57" s="288" t="s">
        <v>508</v>
      </c>
      <c r="B57" s="211" t="s">
        <v>255</v>
      </c>
      <c r="C57" s="223" t="s">
        <v>775</v>
      </c>
      <c r="D57" s="286" t="s">
        <v>756</v>
      </c>
      <c r="E57" s="288"/>
      <c r="F57" s="287"/>
      <c r="G57" s="260">
        <v>0</v>
      </c>
      <c r="H57" s="137" t="s">
        <v>766</v>
      </c>
      <c r="I57" s="307"/>
      <c r="J57" s="308">
        <v>0</v>
      </c>
      <c r="K57" s="307"/>
      <c r="L57" s="212">
        <f t="shared" si="1"/>
        <v>0</v>
      </c>
      <c r="N57" s="116"/>
    </row>
    <row r="58" spans="1:14" s="118" customFormat="1" outlineLevel="1" x14ac:dyDescent="0.3">
      <c r="A58" s="288" t="s">
        <v>509</v>
      </c>
      <c r="B58" s="211" t="s">
        <v>257</v>
      </c>
      <c r="C58" s="223" t="s">
        <v>776</v>
      </c>
      <c r="D58" s="286" t="s">
        <v>756</v>
      </c>
      <c r="E58" s="288"/>
      <c r="F58" s="287"/>
      <c r="G58" s="260">
        <v>20</v>
      </c>
      <c r="H58" s="137" t="s">
        <v>766</v>
      </c>
      <c r="I58" s="307"/>
      <c r="J58" s="308">
        <v>0</v>
      </c>
      <c r="K58" s="307"/>
      <c r="L58" s="212">
        <f t="shared" si="1"/>
        <v>0</v>
      </c>
      <c r="N58" s="116"/>
    </row>
    <row r="59" spans="1:14" s="118" customFormat="1" outlineLevel="1" x14ac:dyDescent="0.3">
      <c r="A59" s="288" t="s">
        <v>510</v>
      </c>
      <c r="B59" s="211" t="s">
        <v>258</v>
      </c>
      <c r="C59" s="223" t="s">
        <v>777</v>
      </c>
      <c r="D59" s="286" t="s">
        <v>756</v>
      </c>
      <c r="E59" s="288"/>
      <c r="F59" s="287"/>
      <c r="G59" s="260">
        <v>0</v>
      </c>
      <c r="H59" s="137" t="s">
        <v>766</v>
      </c>
      <c r="I59" s="307"/>
      <c r="J59" s="308">
        <v>0</v>
      </c>
      <c r="K59" s="307"/>
      <c r="L59" s="212">
        <f t="shared" si="1"/>
        <v>0</v>
      </c>
      <c r="N59" s="116"/>
    </row>
    <row r="60" spans="1:14" s="118" customFormat="1" outlineLevel="1" x14ac:dyDescent="0.3">
      <c r="A60" s="348"/>
      <c r="B60" s="211" t="s">
        <v>259</v>
      </c>
      <c r="C60" s="223"/>
      <c r="D60" s="182"/>
      <c r="E60" s="134" t="s">
        <v>60</v>
      </c>
      <c r="F60" s="136"/>
      <c r="G60" s="259"/>
      <c r="H60" s="137" t="s">
        <v>766</v>
      </c>
      <c r="I60" s="307"/>
      <c r="J60" s="308">
        <v>0</v>
      </c>
      <c r="K60" s="307"/>
      <c r="L60" s="212">
        <f t="shared" si="1"/>
        <v>0</v>
      </c>
      <c r="N60" s="116"/>
    </row>
    <row r="61" spans="1:14" s="118" customFormat="1" outlineLevel="1" x14ac:dyDescent="0.3">
      <c r="A61" s="348"/>
      <c r="B61" s="211" t="s">
        <v>260</v>
      </c>
      <c r="C61" s="223"/>
      <c r="D61" s="182"/>
      <c r="E61" s="134" t="s">
        <v>60</v>
      </c>
      <c r="F61" s="136"/>
      <c r="G61" s="259"/>
      <c r="H61" s="137" t="s">
        <v>766</v>
      </c>
      <c r="I61" s="307"/>
      <c r="J61" s="308">
        <v>0</v>
      </c>
      <c r="K61" s="307"/>
      <c r="L61" s="212">
        <f t="shared" si="1"/>
        <v>0</v>
      </c>
      <c r="N61" s="116"/>
    </row>
    <row r="62" spans="1:14" s="118" customFormat="1" outlineLevel="1" x14ac:dyDescent="0.3">
      <c r="A62" s="348"/>
      <c r="B62" s="211" t="s">
        <v>261</v>
      </c>
      <c r="C62" s="223"/>
      <c r="D62" s="182"/>
      <c r="E62" s="134" t="s">
        <v>60</v>
      </c>
      <c r="F62" s="136"/>
      <c r="G62" s="259"/>
      <c r="H62" s="137" t="s">
        <v>766</v>
      </c>
      <c r="I62" s="307"/>
      <c r="J62" s="308">
        <v>0</v>
      </c>
      <c r="K62" s="307"/>
      <c r="L62" s="212">
        <f t="shared" si="1"/>
        <v>0</v>
      </c>
      <c r="N62" s="116"/>
    </row>
    <row r="63" spans="1:14" s="118" customFormat="1" outlineLevel="1" x14ac:dyDescent="0.3">
      <c r="A63" s="348"/>
      <c r="B63" s="211" t="s">
        <v>263</v>
      </c>
      <c r="C63" s="223"/>
      <c r="D63" s="182"/>
      <c r="E63" s="134" t="s">
        <v>60</v>
      </c>
      <c r="F63" s="136"/>
      <c r="G63" s="259"/>
      <c r="H63" s="137" t="s">
        <v>766</v>
      </c>
      <c r="I63" s="307"/>
      <c r="J63" s="308">
        <v>0</v>
      </c>
      <c r="K63" s="307"/>
      <c r="L63" s="212">
        <f t="shared" si="1"/>
        <v>0</v>
      </c>
      <c r="N63" s="116"/>
    </row>
    <row r="64" spans="1:14" s="118" customFormat="1" ht="9.6" customHeight="1" x14ac:dyDescent="0.25">
      <c r="A64" s="348"/>
      <c r="B64" s="213"/>
      <c r="C64" s="224"/>
      <c r="D64" s="183"/>
      <c r="E64" s="111"/>
      <c r="F64" s="140"/>
      <c r="G64" s="141"/>
      <c r="H64" s="142"/>
      <c r="I64" s="143"/>
      <c r="J64" s="144"/>
      <c r="K64" s="145">
        <f>SUM(K54:K63)</f>
        <v>0</v>
      </c>
      <c r="L64" s="214">
        <f>SUM(L54:L63)</f>
        <v>0</v>
      </c>
      <c r="N64" s="116"/>
    </row>
    <row r="65" spans="1:14" s="118" customFormat="1" ht="36.6" customHeight="1" x14ac:dyDescent="0.25">
      <c r="A65" s="376" t="s">
        <v>880</v>
      </c>
      <c r="B65" s="240" t="s">
        <v>266</v>
      </c>
      <c r="C65" s="241" t="s">
        <v>294</v>
      </c>
      <c r="D65" s="181"/>
      <c r="E65" s="112"/>
      <c r="F65" s="146"/>
      <c r="G65" s="130"/>
      <c r="H65" s="131"/>
      <c r="I65" s="132"/>
      <c r="J65" s="133"/>
      <c r="K65" s="147"/>
      <c r="L65" s="215"/>
      <c r="N65" s="116"/>
    </row>
    <row r="66" spans="1:14" s="118" customFormat="1" outlineLevel="1" x14ac:dyDescent="0.3">
      <c r="A66" s="288" t="s">
        <v>511</v>
      </c>
      <c r="B66" s="211" t="s">
        <v>267</v>
      </c>
      <c r="C66" s="223" t="s">
        <v>767</v>
      </c>
      <c r="D66" s="286" t="s">
        <v>756</v>
      </c>
      <c r="E66" s="288"/>
      <c r="F66" s="287"/>
      <c r="G66" s="262">
        <v>9</v>
      </c>
      <c r="H66" s="137" t="s">
        <v>766</v>
      </c>
      <c r="I66" s="307"/>
      <c r="J66" s="308">
        <v>0</v>
      </c>
      <c r="K66" s="307"/>
      <c r="L66" s="212">
        <f t="shared" ref="L66:L74" si="2">G66*J66</f>
        <v>0</v>
      </c>
      <c r="N66" s="116"/>
    </row>
    <row r="67" spans="1:14" s="118" customFormat="1" outlineLevel="1" x14ac:dyDescent="0.3">
      <c r="A67" s="288" t="s">
        <v>512</v>
      </c>
      <c r="B67" s="211" t="s">
        <v>268</v>
      </c>
      <c r="C67" s="223" t="s">
        <v>768</v>
      </c>
      <c r="D67" s="286" t="s">
        <v>756</v>
      </c>
      <c r="E67" s="288"/>
      <c r="F67" s="287"/>
      <c r="G67" s="262">
        <v>55</v>
      </c>
      <c r="H67" s="137" t="s">
        <v>766</v>
      </c>
      <c r="I67" s="307"/>
      <c r="J67" s="308">
        <v>0</v>
      </c>
      <c r="K67" s="307"/>
      <c r="L67" s="212">
        <f t="shared" si="2"/>
        <v>0</v>
      </c>
      <c r="N67" s="116"/>
    </row>
    <row r="68" spans="1:14" s="118" customFormat="1" outlineLevel="1" x14ac:dyDescent="0.3">
      <c r="A68" s="288" t="s">
        <v>513</v>
      </c>
      <c r="B68" s="211" t="s">
        <v>270</v>
      </c>
      <c r="C68" s="223" t="s">
        <v>769</v>
      </c>
      <c r="D68" s="286" t="s">
        <v>756</v>
      </c>
      <c r="E68" s="288"/>
      <c r="F68" s="287"/>
      <c r="G68" s="262">
        <v>0</v>
      </c>
      <c r="H68" s="137" t="s">
        <v>766</v>
      </c>
      <c r="I68" s="307"/>
      <c r="J68" s="308">
        <v>0</v>
      </c>
      <c r="K68" s="307"/>
      <c r="L68" s="212">
        <f t="shared" si="2"/>
        <v>0</v>
      </c>
      <c r="N68" s="116"/>
    </row>
    <row r="69" spans="1:14" s="118" customFormat="1" outlineLevel="1" x14ac:dyDescent="0.3">
      <c r="A69" s="288" t="s">
        <v>514</v>
      </c>
      <c r="B69" s="211" t="s">
        <v>271</v>
      </c>
      <c r="C69" s="223" t="s">
        <v>770</v>
      </c>
      <c r="D69" s="286" t="s">
        <v>756</v>
      </c>
      <c r="E69" s="288"/>
      <c r="F69" s="287"/>
      <c r="G69" s="262">
        <v>0</v>
      </c>
      <c r="H69" s="137" t="s">
        <v>766</v>
      </c>
      <c r="I69" s="307"/>
      <c r="J69" s="308">
        <v>0</v>
      </c>
      <c r="K69" s="307"/>
      <c r="L69" s="212">
        <f t="shared" si="2"/>
        <v>0</v>
      </c>
      <c r="N69" s="116"/>
    </row>
    <row r="70" spans="1:14" s="118" customFormat="1" outlineLevel="1" x14ac:dyDescent="0.3">
      <c r="A70" s="288" t="s">
        <v>515</v>
      </c>
      <c r="B70" s="211" t="s">
        <v>273</v>
      </c>
      <c r="C70" s="223" t="s">
        <v>771</v>
      </c>
      <c r="D70" s="286" t="s">
        <v>756</v>
      </c>
      <c r="E70" s="288"/>
      <c r="F70" s="287"/>
      <c r="G70" s="262">
        <v>0</v>
      </c>
      <c r="H70" s="137" t="s">
        <v>766</v>
      </c>
      <c r="I70" s="307"/>
      <c r="J70" s="308">
        <v>0</v>
      </c>
      <c r="K70" s="307"/>
      <c r="L70" s="212">
        <f t="shared" si="2"/>
        <v>0</v>
      </c>
      <c r="N70" s="116"/>
    </row>
    <row r="71" spans="1:14" s="118" customFormat="1" outlineLevel="1" x14ac:dyDescent="0.3">
      <c r="A71" s="348"/>
      <c r="B71" s="211" t="s">
        <v>274</v>
      </c>
      <c r="C71" s="134" t="s">
        <v>60</v>
      </c>
      <c r="D71" s="182"/>
      <c r="E71" s="134"/>
      <c r="F71" s="136"/>
      <c r="G71" s="219"/>
      <c r="H71" s="137" t="s">
        <v>766</v>
      </c>
      <c r="I71" s="307"/>
      <c r="J71" s="308">
        <v>0</v>
      </c>
      <c r="K71" s="307"/>
      <c r="L71" s="212">
        <f t="shared" si="2"/>
        <v>0</v>
      </c>
      <c r="N71" s="116"/>
    </row>
    <row r="72" spans="1:14" s="118" customFormat="1" outlineLevel="1" x14ac:dyDescent="0.3">
      <c r="A72" s="348"/>
      <c r="B72" s="211" t="s">
        <v>276</v>
      </c>
      <c r="C72" s="134" t="s">
        <v>60</v>
      </c>
      <c r="D72" s="182"/>
      <c r="E72" s="134" t="s">
        <v>60</v>
      </c>
      <c r="F72" s="136"/>
      <c r="G72" s="219"/>
      <c r="H72" s="137" t="s">
        <v>766</v>
      </c>
      <c r="I72" s="307"/>
      <c r="J72" s="308">
        <v>0</v>
      </c>
      <c r="K72" s="307"/>
      <c r="L72" s="212">
        <f t="shared" si="2"/>
        <v>0</v>
      </c>
      <c r="N72" s="116"/>
    </row>
    <row r="73" spans="1:14" s="118" customFormat="1" outlineLevel="1" x14ac:dyDescent="0.3">
      <c r="A73" s="348"/>
      <c r="B73" s="211" t="s">
        <v>277</v>
      </c>
      <c r="C73" s="134" t="s">
        <v>60</v>
      </c>
      <c r="D73" s="182"/>
      <c r="E73" s="134" t="s">
        <v>60</v>
      </c>
      <c r="F73" s="136"/>
      <c r="G73" s="259"/>
      <c r="H73" s="137" t="s">
        <v>766</v>
      </c>
      <c r="I73" s="307"/>
      <c r="J73" s="308">
        <v>0</v>
      </c>
      <c r="K73" s="307"/>
      <c r="L73" s="212">
        <f t="shared" si="2"/>
        <v>0</v>
      </c>
      <c r="N73" s="116"/>
    </row>
    <row r="74" spans="1:14" s="118" customFormat="1" outlineLevel="1" x14ac:dyDescent="0.3">
      <c r="A74" s="348"/>
      <c r="B74" s="211" t="s">
        <v>278</v>
      </c>
      <c r="C74" s="134" t="s">
        <v>60</v>
      </c>
      <c r="D74" s="182"/>
      <c r="E74" s="134" t="s">
        <v>60</v>
      </c>
      <c r="F74" s="136"/>
      <c r="G74" s="259"/>
      <c r="H74" s="137" t="s">
        <v>766</v>
      </c>
      <c r="I74" s="307"/>
      <c r="J74" s="308">
        <v>0</v>
      </c>
      <c r="K74" s="307"/>
      <c r="L74" s="212">
        <f t="shared" si="2"/>
        <v>0</v>
      </c>
      <c r="N74" s="116"/>
    </row>
    <row r="75" spans="1:14" s="118" customFormat="1" outlineLevel="1" x14ac:dyDescent="0.3">
      <c r="A75" s="348"/>
      <c r="B75" s="211" t="s">
        <v>279</v>
      </c>
      <c r="C75" s="135"/>
      <c r="D75" s="182"/>
      <c r="E75" s="148"/>
      <c r="F75" s="136"/>
      <c r="G75" s="149"/>
      <c r="H75" s="137" t="s">
        <v>766</v>
      </c>
      <c r="I75" s="307"/>
      <c r="J75" s="308">
        <v>0</v>
      </c>
      <c r="K75" s="307"/>
      <c r="L75" s="212">
        <f>G75*J75</f>
        <v>0</v>
      </c>
      <c r="N75" s="116"/>
    </row>
    <row r="76" spans="1:14" s="118" customFormat="1" ht="13.8" x14ac:dyDescent="0.25">
      <c r="A76" s="348"/>
      <c r="B76" s="213"/>
      <c r="C76" s="139"/>
      <c r="D76" s="183"/>
      <c r="E76" s="111"/>
      <c r="F76" s="140"/>
      <c r="G76" s="141"/>
      <c r="H76" s="142"/>
      <c r="I76" s="143"/>
      <c r="J76" s="144"/>
      <c r="K76" s="145">
        <f>SUM(K66:K75)</f>
        <v>0</v>
      </c>
      <c r="L76" s="214">
        <f>SUM(L66:L75)</f>
        <v>0</v>
      </c>
      <c r="N76" s="116"/>
    </row>
    <row r="77" spans="1:14" ht="31.95" customHeight="1" x14ac:dyDescent="0.25">
      <c r="A77" s="379" t="s">
        <v>880</v>
      </c>
      <c r="B77" s="240" t="s">
        <v>281</v>
      </c>
      <c r="C77" s="241" t="s">
        <v>305</v>
      </c>
      <c r="D77" s="181"/>
      <c r="E77" s="112"/>
      <c r="F77" s="146"/>
      <c r="G77" s="130"/>
      <c r="H77" s="131"/>
      <c r="I77" s="132"/>
      <c r="J77" s="133"/>
      <c r="K77" s="147"/>
      <c r="L77" s="215"/>
    </row>
    <row r="78" spans="1:14" outlineLevel="1" x14ac:dyDescent="0.3">
      <c r="A78" s="285" t="s">
        <v>128</v>
      </c>
      <c r="B78" s="211" t="s">
        <v>283</v>
      </c>
      <c r="C78" s="284" t="s">
        <v>127</v>
      </c>
      <c r="D78" s="182" t="s">
        <v>756</v>
      </c>
      <c r="E78" s="285"/>
      <c r="F78" s="136"/>
      <c r="G78" s="262">
        <v>10</v>
      </c>
      <c r="H78" s="137" t="s">
        <v>766</v>
      </c>
      <c r="I78" s="307"/>
      <c r="J78" s="308">
        <v>0</v>
      </c>
      <c r="K78" s="307"/>
      <c r="L78" s="212">
        <f t="shared" ref="L78:L95" si="3">G78*J78</f>
        <v>0</v>
      </c>
      <c r="N78" s="116" t="s">
        <v>60</v>
      </c>
    </row>
    <row r="79" spans="1:14" outlineLevel="1" x14ac:dyDescent="0.3">
      <c r="A79" s="285" t="s">
        <v>516</v>
      </c>
      <c r="B79" s="211" t="s">
        <v>284</v>
      </c>
      <c r="C79" s="284" t="s">
        <v>778</v>
      </c>
      <c r="D79" s="182" t="s">
        <v>756</v>
      </c>
      <c r="E79" s="285"/>
      <c r="F79" s="136"/>
      <c r="G79" s="262">
        <v>0</v>
      </c>
      <c r="H79" s="137" t="s">
        <v>766</v>
      </c>
      <c r="I79" s="307"/>
      <c r="J79" s="308">
        <v>0</v>
      </c>
      <c r="K79" s="307"/>
      <c r="L79" s="212">
        <f t="shared" si="3"/>
        <v>0</v>
      </c>
    </row>
    <row r="80" spans="1:14" outlineLevel="1" x14ac:dyDescent="0.3">
      <c r="A80" s="285" t="s">
        <v>517</v>
      </c>
      <c r="B80" s="211" t="s">
        <v>285</v>
      </c>
      <c r="C80" s="284" t="s">
        <v>779</v>
      </c>
      <c r="D80" s="182" t="s">
        <v>756</v>
      </c>
      <c r="E80" s="285"/>
      <c r="F80" s="136"/>
      <c r="G80" s="262">
        <v>10</v>
      </c>
      <c r="H80" s="137" t="s">
        <v>766</v>
      </c>
      <c r="I80" s="307"/>
      <c r="J80" s="308">
        <v>0</v>
      </c>
      <c r="K80" s="307"/>
      <c r="L80" s="212">
        <f t="shared" si="3"/>
        <v>0</v>
      </c>
      <c r="N80" s="116" t="s">
        <v>60</v>
      </c>
    </row>
    <row r="81" spans="1:14" outlineLevel="1" x14ac:dyDescent="0.3">
      <c r="A81" s="285" t="s">
        <v>457</v>
      </c>
      <c r="B81" s="211" t="s">
        <v>286</v>
      </c>
      <c r="C81" s="284" t="s">
        <v>780</v>
      </c>
      <c r="D81" s="182" t="s">
        <v>756</v>
      </c>
      <c r="E81" s="285"/>
      <c r="F81" s="136"/>
      <c r="G81" s="262">
        <v>1</v>
      </c>
      <c r="H81" s="137" t="s">
        <v>766</v>
      </c>
      <c r="I81" s="307"/>
      <c r="J81" s="308">
        <v>0</v>
      </c>
      <c r="K81" s="307"/>
      <c r="L81" s="212">
        <f t="shared" si="3"/>
        <v>0</v>
      </c>
      <c r="N81" s="116" t="s">
        <v>60</v>
      </c>
    </row>
    <row r="82" spans="1:14" outlineLevel="1" x14ac:dyDescent="0.3">
      <c r="A82" s="285" t="s">
        <v>458</v>
      </c>
      <c r="B82" s="211" t="s">
        <v>287</v>
      </c>
      <c r="C82" s="284" t="s">
        <v>781</v>
      </c>
      <c r="D82" s="182" t="s">
        <v>756</v>
      </c>
      <c r="E82" s="285"/>
      <c r="F82" s="136"/>
      <c r="G82" s="262">
        <v>0</v>
      </c>
      <c r="H82" s="137" t="s">
        <v>766</v>
      </c>
      <c r="I82" s="307"/>
      <c r="J82" s="308">
        <v>0</v>
      </c>
      <c r="K82" s="307"/>
      <c r="L82" s="212">
        <f t="shared" si="3"/>
        <v>0</v>
      </c>
      <c r="N82" s="116" t="s">
        <v>60</v>
      </c>
    </row>
    <row r="83" spans="1:14" outlineLevel="1" x14ac:dyDescent="0.3">
      <c r="A83" s="285" t="s">
        <v>455</v>
      </c>
      <c r="B83" s="211" t="s">
        <v>288</v>
      </c>
      <c r="C83" s="284" t="s">
        <v>782</v>
      </c>
      <c r="D83" s="182" t="s">
        <v>756</v>
      </c>
      <c r="E83" s="285"/>
      <c r="F83" s="136"/>
      <c r="G83" s="262">
        <v>6</v>
      </c>
      <c r="H83" s="137" t="s">
        <v>766</v>
      </c>
      <c r="I83" s="307"/>
      <c r="J83" s="308">
        <v>0</v>
      </c>
      <c r="K83" s="307"/>
      <c r="L83" s="212">
        <f t="shared" si="3"/>
        <v>0</v>
      </c>
      <c r="N83" s="116" t="s">
        <v>60</v>
      </c>
    </row>
    <row r="84" spans="1:14" outlineLevel="1" x14ac:dyDescent="0.3">
      <c r="A84" s="285" t="s">
        <v>456</v>
      </c>
      <c r="B84" s="211" t="s">
        <v>289</v>
      </c>
      <c r="C84" s="284" t="s">
        <v>783</v>
      </c>
      <c r="D84" s="182" t="s">
        <v>756</v>
      </c>
      <c r="E84" s="285"/>
      <c r="F84" s="136"/>
      <c r="G84" s="262">
        <v>0</v>
      </c>
      <c r="H84" s="137" t="s">
        <v>766</v>
      </c>
      <c r="I84" s="307"/>
      <c r="J84" s="308">
        <v>0</v>
      </c>
      <c r="K84" s="307"/>
      <c r="L84" s="212">
        <f t="shared" si="3"/>
        <v>0</v>
      </c>
      <c r="N84" s="116" t="s">
        <v>60</v>
      </c>
    </row>
    <row r="85" spans="1:14" outlineLevel="1" x14ac:dyDescent="0.3">
      <c r="A85" s="134"/>
      <c r="B85" s="211" t="s">
        <v>290</v>
      </c>
      <c r="C85" s="134"/>
      <c r="D85" s="182"/>
      <c r="E85" s="134"/>
      <c r="F85" s="134"/>
      <c r="G85" s="134"/>
      <c r="H85" s="137" t="s">
        <v>766</v>
      </c>
      <c r="I85" s="307"/>
      <c r="J85" s="308">
        <v>0</v>
      </c>
      <c r="K85" s="307"/>
      <c r="L85" s="212">
        <f t="shared" si="3"/>
        <v>0</v>
      </c>
      <c r="N85" s="116" t="s">
        <v>60</v>
      </c>
    </row>
    <row r="86" spans="1:14" outlineLevel="1" x14ac:dyDescent="0.3">
      <c r="A86" s="134"/>
      <c r="B86" s="211" t="s">
        <v>291</v>
      </c>
      <c r="C86" s="233" t="s">
        <v>133</v>
      </c>
      <c r="D86" s="182"/>
      <c r="E86" s="134"/>
      <c r="F86" s="136"/>
      <c r="G86" s="219"/>
      <c r="H86" s="137" t="s">
        <v>766</v>
      </c>
      <c r="I86" s="307"/>
      <c r="J86" s="308">
        <v>0</v>
      </c>
      <c r="K86" s="307"/>
      <c r="L86" s="212">
        <f t="shared" si="3"/>
        <v>0</v>
      </c>
      <c r="N86" s="116" t="s">
        <v>60</v>
      </c>
    </row>
    <row r="87" spans="1:14" outlineLevel="1" x14ac:dyDescent="0.3">
      <c r="A87" s="288" t="s">
        <v>601</v>
      </c>
      <c r="B87" s="211" t="s">
        <v>460</v>
      </c>
      <c r="C87" s="292" t="s">
        <v>852</v>
      </c>
      <c r="D87" s="286" t="s">
        <v>756</v>
      </c>
      <c r="E87" s="288"/>
      <c r="F87" s="287"/>
      <c r="G87" s="262">
        <v>3</v>
      </c>
      <c r="H87" s="137" t="s">
        <v>766</v>
      </c>
      <c r="I87" s="307"/>
      <c r="J87" s="308">
        <v>0</v>
      </c>
      <c r="K87" s="307"/>
      <c r="L87" s="212">
        <f t="shared" si="3"/>
        <v>0</v>
      </c>
      <c r="N87" s="116" t="s">
        <v>60</v>
      </c>
    </row>
    <row r="88" spans="1:14" outlineLevel="1" x14ac:dyDescent="0.3">
      <c r="A88" s="288" t="s">
        <v>855</v>
      </c>
      <c r="B88" s="211" t="s">
        <v>461</v>
      </c>
      <c r="C88" s="292" t="s">
        <v>447</v>
      </c>
      <c r="D88" s="286" t="s">
        <v>756</v>
      </c>
      <c r="E88" s="288"/>
      <c r="F88" s="287"/>
      <c r="G88" s="262">
        <v>5</v>
      </c>
      <c r="H88" s="137" t="s">
        <v>766</v>
      </c>
      <c r="I88" s="307"/>
      <c r="J88" s="308">
        <v>0</v>
      </c>
      <c r="K88" s="307"/>
      <c r="L88" s="212">
        <f t="shared" si="3"/>
        <v>0</v>
      </c>
      <c r="N88" s="116" t="s">
        <v>60</v>
      </c>
    </row>
    <row r="89" spans="1:14" outlineLevel="1" x14ac:dyDescent="0.3">
      <c r="A89" s="288" t="s">
        <v>856</v>
      </c>
      <c r="B89" s="211" t="s">
        <v>462</v>
      </c>
      <c r="C89" s="292" t="s">
        <v>853</v>
      </c>
      <c r="D89" s="286" t="s">
        <v>756</v>
      </c>
      <c r="E89" s="288"/>
      <c r="F89" s="287"/>
      <c r="G89" s="262">
        <v>1</v>
      </c>
      <c r="H89" s="137" t="s">
        <v>766</v>
      </c>
      <c r="I89" s="307"/>
      <c r="J89" s="308">
        <v>0</v>
      </c>
      <c r="K89" s="307"/>
      <c r="L89" s="212">
        <f t="shared" si="3"/>
        <v>0</v>
      </c>
      <c r="N89" s="116" t="s">
        <v>60</v>
      </c>
    </row>
    <row r="90" spans="1:14" outlineLevel="1" x14ac:dyDescent="0.3">
      <c r="A90" s="288" t="s">
        <v>857</v>
      </c>
      <c r="B90" s="211" t="s">
        <v>463</v>
      </c>
      <c r="C90" s="292" t="s">
        <v>448</v>
      </c>
      <c r="D90" s="286" t="s">
        <v>756</v>
      </c>
      <c r="E90" s="288"/>
      <c r="F90" s="287"/>
      <c r="G90" s="262">
        <v>2</v>
      </c>
      <c r="H90" s="137" t="s">
        <v>766</v>
      </c>
      <c r="I90" s="307"/>
      <c r="J90" s="308">
        <v>0</v>
      </c>
      <c r="K90" s="307"/>
      <c r="L90" s="212">
        <f t="shared" si="3"/>
        <v>0</v>
      </c>
      <c r="N90" s="116" t="s">
        <v>60</v>
      </c>
    </row>
    <row r="91" spans="1:14" outlineLevel="1" x14ac:dyDescent="0.3">
      <c r="A91" s="288" t="s">
        <v>858</v>
      </c>
      <c r="B91" s="211" t="s">
        <v>464</v>
      </c>
      <c r="C91" s="292" t="s">
        <v>449</v>
      </c>
      <c r="D91" s="286" t="s">
        <v>756</v>
      </c>
      <c r="E91" s="288"/>
      <c r="F91" s="287"/>
      <c r="G91" s="262">
        <v>0</v>
      </c>
      <c r="H91" s="137" t="s">
        <v>766</v>
      </c>
      <c r="I91" s="307"/>
      <c r="J91" s="308">
        <v>0</v>
      </c>
      <c r="K91" s="307"/>
      <c r="L91" s="212">
        <f t="shared" si="3"/>
        <v>0</v>
      </c>
      <c r="N91" s="116" t="s">
        <v>60</v>
      </c>
    </row>
    <row r="92" spans="1:14" outlineLevel="1" x14ac:dyDescent="0.3">
      <c r="A92" s="288" t="s">
        <v>599</v>
      </c>
      <c r="B92" s="211" t="s">
        <v>465</v>
      </c>
      <c r="C92" s="292" t="s">
        <v>450</v>
      </c>
      <c r="D92" s="286" t="s">
        <v>756</v>
      </c>
      <c r="E92" s="288"/>
      <c r="F92" s="287"/>
      <c r="G92" s="262">
        <v>1</v>
      </c>
      <c r="H92" s="137" t="s">
        <v>766</v>
      </c>
      <c r="I92" s="307"/>
      <c r="J92" s="308">
        <v>0</v>
      </c>
      <c r="K92" s="307"/>
      <c r="L92" s="212">
        <f t="shared" si="3"/>
        <v>0</v>
      </c>
      <c r="N92" s="116" t="s">
        <v>60</v>
      </c>
    </row>
    <row r="93" spans="1:14" outlineLevel="1" x14ac:dyDescent="0.3">
      <c r="A93" s="283" t="s">
        <v>600</v>
      </c>
      <c r="B93" s="211" t="s">
        <v>466</v>
      </c>
      <c r="C93" s="292" t="s">
        <v>854</v>
      </c>
      <c r="D93" s="286" t="s">
        <v>756</v>
      </c>
      <c r="E93" s="283"/>
      <c r="F93" s="136"/>
      <c r="G93" s="262">
        <v>0</v>
      </c>
      <c r="H93" s="137" t="s">
        <v>766</v>
      </c>
      <c r="I93" s="307"/>
      <c r="J93" s="308">
        <v>0</v>
      </c>
      <c r="K93" s="307"/>
      <c r="L93" s="212">
        <f t="shared" si="3"/>
        <v>0</v>
      </c>
      <c r="N93" s="116" t="s">
        <v>60</v>
      </c>
    </row>
    <row r="94" spans="1:14" outlineLevel="1" x14ac:dyDescent="0.3">
      <c r="A94" s="348"/>
      <c r="B94" s="211" t="s">
        <v>467</v>
      </c>
      <c r="C94" s="134"/>
      <c r="D94" s="182"/>
      <c r="E94" s="134"/>
      <c r="F94" s="136"/>
      <c r="G94" s="219"/>
      <c r="H94" s="137" t="s">
        <v>766</v>
      </c>
      <c r="I94" s="307"/>
      <c r="J94" s="308">
        <v>0</v>
      </c>
      <c r="K94" s="307"/>
      <c r="L94" s="212">
        <f t="shared" si="3"/>
        <v>0</v>
      </c>
      <c r="N94" s="116" t="s">
        <v>60</v>
      </c>
    </row>
    <row r="95" spans="1:14" outlineLevel="1" x14ac:dyDescent="0.3">
      <c r="A95" s="348"/>
      <c r="B95" s="211" t="s">
        <v>468</v>
      </c>
      <c r="C95" s="134"/>
      <c r="D95" s="182"/>
      <c r="E95" s="134"/>
      <c r="F95" s="136"/>
      <c r="G95" s="219"/>
      <c r="H95" s="137" t="s">
        <v>766</v>
      </c>
      <c r="I95" s="307"/>
      <c r="J95" s="308">
        <v>0</v>
      </c>
      <c r="K95" s="307"/>
      <c r="L95" s="212">
        <f t="shared" si="3"/>
        <v>0</v>
      </c>
      <c r="N95" s="116" t="s">
        <v>60</v>
      </c>
    </row>
    <row r="96" spans="1:14" ht="13.8" x14ac:dyDescent="0.25">
      <c r="A96" s="348"/>
      <c r="B96" s="213"/>
      <c r="C96" s="139"/>
      <c r="D96" s="183"/>
      <c r="E96" s="111"/>
      <c r="F96" s="140"/>
      <c r="G96" s="141"/>
      <c r="H96" s="142"/>
      <c r="I96" s="143"/>
      <c r="J96" s="144"/>
      <c r="K96" s="145">
        <f>SUM(K78:K95)</f>
        <v>0</v>
      </c>
      <c r="L96" s="214">
        <f>SUM(L78:L95)</f>
        <v>0</v>
      </c>
    </row>
    <row r="97" spans="1:14" ht="35.4" customHeight="1" x14ac:dyDescent="0.25">
      <c r="A97" s="379" t="s">
        <v>880</v>
      </c>
      <c r="B97" s="240" t="s">
        <v>293</v>
      </c>
      <c r="C97" s="241" t="s">
        <v>434</v>
      </c>
      <c r="D97" s="181"/>
      <c r="E97" s="112"/>
      <c r="F97" s="146"/>
      <c r="G97" s="130"/>
      <c r="H97" s="131"/>
      <c r="I97" s="132"/>
      <c r="J97" s="133"/>
      <c r="K97" s="147"/>
      <c r="L97" s="215"/>
    </row>
    <row r="98" spans="1:14" outlineLevel="1" x14ac:dyDescent="0.3">
      <c r="A98" s="288" t="s">
        <v>454</v>
      </c>
      <c r="B98" s="211" t="s">
        <v>295</v>
      </c>
      <c r="C98" s="223" t="s">
        <v>526</v>
      </c>
      <c r="D98" s="286" t="s">
        <v>756</v>
      </c>
      <c r="E98" s="288"/>
      <c r="F98" s="287"/>
      <c r="G98" s="262">
        <v>0</v>
      </c>
      <c r="H98" s="137" t="s">
        <v>766</v>
      </c>
      <c r="I98" s="307"/>
      <c r="J98" s="308">
        <v>0</v>
      </c>
      <c r="K98" s="307"/>
      <c r="L98" s="212">
        <f t="shared" ref="L98:L107" si="4">G98*J98</f>
        <v>0</v>
      </c>
      <c r="N98" s="116" t="s">
        <v>60</v>
      </c>
    </row>
    <row r="99" spans="1:14" outlineLevel="1" x14ac:dyDescent="0.3">
      <c r="A99" s="288" t="s">
        <v>453</v>
      </c>
      <c r="B99" s="211" t="s">
        <v>296</v>
      </c>
      <c r="C99" s="223" t="s">
        <v>527</v>
      </c>
      <c r="D99" s="286" t="s">
        <v>756</v>
      </c>
      <c r="E99" s="288"/>
      <c r="F99" s="287"/>
      <c r="G99" s="262">
        <v>1</v>
      </c>
      <c r="H99" s="137" t="s">
        <v>766</v>
      </c>
      <c r="I99" s="307"/>
      <c r="J99" s="308">
        <v>0</v>
      </c>
      <c r="K99" s="307"/>
      <c r="L99" s="212">
        <f t="shared" si="4"/>
        <v>0</v>
      </c>
      <c r="N99" s="116" t="s">
        <v>60</v>
      </c>
    </row>
    <row r="100" spans="1:14" outlineLevel="1" x14ac:dyDescent="0.3">
      <c r="A100" s="288" t="s">
        <v>452</v>
      </c>
      <c r="B100" s="211" t="s">
        <v>297</v>
      </c>
      <c r="C100" s="223" t="s">
        <v>528</v>
      </c>
      <c r="D100" s="286" t="s">
        <v>756</v>
      </c>
      <c r="E100" s="288"/>
      <c r="F100" s="287"/>
      <c r="G100" s="262">
        <v>4</v>
      </c>
      <c r="H100" s="137" t="s">
        <v>766</v>
      </c>
      <c r="I100" s="307"/>
      <c r="J100" s="308">
        <v>0</v>
      </c>
      <c r="K100" s="307"/>
      <c r="L100" s="212">
        <f t="shared" si="4"/>
        <v>0</v>
      </c>
      <c r="N100" s="116" t="s">
        <v>60</v>
      </c>
    </row>
    <row r="101" spans="1:14" outlineLevel="1" x14ac:dyDescent="0.3">
      <c r="A101" s="288" t="s">
        <v>143</v>
      </c>
      <c r="B101" s="211" t="s">
        <v>298</v>
      </c>
      <c r="C101" s="223" t="s">
        <v>529</v>
      </c>
      <c r="D101" s="286" t="s">
        <v>756</v>
      </c>
      <c r="E101" s="288"/>
      <c r="F101" s="287"/>
      <c r="G101" s="262">
        <v>72</v>
      </c>
      <c r="H101" s="137" t="s">
        <v>766</v>
      </c>
      <c r="I101" s="307"/>
      <c r="J101" s="308">
        <v>0</v>
      </c>
      <c r="K101" s="307"/>
      <c r="L101" s="212">
        <f t="shared" si="4"/>
        <v>0</v>
      </c>
    </row>
    <row r="102" spans="1:14" outlineLevel="1" x14ac:dyDescent="0.3">
      <c r="A102" s="288" t="s">
        <v>533</v>
      </c>
      <c r="B102" s="211" t="s">
        <v>299</v>
      </c>
      <c r="C102" s="223" t="s">
        <v>530</v>
      </c>
      <c r="D102" s="286" t="s">
        <v>756</v>
      </c>
      <c r="E102" s="288"/>
      <c r="F102" s="287"/>
      <c r="G102" s="262">
        <v>0</v>
      </c>
      <c r="H102" s="137" t="s">
        <v>766</v>
      </c>
      <c r="I102" s="307"/>
      <c r="J102" s="308">
        <v>0</v>
      </c>
      <c r="K102" s="307"/>
      <c r="L102" s="212">
        <f t="shared" si="4"/>
        <v>0</v>
      </c>
    </row>
    <row r="103" spans="1:14" outlineLevel="1" x14ac:dyDescent="0.3">
      <c r="A103" s="288" t="s">
        <v>534</v>
      </c>
      <c r="B103" s="211" t="s">
        <v>300</v>
      </c>
      <c r="C103" s="223" t="s">
        <v>531</v>
      </c>
      <c r="D103" s="286" t="s">
        <v>756</v>
      </c>
      <c r="E103" s="288"/>
      <c r="F103" s="287"/>
      <c r="G103" s="262">
        <v>0</v>
      </c>
      <c r="H103" s="137" t="s">
        <v>766</v>
      </c>
      <c r="I103" s="307"/>
      <c r="J103" s="308">
        <v>0</v>
      </c>
      <c r="K103" s="307"/>
      <c r="L103" s="212">
        <f t="shared" si="4"/>
        <v>0</v>
      </c>
    </row>
    <row r="104" spans="1:14" outlineLevel="1" x14ac:dyDescent="0.3">
      <c r="A104" s="288" t="s">
        <v>535</v>
      </c>
      <c r="B104" s="211" t="s">
        <v>301</v>
      </c>
      <c r="C104" s="223" t="s">
        <v>532</v>
      </c>
      <c r="D104" s="286" t="s">
        <v>756</v>
      </c>
      <c r="E104" s="288"/>
      <c r="F104" s="290"/>
      <c r="G104" s="263">
        <v>4</v>
      </c>
      <c r="H104" s="137" t="s">
        <v>766</v>
      </c>
      <c r="I104" s="307"/>
      <c r="J104" s="308">
        <v>0</v>
      </c>
      <c r="K104" s="307"/>
      <c r="L104" s="212">
        <f t="shared" si="4"/>
        <v>0</v>
      </c>
      <c r="N104" s="116" t="s">
        <v>60</v>
      </c>
    </row>
    <row r="105" spans="1:14" outlineLevel="1" x14ac:dyDescent="0.3">
      <c r="A105" s="348"/>
      <c r="B105" s="211" t="s">
        <v>302</v>
      </c>
      <c r="C105" s="177"/>
      <c r="D105" s="182"/>
      <c r="E105" s="134"/>
      <c r="F105" s="136"/>
      <c r="G105" s="219"/>
      <c r="H105" s="137" t="s">
        <v>766</v>
      </c>
      <c r="I105" s="307"/>
      <c r="J105" s="308">
        <v>0</v>
      </c>
      <c r="K105" s="307"/>
      <c r="L105" s="212">
        <f t="shared" si="4"/>
        <v>0</v>
      </c>
      <c r="N105" s="116" t="s">
        <v>60</v>
      </c>
    </row>
    <row r="106" spans="1:14" outlineLevel="1" x14ac:dyDescent="0.3">
      <c r="A106" s="348"/>
      <c r="B106" s="211" t="s">
        <v>303</v>
      </c>
      <c r="C106" s="116"/>
      <c r="D106" s="182"/>
      <c r="E106" s="134"/>
      <c r="F106" s="136"/>
      <c r="G106" s="219"/>
      <c r="H106" s="137" t="s">
        <v>766</v>
      </c>
      <c r="I106" s="307"/>
      <c r="J106" s="308">
        <v>0</v>
      </c>
      <c r="K106" s="307"/>
      <c r="L106" s="212">
        <f t="shared" si="4"/>
        <v>0</v>
      </c>
      <c r="N106" s="116" t="s">
        <v>60</v>
      </c>
    </row>
    <row r="107" spans="1:14" outlineLevel="1" x14ac:dyDescent="0.3">
      <c r="A107" s="348"/>
      <c r="B107" s="211" t="s">
        <v>422</v>
      </c>
      <c r="C107" s="134" t="s">
        <v>60</v>
      </c>
      <c r="D107" s="182"/>
      <c r="E107" s="134" t="s">
        <v>60</v>
      </c>
      <c r="F107" s="136"/>
      <c r="G107" s="219"/>
      <c r="H107" s="137" t="s">
        <v>766</v>
      </c>
      <c r="I107" s="307"/>
      <c r="J107" s="308">
        <v>0</v>
      </c>
      <c r="K107" s="307"/>
      <c r="L107" s="212">
        <f t="shared" si="4"/>
        <v>0</v>
      </c>
      <c r="N107" s="116" t="s">
        <v>60</v>
      </c>
    </row>
    <row r="108" spans="1:14" ht="13.8" x14ac:dyDescent="0.25">
      <c r="A108" s="348"/>
      <c r="B108" s="213"/>
      <c r="C108" s="139"/>
      <c r="D108" s="183"/>
      <c r="E108" s="111"/>
      <c r="F108" s="140"/>
      <c r="G108" s="141"/>
      <c r="H108" s="142"/>
      <c r="I108" s="143"/>
      <c r="J108" s="144"/>
      <c r="K108" s="145">
        <f>SUM(K98:K107)</f>
        <v>0</v>
      </c>
      <c r="L108" s="214">
        <f>SUM(L98:L107)</f>
        <v>0</v>
      </c>
    </row>
    <row r="109" spans="1:14" ht="33.6" customHeight="1" x14ac:dyDescent="0.25">
      <c r="A109" s="379" t="s">
        <v>880</v>
      </c>
      <c r="B109" s="240" t="s">
        <v>304</v>
      </c>
      <c r="C109" s="241" t="s">
        <v>431</v>
      </c>
      <c r="D109" s="181"/>
      <c r="E109" s="112"/>
      <c r="F109" s="146"/>
      <c r="G109" s="130"/>
      <c r="H109" s="131"/>
      <c r="I109" s="132"/>
      <c r="J109" s="319"/>
      <c r="K109" s="320"/>
      <c r="L109" s="215"/>
    </row>
    <row r="110" spans="1:14" outlineLevel="1" x14ac:dyDescent="0.3">
      <c r="A110" s="288" t="s">
        <v>547</v>
      </c>
      <c r="B110" s="211" t="s">
        <v>306</v>
      </c>
      <c r="C110" s="223" t="s">
        <v>536</v>
      </c>
      <c r="D110" s="286" t="s">
        <v>756</v>
      </c>
      <c r="E110" s="288"/>
      <c r="F110" s="287"/>
      <c r="G110" s="260">
        <v>271</v>
      </c>
      <c r="H110" s="137" t="s">
        <v>766</v>
      </c>
      <c r="I110" s="151"/>
      <c r="J110" s="308">
        <v>0</v>
      </c>
      <c r="K110" s="307"/>
      <c r="L110" s="212">
        <f t="shared" ref="L110:L129" si="5">G110*J110</f>
        <v>0</v>
      </c>
      <c r="N110" s="116" t="s">
        <v>60</v>
      </c>
    </row>
    <row r="111" spans="1:14" outlineLevel="1" x14ac:dyDescent="0.3">
      <c r="A111" s="288" t="s">
        <v>548</v>
      </c>
      <c r="B111" s="211" t="s">
        <v>307</v>
      </c>
      <c r="C111" s="223" t="s">
        <v>537</v>
      </c>
      <c r="D111" s="286" t="s">
        <v>756</v>
      </c>
      <c r="E111" s="288"/>
      <c r="F111" s="287"/>
      <c r="G111" s="260">
        <v>12</v>
      </c>
      <c r="H111" s="137" t="s">
        <v>766</v>
      </c>
      <c r="I111" s="151"/>
      <c r="J111" s="308">
        <v>0</v>
      </c>
      <c r="K111" s="307"/>
      <c r="L111" s="212">
        <f t="shared" si="5"/>
        <v>0</v>
      </c>
      <c r="N111" s="116" t="s">
        <v>60</v>
      </c>
    </row>
    <row r="112" spans="1:14" outlineLevel="1" x14ac:dyDescent="0.3">
      <c r="A112" s="288" t="s">
        <v>549</v>
      </c>
      <c r="B112" s="211" t="s">
        <v>308</v>
      </c>
      <c r="C112" s="223" t="s">
        <v>538</v>
      </c>
      <c r="D112" s="286" t="s">
        <v>756</v>
      </c>
      <c r="E112" s="288"/>
      <c r="F112" s="287"/>
      <c r="G112" s="260">
        <v>0</v>
      </c>
      <c r="H112" s="137" t="s">
        <v>766</v>
      </c>
      <c r="I112" s="151"/>
      <c r="J112" s="308">
        <v>0</v>
      </c>
      <c r="K112" s="307"/>
      <c r="L112" s="212">
        <f t="shared" si="5"/>
        <v>0</v>
      </c>
      <c r="N112" s="116" t="s">
        <v>60</v>
      </c>
    </row>
    <row r="113" spans="1:14" outlineLevel="1" x14ac:dyDescent="0.3">
      <c r="A113" s="288" t="s">
        <v>550</v>
      </c>
      <c r="B113" s="211" t="s">
        <v>309</v>
      </c>
      <c r="C113" s="223" t="s">
        <v>539</v>
      </c>
      <c r="D113" s="286" t="s">
        <v>756</v>
      </c>
      <c r="E113" s="288"/>
      <c r="F113" s="287"/>
      <c r="G113" s="260">
        <v>15</v>
      </c>
      <c r="H113" s="137" t="s">
        <v>766</v>
      </c>
      <c r="I113" s="151"/>
      <c r="J113" s="308">
        <v>0</v>
      </c>
      <c r="K113" s="307"/>
      <c r="L113" s="212">
        <f t="shared" si="5"/>
        <v>0</v>
      </c>
      <c r="N113" s="116" t="s">
        <v>60</v>
      </c>
    </row>
    <row r="114" spans="1:14" outlineLevel="1" x14ac:dyDescent="0.3">
      <c r="A114" s="288" t="s">
        <v>551</v>
      </c>
      <c r="B114" s="211" t="s">
        <v>310</v>
      </c>
      <c r="C114" s="223" t="s">
        <v>540</v>
      </c>
      <c r="D114" s="286" t="s">
        <v>756</v>
      </c>
      <c r="E114" s="288"/>
      <c r="F114" s="287"/>
      <c r="G114" s="260">
        <v>0</v>
      </c>
      <c r="H114" s="137" t="s">
        <v>766</v>
      </c>
      <c r="I114" s="151"/>
      <c r="J114" s="308">
        <v>0</v>
      </c>
      <c r="K114" s="307"/>
      <c r="L114" s="212">
        <f t="shared" si="5"/>
        <v>0</v>
      </c>
      <c r="N114" s="116" t="s">
        <v>60</v>
      </c>
    </row>
    <row r="115" spans="1:14" outlineLevel="1" x14ac:dyDescent="0.3">
      <c r="A115" s="288" t="s">
        <v>552</v>
      </c>
      <c r="B115" s="211" t="s">
        <v>311</v>
      </c>
      <c r="C115" s="223" t="s">
        <v>541</v>
      </c>
      <c r="D115" s="286" t="s">
        <v>756</v>
      </c>
      <c r="E115" s="288"/>
      <c r="F115" s="287"/>
      <c r="G115" s="260">
        <v>61</v>
      </c>
      <c r="H115" s="137" t="s">
        <v>766</v>
      </c>
      <c r="I115" s="151"/>
      <c r="J115" s="308">
        <v>0</v>
      </c>
      <c r="K115" s="307"/>
      <c r="L115" s="212">
        <f t="shared" si="5"/>
        <v>0</v>
      </c>
      <c r="N115" s="116" t="s">
        <v>60</v>
      </c>
    </row>
    <row r="116" spans="1:14" outlineLevel="1" x14ac:dyDescent="0.3">
      <c r="A116" s="288" t="s">
        <v>553</v>
      </c>
      <c r="B116" s="211" t="s">
        <v>312</v>
      </c>
      <c r="C116" s="223" t="s">
        <v>542</v>
      </c>
      <c r="D116" s="286" t="s">
        <v>756</v>
      </c>
      <c r="E116" s="288"/>
      <c r="F116" s="287"/>
      <c r="G116" s="260">
        <v>12</v>
      </c>
      <c r="H116" s="137" t="s">
        <v>766</v>
      </c>
      <c r="I116" s="151"/>
      <c r="J116" s="308">
        <v>0</v>
      </c>
      <c r="K116" s="307"/>
      <c r="L116" s="212">
        <f t="shared" si="5"/>
        <v>0</v>
      </c>
      <c r="N116" s="116" t="s">
        <v>60</v>
      </c>
    </row>
    <row r="117" spans="1:14" outlineLevel="1" x14ac:dyDescent="0.3">
      <c r="A117" s="288" t="s">
        <v>554</v>
      </c>
      <c r="B117" s="211" t="s">
        <v>313</v>
      </c>
      <c r="C117" s="223" t="s">
        <v>543</v>
      </c>
      <c r="D117" s="286" t="s">
        <v>756</v>
      </c>
      <c r="E117" s="288"/>
      <c r="F117" s="287"/>
      <c r="G117" s="260">
        <v>40</v>
      </c>
      <c r="H117" s="137" t="s">
        <v>766</v>
      </c>
      <c r="I117" s="151"/>
      <c r="J117" s="308">
        <v>0</v>
      </c>
      <c r="K117" s="307"/>
      <c r="L117" s="212">
        <f t="shared" si="5"/>
        <v>0</v>
      </c>
    </row>
    <row r="118" spans="1:14" outlineLevel="1" x14ac:dyDescent="0.3">
      <c r="A118" s="288" t="s">
        <v>555</v>
      </c>
      <c r="B118" s="211" t="s">
        <v>314</v>
      </c>
      <c r="C118" s="223" t="s">
        <v>544</v>
      </c>
      <c r="D118" s="286" t="s">
        <v>756</v>
      </c>
      <c r="E118" s="288"/>
      <c r="F118" s="287"/>
      <c r="G118" s="260">
        <v>0</v>
      </c>
      <c r="H118" s="137" t="s">
        <v>766</v>
      </c>
      <c r="I118" s="151"/>
      <c r="J118" s="308">
        <v>0</v>
      </c>
      <c r="K118" s="307"/>
      <c r="L118" s="212">
        <f t="shared" si="5"/>
        <v>0</v>
      </c>
    </row>
    <row r="119" spans="1:14" outlineLevel="1" x14ac:dyDescent="0.3">
      <c r="A119" s="288" t="s">
        <v>556</v>
      </c>
      <c r="B119" s="211" t="s">
        <v>315</v>
      </c>
      <c r="C119" s="223" t="s">
        <v>545</v>
      </c>
      <c r="D119" s="286" t="s">
        <v>756</v>
      </c>
      <c r="E119" s="288"/>
      <c r="F119" s="287"/>
      <c r="G119" s="260"/>
      <c r="H119" s="137" t="s">
        <v>766</v>
      </c>
      <c r="I119" s="151"/>
      <c r="J119" s="308">
        <v>0</v>
      </c>
      <c r="K119" s="307"/>
      <c r="L119" s="212">
        <f t="shared" si="5"/>
        <v>0</v>
      </c>
    </row>
    <row r="120" spans="1:14" outlineLevel="1" x14ac:dyDescent="0.3">
      <c r="A120" s="288" t="s">
        <v>557</v>
      </c>
      <c r="B120" s="211" t="s">
        <v>558</v>
      </c>
      <c r="C120" s="223" t="s">
        <v>546</v>
      </c>
      <c r="D120" s="286" t="s">
        <v>756</v>
      </c>
      <c r="E120" s="288"/>
      <c r="F120" s="287"/>
      <c r="G120" s="260">
        <v>97</v>
      </c>
      <c r="H120" s="137" t="s">
        <v>766</v>
      </c>
      <c r="I120" s="151"/>
      <c r="J120" s="308">
        <v>0</v>
      </c>
      <c r="K120" s="307"/>
      <c r="L120" s="212">
        <f t="shared" si="5"/>
        <v>0</v>
      </c>
    </row>
    <row r="121" spans="1:14" outlineLevel="1" x14ac:dyDescent="0.3">
      <c r="A121" s="348"/>
      <c r="B121" s="211" t="s">
        <v>559</v>
      </c>
      <c r="C121" s="116"/>
      <c r="D121" s="182"/>
      <c r="E121" s="134" t="s">
        <v>60</v>
      </c>
      <c r="F121" s="136"/>
      <c r="G121" s="259"/>
      <c r="H121" s="137" t="s">
        <v>766</v>
      </c>
      <c r="I121" s="151"/>
      <c r="J121" s="308">
        <v>0</v>
      </c>
      <c r="K121" s="307"/>
      <c r="L121" s="212">
        <f t="shared" si="5"/>
        <v>0</v>
      </c>
      <c r="N121" s="116" t="s">
        <v>60</v>
      </c>
    </row>
    <row r="122" spans="1:14" outlineLevel="1" x14ac:dyDescent="0.3">
      <c r="A122" s="348"/>
      <c r="B122" s="211" t="s">
        <v>560</v>
      </c>
      <c r="C122" s="134" t="s">
        <v>60</v>
      </c>
      <c r="D122" s="182"/>
      <c r="E122" s="134" t="s">
        <v>60</v>
      </c>
      <c r="F122" s="136"/>
      <c r="G122" s="259"/>
      <c r="H122" s="137" t="s">
        <v>766</v>
      </c>
      <c r="I122" s="151"/>
      <c r="J122" s="308">
        <v>0</v>
      </c>
      <c r="K122" s="307"/>
      <c r="L122" s="212">
        <f t="shared" si="5"/>
        <v>0</v>
      </c>
      <c r="N122" s="116" t="s">
        <v>60</v>
      </c>
    </row>
    <row r="123" spans="1:14" outlineLevel="1" x14ac:dyDescent="0.3">
      <c r="A123" s="348"/>
      <c r="B123" s="211" t="s">
        <v>561</v>
      </c>
      <c r="C123" s="134" t="s">
        <v>60</v>
      </c>
      <c r="D123" s="182"/>
      <c r="E123" s="134" t="s">
        <v>60</v>
      </c>
      <c r="F123" s="136"/>
      <c r="G123" s="259"/>
      <c r="H123" s="137" t="s">
        <v>766</v>
      </c>
      <c r="I123" s="151"/>
      <c r="J123" s="308">
        <v>0</v>
      </c>
      <c r="K123" s="307"/>
      <c r="L123" s="212">
        <f t="shared" si="5"/>
        <v>0</v>
      </c>
      <c r="N123" s="116" t="s">
        <v>60</v>
      </c>
    </row>
    <row r="124" spans="1:14" outlineLevel="1" x14ac:dyDescent="0.3">
      <c r="A124" s="348"/>
      <c r="B124" s="211" t="s">
        <v>758</v>
      </c>
      <c r="C124" s="116"/>
      <c r="D124" s="182"/>
      <c r="E124" s="134" t="s">
        <v>60</v>
      </c>
      <c r="F124" s="136"/>
      <c r="G124" s="259"/>
      <c r="H124" s="137" t="s">
        <v>766</v>
      </c>
      <c r="I124" s="151"/>
      <c r="J124" s="308">
        <v>0</v>
      </c>
      <c r="K124" s="307"/>
      <c r="L124" s="212">
        <f t="shared" si="5"/>
        <v>0</v>
      </c>
      <c r="N124" s="116" t="s">
        <v>60</v>
      </c>
    </row>
    <row r="125" spans="1:14" outlineLevel="1" x14ac:dyDescent="0.3">
      <c r="A125" s="348"/>
      <c r="B125" s="211" t="s">
        <v>759</v>
      </c>
      <c r="C125" s="134" t="s">
        <v>60</v>
      </c>
      <c r="D125" s="182"/>
      <c r="E125" s="134" t="s">
        <v>60</v>
      </c>
      <c r="F125" s="136"/>
      <c r="G125" s="259"/>
      <c r="H125" s="137" t="s">
        <v>766</v>
      </c>
      <c r="I125" s="151"/>
      <c r="J125" s="308">
        <v>0</v>
      </c>
      <c r="K125" s="307"/>
      <c r="L125" s="212">
        <f t="shared" si="5"/>
        <v>0</v>
      </c>
      <c r="N125" s="116" t="s">
        <v>60</v>
      </c>
    </row>
    <row r="126" spans="1:14" outlineLevel="1" x14ac:dyDescent="0.3">
      <c r="A126" s="348"/>
      <c r="B126" s="211" t="s">
        <v>760</v>
      </c>
      <c r="C126" s="134" t="s">
        <v>60</v>
      </c>
      <c r="D126" s="182"/>
      <c r="E126" s="134" t="s">
        <v>60</v>
      </c>
      <c r="F126" s="136"/>
      <c r="G126" s="259"/>
      <c r="H126" s="137" t="s">
        <v>766</v>
      </c>
      <c r="I126" s="151"/>
      <c r="J126" s="308">
        <v>0</v>
      </c>
      <c r="K126" s="307"/>
      <c r="L126" s="212">
        <f t="shared" si="5"/>
        <v>0</v>
      </c>
      <c r="N126" s="116" t="s">
        <v>60</v>
      </c>
    </row>
    <row r="127" spans="1:14" outlineLevel="1" x14ac:dyDescent="0.3">
      <c r="A127" s="348"/>
      <c r="B127" s="211" t="s">
        <v>761</v>
      </c>
      <c r="C127" s="116"/>
      <c r="D127" s="182"/>
      <c r="E127" s="134" t="s">
        <v>60</v>
      </c>
      <c r="F127" s="136"/>
      <c r="G127" s="259"/>
      <c r="H127" s="137" t="s">
        <v>766</v>
      </c>
      <c r="I127" s="151"/>
      <c r="J127" s="308">
        <v>0</v>
      </c>
      <c r="K127" s="307"/>
      <c r="L127" s="212">
        <f t="shared" si="5"/>
        <v>0</v>
      </c>
      <c r="N127" s="116" t="s">
        <v>60</v>
      </c>
    </row>
    <row r="128" spans="1:14" outlineLevel="1" x14ac:dyDescent="0.3">
      <c r="A128" s="348"/>
      <c r="B128" s="211" t="s">
        <v>762</v>
      </c>
      <c r="C128" s="134" t="s">
        <v>60</v>
      </c>
      <c r="D128" s="182"/>
      <c r="E128" s="134" t="s">
        <v>60</v>
      </c>
      <c r="F128" s="136"/>
      <c r="G128" s="259"/>
      <c r="H128" s="137" t="s">
        <v>766</v>
      </c>
      <c r="I128" s="151"/>
      <c r="J128" s="308">
        <v>0</v>
      </c>
      <c r="K128" s="307"/>
      <c r="L128" s="212">
        <f t="shared" si="5"/>
        <v>0</v>
      </c>
      <c r="N128" s="116" t="s">
        <v>60</v>
      </c>
    </row>
    <row r="129" spans="1:14" outlineLevel="1" x14ac:dyDescent="0.3">
      <c r="A129" s="348"/>
      <c r="B129" s="211" t="s">
        <v>763</v>
      </c>
      <c r="C129" s="134" t="s">
        <v>60</v>
      </c>
      <c r="D129" s="182"/>
      <c r="E129" s="134" t="s">
        <v>60</v>
      </c>
      <c r="F129" s="136"/>
      <c r="G129" s="259"/>
      <c r="H129" s="137" t="s">
        <v>766</v>
      </c>
      <c r="I129" s="151"/>
      <c r="J129" s="308">
        <v>0</v>
      </c>
      <c r="K129" s="307"/>
      <c r="L129" s="212">
        <f t="shared" si="5"/>
        <v>0</v>
      </c>
      <c r="N129" s="116" t="s">
        <v>60</v>
      </c>
    </row>
    <row r="130" spans="1:14" ht="13.8" x14ac:dyDescent="0.25">
      <c r="A130" s="348"/>
      <c r="B130" s="213"/>
      <c r="C130" s="139"/>
      <c r="D130" s="183"/>
      <c r="E130" s="111"/>
      <c r="F130" s="140"/>
      <c r="G130" s="141"/>
      <c r="H130" s="142"/>
      <c r="I130" s="143"/>
      <c r="J130" s="144"/>
      <c r="K130" s="145">
        <f>SUM(K110:K129)</f>
        <v>0</v>
      </c>
      <c r="L130" s="214">
        <f>SUM(L110:L129)</f>
        <v>0</v>
      </c>
    </row>
    <row r="131" spans="1:14" ht="46.2" customHeight="1" x14ac:dyDescent="0.25">
      <c r="A131" s="379" t="s">
        <v>880</v>
      </c>
      <c r="B131" s="240" t="s">
        <v>316</v>
      </c>
      <c r="C131" s="311" t="s">
        <v>861</v>
      </c>
      <c r="D131" s="242"/>
      <c r="E131" s="243"/>
      <c r="F131" s="244"/>
      <c r="G131" s="245"/>
      <c r="H131" s="246"/>
      <c r="I131" s="247"/>
      <c r="J131" s="248"/>
      <c r="K131" s="249"/>
      <c r="L131" s="250"/>
    </row>
    <row r="132" spans="1:14" outlineLevel="1" x14ac:dyDescent="0.3">
      <c r="A132" s="374" t="s">
        <v>881</v>
      </c>
      <c r="B132" s="372" t="s">
        <v>317</v>
      </c>
      <c r="C132" s="225" t="s">
        <v>604</v>
      </c>
      <c r="D132" s="182" t="s">
        <v>755</v>
      </c>
      <c r="E132" s="134"/>
      <c r="F132" s="226"/>
      <c r="G132" s="392">
        <v>49</v>
      </c>
      <c r="H132" s="137" t="s">
        <v>766</v>
      </c>
      <c r="I132" s="309">
        <v>0</v>
      </c>
      <c r="J132" s="308">
        <v>0</v>
      </c>
      <c r="K132" s="138">
        <f t="shared" ref="K132:K195" si="6">G132*I132</f>
        <v>0</v>
      </c>
      <c r="L132" s="212">
        <f t="shared" ref="L132:L195" si="7">G132*J132</f>
        <v>0</v>
      </c>
    </row>
    <row r="133" spans="1:14" outlineLevel="1" x14ac:dyDescent="0.3">
      <c r="A133" s="374" t="s">
        <v>882</v>
      </c>
      <c r="B133" s="372" t="s">
        <v>318</v>
      </c>
      <c r="C133" s="225" t="s">
        <v>605</v>
      </c>
      <c r="D133" s="184" t="s">
        <v>755</v>
      </c>
      <c r="E133" s="134"/>
      <c r="F133" s="226"/>
      <c r="G133" s="392">
        <v>48</v>
      </c>
      <c r="H133" s="137" t="s">
        <v>766</v>
      </c>
      <c r="I133" s="309">
        <v>0</v>
      </c>
      <c r="J133" s="308">
        <v>0</v>
      </c>
      <c r="K133" s="138">
        <f t="shared" si="6"/>
        <v>0</v>
      </c>
      <c r="L133" s="212">
        <f t="shared" si="7"/>
        <v>0</v>
      </c>
    </row>
    <row r="134" spans="1:14" outlineLevel="1" x14ac:dyDescent="0.3">
      <c r="A134" s="374" t="s">
        <v>883</v>
      </c>
      <c r="B134" s="372" t="s">
        <v>319</v>
      </c>
      <c r="C134" s="225" t="s">
        <v>606</v>
      </c>
      <c r="D134" s="184" t="s">
        <v>755</v>
      </c>
      <c r="E134" s="134"/>
      <c r="F134" s="226"/>
      <c r="G134" s="392">
        <v>120</v>
      </c>
      <c r="H134" s="137" t="s">
        <v>766</v>
      </c>
      <c r="I134" s="309">
        <v>0</v>
      </c>
      <c r="J134" s="308">
        <v>0</v>
      </c>
      <c r="K134" s="138">
        <f t="shared" si="6"/>
        <v>0</v>
      </c>
      <c r="L134" s="212">
        <f t="shared" si="7"/>
        <v>0</v>
      </c>
    </row>
    <row r="135" spans="1:14" outlineLevel="1" x14ac:dyDescent="0.3">
      <c r="A135" s="374" t="s">
        <v>884</v>
      </c>
      <c r="B135" s="372" t="s">
        <v>320</v>
      </c>
      <c r="C135" s="225" t="s">
        <v>607</v>
      </c>
      <c r="D135" s="184" t="s">
        <v>755</v>
      </c>
      <c r="E135" s="134"/>
      <c r="F135" s="226"/>
      <c r="G135" s="392">
        <v>417</v>
      </c>
      <c r="H135" s="137" t="s">
        <v>766</v>
      </c>
      <c r="I135" s="309">
        <v>0</v>
      </c>
      <c r="J135" s="308">
        <v>0</v>
      </c>
      <c r="K135" s="138">
        <f t="shared" si="6"/>
        <v>0</v>
      </c>
      <c r="L135" s="212">
        <f t="shared" si="7"/>
        <v>0</v>
      </c>
    </row>
    <row r="136" spans="1:14" outlineLevel="1" x14ac:dyDescent="0.3">
      <c r="A136" s="374" t="s">
        <v>885</v>
      </c>
      <c r="B136" s="372" t="s">
        <v>321</v>
      </c>
      <c r="C136" s="225" t="s">
        <v>608</v>
      </c>
      <c r="D136" s="184" t="s">
        <v>755</v>
      </c>
      <c r="E136" s="134"/>
      <c r="F136" s="226"/>
      <c r="G136" s="392">
        <v>1249</v>
      </c>
      <c r="H136" s="137" t="s">
        <v>766</v>
      </c>
      <c r="I136" s="309">
        <v>0</v>
      </c>
      <c r="J136" s="308">
        <v>0</v>
      </c>
      <c r="K136" s="138">
        <f t="shared" si="6"/>
        <v>0</v>
      </c>
      <c r="L136" s="212">
        <f t="shared" si="7"/>
        <v>0</v>
      </c>
    </row>
    <row r="137" spans="1:14" outlineLevel="1" x14ac:dyDescent="0.3">
      <c r="A137" s="374" t="s">
        <v>886</v>
      </c>
      <c r="B137" s="372" t="s">
        <v>322</v>
      </c>
      <c r="C137" s="225" t="s">
        <v>609</v>
      </c>
      <c r="D137" s="184" t="s">
        <v>755</v>
      </c>
      <c r="E137" s="134"/>
      <c r="F137" s="226"/>
      <c r="G137" s="392">
        <v>48</v>
      </c>
      <c r="H137" s="137" t="s">
        <v>766</v>
      </c>
      <c r="I137" s="309">
        <v>0</v>
      </c>
      <c r="J137" s="308">
        <v>0</v>
      </c>
      <c r="K137" s="138">
        <f t="shared" si="6"/>
        <v>0</v>
      </c>
      <c r="L137" s="212">
        <f t="shared" si="7"/>
        <v>0</v>
      </c>
    </row>
    <row r="138" spans="1:14" outlineLevel="1" x14ac:dyDescent="0.3">
      <c r="A138" s="374" t="s">
        <v>887</v>
      </c>
      <c r="B138" s="372" t="s">
        <v>323</v>
      </c>
      <c r="C138" s="225" t="s">
        <v>610</v>
      </c>
      <c r="D138" s="184" t="s">
        <v>755</v>
      </c>
      <c r="E138" s="134"/>
      <c r="F138" s="226"/>
      <c r="G138" s="392">
        <v>32</v>
      </c>
      <c r="H138" s="137" t="s">
        <v>766</v>
      </c>
      <c r="I138" s="309">
        <v>0</v>
      </c>
      <c r="J138" s="308">
        <v>0</v>
      </c>
      <c r="K138" s="138">
        <f t="shared" si="6"/>
        <v>0</v>
      </c>
      <c r="L138" s="212">
        <f t="shared" si="7"/>
        <v>0</v>
      </c>
    </row>
    <row r="139" spans="1:14" s="118" customFormat="1" outlineLevel="1" x14ac:dyDescent="0.3">
      <c r="A139" s="374" t="s">
        <v>888</v>
      </c>
      <c r="B139" s="372" t="s">
        <v>324</v>
      </c>
      <c r="C139" s="225" t="s">
        <v>611</v>
      </c>
      <c r="D139" s="184" t="s">
        <v>755</v>
      </c>
      <c r="E139" s="134"/>
      <c r="F139" s="226"/>
      <c r="G139" s="392">
        <v>48</v>
      </c>
      <c r="H139" s="137" t="s">
        <v>766</v>
      </c>
      <c r="I139" s="309">
        <v>0</v>
      </c>
      <c r="J139" s="308">
        <v>0</v>
      </c>
      <c r="K139" s="138">
        <f t="shared" si="6"/>
        <v>0</v>
      </c>
      <c r="L139" s="212">
        <f t="shared" si="7"/>
        <v>0</v>
      </c>
      <c r="N139" s="116"/>
    </row>
    <row r="140" spans="1:14" s="118" customFormat="1" outlineLevel="1" x14ac:dyDescent="0.3">
      <c r="A140" s="374" t="s">
        <v>889</v>
      </c>
      <c r="B140" s="372" t="s">
        <v>325</v>
      </c>
      <c r="C140" s="225" t="s">
        <v>612</v>
      </c>
      <c r="D140" s="184" t="s">
        <v>755</v>
      </c>
      <c r="E140" s="134"/>
      <c r="F140" s="226"/>
      <c r="G140" s="392">
        <v>49</v>
      </c>
      <c r="H140" s="137" t="s">
        <v>766</v>
      </c>
      <c r="I140" s="309">
        <v>0</v>
      </c>
      <c r="J140" s="308">
        <v>0</v>
      </c>
      <c r="K140" s="138">
        <f t="shared" si="6"/>
        <v>0</v>
      </c>
      <c r="L140" s="212">
        <f t="shared" si="7"/>
        <v>0</v>
      </c>
      <c r="N140" s="116"/>
    </row>
    <row r="141" spans="1:14" s="118" customFormat="1" outlineLevel="1" x14ac:dyDescent="0.3">
      <c r="A141" s="374" t="s">
        <v>890</v>
      </c>
      <c r="B141" s="372" t="s">
        <v>326</v>
      </c>
      <c r="C141" s="225" t="s">
        <v>613</v>
      </c>
      <c r="D141" s="184" t="s">
        <v>755</v>
      </c>
      <c r="E141" s="134"/>
      <c r="F141" s="226"/>
      <c r="G141" s="392">
        <v>118</v>
      </c>
      <c r="H141" s="137" t="s">
        <v>766</v>
      </c>
      <c r="I141" s="309">
        <v>0</v>
      </c>
      <c r="J141" s="308">
        <v>0</v>
      </c>
      <c r="K141" s="138">
        <f t="shared" si="6"/>
        <v>0</v>
      </c>
      <c r="L141" s="212">
        <f t="shared" si="7"/>
        <v>0</v>
      </c>
      <c r="N141" s="116"/>
    </row>
    <row r="142" spans="1:14" s="118" customFormat="1" outlineLevel="1" x14ac:dyDescent="0.3">
      <c r="A142" s="374" t="s">
        <v>891</v>
      </c>
      <c r="B142" s="372" t="s">
        <v>469</v>
      </c>
      <c r="C142" s="225" t="s">
        <v>614</v>
      </c>
      <c r="D142" s="184" t="s">
        <v>755</v>
      </c>
      <c r="E142" s="134"/>
      <c r="F142" s="226"/>
      <c r="G142" s="392">
        <v>417</v>
      </c>
      <c r="H142" s="137" t="s">
        <v>766</v>
      </c>
      <c r="I142" s="309">
        <v>0</v>
      </c>
      <c r="J142" s="308">
        <v>0</v>
      </c>
      <c r="K142" s="138">
        <f t="shared" si="6"/>
        <v>0</v>
      </c>
      <c r="L142" s="212">
        <f t="shared" si="7"/>
        <v>0</v>
      </c>
      <c r="N142" s="116"/>
    </row>
    <row r="143" spans="1:14" s="118" customFormat="1" outlineLevel="1" x14ac:dyDescent="0.3">
      <c r="A143" s="374" t="s">
        <v>892</v>
      </c>
      <c r="B143" s="372" t="s">
        <v>470</v>
      </c>
      <c r="C143" s="225" t="s">
        <v>615</v>
      </c>
      <c r="D143" s="184" t="s">
        <v>755</v>
      </c>
      <c r="E143" s="134"/>
      <c r="F143" s="226"/>
      <c r="G143" s="392">
        <v>48</v>
      </c>
      <c r="H143" s="137" t="s">
        <v>766</v>
      </c>
      <c r="I143" s="309">
        <v>0</v>
      </c>
      <c r="J143" s="308">
        <v>0</v>
      </c>
      <c r="K143" s="138">
        <f t="shared" si="6"/>
        <v>0</v>
      </c>
      <c r="L143" s="212">
        <f t="shared" si="7"/>
        <v>0</v>
      </c>
      <c r="N143" s="116"/>
    </row>
    <row r="144" spans="1:14" s="118" customFormat="1" outlineLevel="1" x14ac:dyDescent="0.3">
      <c r="A144" s="374" t="s">
        <v>893</v>
      </c>
      <c r="B144" s="372" t="s">
        <v>471</v>
      </c>
      <c r="C144" s="225" t="s">
        <v>616</v>
      </c>
      <c r="D144" s="184" t="s">
        <v>755</v>
      </c>
      <c r="E144" s="134"/>
      <c r="F144" s="226"/>
      <c r="G144" s="392">
        <v>32</v>
      </c>
      <c r="H144" s="137" t="s">
        <v>766</v>
      </c>
      <c r="I144" s="309">
        <v>0</v>
      </c>
      <c r="J144" s="308">
        <v>0</v>
      </c>
      <c r="K144" s="138">
        <f t="shared" si="6"/>
        <v>0</v>
      </c>
      <c r="L144" s="212">
        <f t="shared" si="7"/>
        <v>0</v>
      </c>
      <c r="N144" s="116"/>
    </row>
    <row r="145" spans="1:14" s="118" customFormat="1" outlineLevel="1" x14ac:dyDescent="0.3">
      <c r="A145" s="374" t="s">
        <v>894</v>
      </c>
      <c r="B145" s="372" t="s">
        <v>472</v>
      </c>
      <c r="C145" s="225" t="s">
        <v>617</v>
      </c>
      <c r="D145" s="184" t="s">
        <v>755</v>
      </c>
      <c r="E145" s="134"/>
      <c r="F145" s="226"/>
      <c r="G145" s="392">
        <v>128</v>
      </c>
      <c r="H145" s="137" t="s">
        <v>766</v>
      </c>
      <c r="I145" s="309">
        <v>0</v>
      </c>
      <c r="J145" s="308">
        <v>0</v>
      </c>
      <c r="K145" s="138">
        <f t="shared" si="6"/>
        <v>0</v>
      </c>
      <c r="L145" s="212">
        <f t="shared" si="7"/>
        <v>0</v>
      </c>
      <c r="N145" s="116"/>
    </row>
    <row r="146" spans="1:14" s="118" customFormat="1" outlineLevel="1" x14ac:dyDescent="0.3">
      <c r="A146" s="374" t="s">
        <v>895</v>
      </c>
      <c r="B146" s="372" t="s">
        <v>473</v>
      </c>
      <c r="C146" s="225" t="s">
        <v>618</v>
      </c>
      <c r="D146" s="184" t="s">
        <v>755</v>
      </c>
      <c r="E146" s="134"/>
      <c r="F146" s="226"/>
      <c r="G146" s="392">
        <v>103</v>
      </c>
      <c r="H146" s="137" t="s">
        <v>766</v>
      </c>
      <c r="I146" s="309">
        <v>0</v>
      </c>
      <c r="J146" s="308">
        <v>0</v>
      </c>
      <c r="K146" s="138">
        <f t="shared" si="6"/>
        <v>0</v>
      </c>
      <c r="L146" s="212">
        <f t="shared" si="7"/>
        <v>0</v>
      </c>
      <c r="N146" s="116"/>
    </row>
    <row r="147" spans="1:14" s="118" customFormat="1" outlineLevel="1" x14ac:dyDescent="0.3">
      <c r="A147" s="374" t="s">
        <v>896</v>
      </c>
      <c r="B147" s="372" t="s">
        <v>474</v>
      </c>
      <c r="C147" s="225" t="s">
        <v>619</v>
      </c>
      <c r="D147" s="184" t="s">
        <v>755</v>
      </c>
      <c r="E147" s="134"/>
      <c r="F147" s="226"/>
      <c r="G147" s="392">
        <v>32</v>
      </c>
      <c r="H147" s="137" t="s">
        <v>766</v>
      </c>
      <c r="I147" s="309">
        <v>0</v>
      </c>
      <c r="J147" s="308">
        <v>0</v>
      </c>
      <c r="K147" s="138">
        <f t="shared" si="6"/>
        <v>0</v>
      </c>
      <c r="L147" s="212">
        <f t="shared" si="7"/>
        <v>0</v>
      </c>
      <c r="N147" s="116"/>
    </row>
    <row r="148" spans="1:14" s="118" customFormat="1" outlineLevel="1" x14ac:dyDescent="0.3">
      <c r="A148" s="374" t="s">
        <v>897</v>
      </c>
      <c r="B148" s="372" t="s">
        <v>475</v>
      </c>
      <c r="C148" s="225" t="s">
        <v>620</v>
      </c>
      <c r="D148" s="184" t="s">
        <v>755</v>
      </c>
      <c r="E148" s="134"/>
      <c r="F148" s="226"/>
      <c r="G148" s="392">
        <v>160</v>
      </c>
      <c r="H148" s="137" t="s">
        <v>766</v>
      </c>
      <c r="I148" s="309">
        <v>0</v>
      </c>
      <c r="J148" s="308">
        <v>0</v>
      </c>
      <c r="K148" s="138">
        <f t="shared" si="6"/>
        <v>0</v>
      </c>
      <c r="L148" s="212">
        <f t="shared" si="7"/>
        <v>0</v>
      </c>
      <c r="N148" s="116"/>
    </row>
    <row r="149" spans="1:14" s="118" customFormat="1" outlineLevel="1" x14ac:dyDescent="0.3">
      <c r="A149" s="374" t="s">
        <v>898</v>
      </c>
      <c r="B149" s="372" t="s">
        <v>476</v>
      </c>
      <c r="C149" s="225" t="s">
        <v>621</v>
      </c>
      <c r="D149" s="184" t="s">
        <v>755</v>
      </c>
      <c r="E149" s="134"/>
      <c r="F149" s="226"/>
      <c r="G149" s="392">
        <v>672</v>
      </c>
      <c r="H149" s="137" t="s">
        <v>766</v>
      </c>
      <c r="I149" s="309">
        <v>0</v>
      </c>
      <c r="J149" s="308">
        <v>0</v>
      </c>
      <c r="K149" s="138">
        <f t="shared" si="6"/>
        <v>0</v>
      </c>
      <c r="L149" s="212">
        <f t="shared" si="7"/>
        <v>0</v>
      </c>
      <c r="N149" s="116"/>
    </row>
    <row r="150" spans="1:14" s="118" customFormat="1" outlineLevel="1" x14ac:dyDescent="0.3">
      <c r="A150" s="374" t="s">
        <v>899</v>
      </c>
      <c r="B150" s="372" t="s">
        <v>477</v>
      </c>
      <c r="C150" s="225" t="s">
        <v>622</v>
      </c>
      <c r="D150" s="184" t="s">
        <v>755</v>
      </c>
      <c r="E150" s="134"/>
      <c r="F150" s="226"/>
      <c r="G150" s="392">
        <v>66</v>
      </c>
      <c r="H150" s="137" t="s">
        <v>766</v>
      </c>
      <c r="I150" s="309">
        <v>0</v>
      </c>
      <c r="J150" s="308">
        <v>0</v>
      </c>
      <c r="K150" s="138">
        <f t="shared" si="6"/>
        <v>0</v>
      </c>
      <c r="L150" s="212">
        <f t="shared" si="7"/>
        <v>0</v>
      </c>
      <c r="N150" s="116"/>
    </row>
    <row r="151" spans="1:14" s="118" customFormat="1" outlineLevel="1" x14ac:dyDescent="0.3">
      <c r="A151" s="374" t="s">
        <v>900</v>
      </c>
      <c r="B151" s="372" t="s">
        <v>478</v>
      </c>
      <c r="C151" s="225" t="s">
        <v>623</v>
      </c>
      <c r="D151" s="184" t="s">
        <v>755</v>
      </c>
      <c r="E151" s="134"/>
      <c r="F151" s="226"/>
      <c r="G151" s="392">
        <v>66</v>
      </c>
      <c r="H151" s="137" t="s">
        <v>766</v>
      </c>
      <c r="I151" s="309">
        <v>0</v>
      </c>
      <c r="J151" s="308">
        <v>0</v>
      </c>
      <c r="K151" s="138">
        <f t="shared" si="6"/>
        <v>0</v>
      </c>
      <c r="L151" s="212">
        <f t="shared" si="7"/>
        <v>0</v>
      </c>
      <c r="N151" s="116"/>
    </row>
    <row r="152" spans="1:14" s="118" customFormat="1" outlineLevel="1" x14ac:dyDescent="0.3">
      <c r="A152" s="374" t="s">
        <v>901</v>
      </c>
      <c r="B152" s="372" t="s">
        <v>660</v>
      </c>
      <c r="C152" s="225" t="s">
        <v>624</v>
      </c>
      <c r="D152" s="184" t="s">
        <v>755</v>
      </c>
      <c r="E152" s="230"/>
      <c r="F152" s="231"/>
      <c r="G152" s="393">
        <v>103</v>
      </c>
      <c r="H152" s="137" t="s">
        <v>766</v>
      </c>
      <c r="I152" s="309">
        <v>0</v>
      </c>
      <c r="J152" s="308">
        <v>0</v>
      </c>
      <c r="K152" s="138">
        <f t="shared" si="6"/>
        <v>0</v>
      </c>
      <c r="L152" s="212">
        <f t="shared" si="7"/>
        <v>0</v>
      </c>
      <c r="N152" s="116"/>
    </row>
    <row r="153" spans="1:14" s="118" customFormat="1" outlineLevel="1" x14ac:dyDescent="0.3">
      <c r="A153" s="374" t="s">
        <v>902</v>
      </c>
      <c r="B153" s="372" t="s">
        <v>661</v>
      </c>
      <c r="C153" s="225" t="s">
        <v>625</v>
      </c>
      <c r="D153" s="184" t="s">
        <v>755</v>
      </c>
      <c r="E153" s="227"/>
      <c r="F153" s="228"/>
      <c r="G153" s="389">
        <v>128</v>
      </c>
      <c r="H153" s="137" t="s">
        <v>766</v>
      </c>
      <c r="I153" s="309">
        <v>0</v>
      </c>
      <c r="J153" s="308">
        <v>0</v>
      </c>
      <c r="K153" s="138">
        <f t="shared" si="6"/>
        <v>0</v>
      </c>
      <c r="L153" s="212">
        <f t="shared" si="7"/>
        <v>0</v>
      </c>
      <c r="N153" s="116"/>
    </row>
    <row r="154" spans="1:14" s="118" customFormat="1" outlineLevel="1" x14ac:dyDescent="0.3">
      <c r="A154" s="374" t="s">
        <v>903</v>
      </c>
      <c r="B154" s="372" t="s">
        <v>662</v>
      </c>
      <c r="C154" s="225" t="s">
        <v>626</v>
      </c>
      <c r="D154" s="184" t="s">
        <v>755</v>
      </c>
      <c r="E154" s="227"/>
      <c r="F154" s="228"/>
      <c r="G154" s="389">
        <v>32</v>
      </c>
      <c r="H154" s="137" t="s">
        <v>766</v>
      </c>
      <c r="I154" s="309">
        <v>0</v>
      </c>
      <c r="J154" s="308">
        <v>0</v>
      </c>
      <c r="K154" s="138">
        <f t="shared" si="6"/>
        <v>0</v>
      </c>
      <c r="L154" s="212">
        <f t="shared" si="7"/>
        <v>0</v>
      </c>
      <c r="N154" s="116"/>
    </row>
    <row r="155" spans="1:14" s="118" customFormat="1" outlineLevel="1" x14ac:dyDescent="0.3">
      <c r="A155" s="374" t="s">
        <v>904</v>
      </c>
      <c r="B155" s="372" t="s">
        <v>663</v>
      </c>
      <c r="C155" s="225" t="s">
        <v>627</v>
      </c>
      <c r="D155" s="184" t="s">
        <v>755</v>
      </c>
      <c r="E155" s="227"/>
      <c r="F155" s="228"/>
      <c r="G155" s="389">
        <v>160</v>
      </c>
      <c r="H155" s="137" t="s">
        <v>766</v>
      </c>
      <c r="I155" s="309">
        <v>0</v>
      </c>
      <c r="J155" s="308">
        <v>0</v>
      </c>
      <c r="K155" s="138">
        <f t="shared" si="6"/>
        <v>0</v>
      </c>
      <c r="L155" s="212">
        <f t="shared" si="7"/>
        <v>0</v>
      </c>
      <c r="N155" s="116"/>
    </row>
    <row r="156" spans="1:14" s="118" customFormat="1" outlineLevel="1" x14ac:dyDescent="0.3">
      <c r="A156" s="374" t="s">
        <v>905</v>
      </c>
      <c r="B156" s="372" t="s">
        <v>664</v>
      </c>
      <c r="C156" s="225" t="s">
        <v>628</v>
      </c>
      <c r="D156" s="184" t="s">
        <v>755</v>
      </c>
      <c r="E156" s="227"/>
      <c r="F156" s="228"/>
      <c r="G156" s="389">
        <v>66</v>
      </c>
      <c r="H156" s="137" t="s">
        <v>766</v>
      </c>
      <c r="I156" s="309">
        <v>0</v>
      </c>
      <c r="J156" s="308">
        <v>0</v>
      </c>
      <c r="K156" s="138">
        <f t="shared" si="6"/>
        <v>0</v>
      </c>
      <c r="L156" s="212">
        <f t="shared" si="7"/>
        <v>0</v>
      </c>
      <c r="N156" s="116"/>
    </row>
    <row r="157" spans="1:14" s="118" customFormat="1" outlineLevel="1" x14ac:dyDescent="0.3">
      <c r="A157" s="374" t="s">
        <v>906</v>
      </c>
      <c r="B157" s="372" t="s">
        <v>665</v>
      </c>
      <c r="C157" s="225" t="s">
        <v>629</v>
      </c>
      <c r="D157" s="184" t="s">
        <v>755</v>
      </c>
      <c r="E157" s="227"/>
      <c r="F157" s="228"/>
      <c r="G157" s="389">
        <v>66</v>
      </c>
      <c r="H157" s="137" t="s">
        <v>766</v>
      </c>
      <c r="I157" s="309">
        <v>0</v>
      </c>
      <c r="J157" s="308">
        <v>0</v>
      </c>
      <c r="K157" s="138">
        <f t="shared" si="6"/>
        <v>0</v>
      </c>
      <c r="L157" s="212">
        <f t="shared" si="7"/>
        <v>0</v>
      </c>
      <c r="N157" s="116"/>
    </row>
    <row r="158" spans="1:14" s="118" customFormat="1" outlineLevel="1" x14ac:dyDescent="0.3">
      <c r="A158" s="374" t="s">
        <v>907</v>
      </c>
      <c r="B158" s="372" t="s">
        <v>666</v>
      </c>
      <c r="C158" s="225" t="s">
        <v>630</v>
      </c>
      <c r="D158" s="184" t="s">
        <v>755</v>
      </c>
      <c r="E158" s="227"/>
      <c r="F158" s="228"/>
      <c r="G158" s="389">
        <v>19</v>
      </c>
      <c r="H158" s="137" t="s">
        <v>766</v>
      </c>
      <c r="I158" s="309">
        <v>0</v>
      </c>
      <c r="J158" s="308">
        <v>0</v>
      </c>
      <c r="K158" s="138">
        <f t="shared" si="6"/>
        <v>0</v>
      </c>
      <c r="L158" s="212">
        <f t="shared" si="7"/>
        <v>0</v>
      </c>
      <c r="N158" s="116"/>
    </row>
    <row r="159" spans="1:14" s="118" customFormat="1" outlineLevel="1" x14ac:dyDescent="0.3">
      <c r="A159" s="374" t="s">
        <v>908</v>
      </c>
      <c r="B159" s="372" t="s">
        <v>667</v>
      </c>
      <c r="C159" s="225" t="s">
        <v>631</v>
      </c>
      <c r="D159" s="184" t="s">
        <v>755</v>
      </c>
      <c r="E159" s="227"/>
      <c r="F159" s="228"/>
      <c r="G159" s="389">
        <v>18</v>
      </c>
      <c r="H159" s="137" t="s">
        <v>766</v>
      </c>
      <c r="I159" s="309">
        <v>0</v>
      </c>
      <c r="J159" s="308">
        <v>0</v>
      </c>
      <c r="K159" s="138">
        <f t="shared" si="6"/>
        <v>0</v>
      </c>
      <c r="L159" s="212">
        <f t="shared" si="7"/>
        <v>0</v>
      </c>
      <c r="N159" s="116"/>
    </row>
    <row r="160" spans="1:14" s="118" customFormat="1" outlineLevel="1" x14ac:dyDescent="0.3">
      <c r="A160" s="374" t="s">
        <v>909</v>
      </c>
      <c r="B160" s="372" t="s">
        <v>668</v>
      </c>
      <c r="C160" s="225" t="s">
        <v>632</v>
      </c>
      <c r="D160" s="184" t="s">
        <v>755</v>
      </c>
      <c r="E160" s="227"/>
      <c r="F160" s="228"/>
      <c r="G160" s="389">
        <v>30</v>
      </c>
      <c r="H160" s="137" t="s">
        <v>766</v>
      </c>
      <c r="I160" s="309">
        <v>0</v>
      </c>
      <c r="J160" s="308">
        <v>0</v>
      </c>
      <c r="K160" s="138">
        <f t="shared" si="6"/>
        <v>0</v>
      </c>
      <c r="L160" s="212">
        <f t="shared" si="7"/>
        <v>0</v>
      </c>
      <c r="N160" s="116"/>
    </row>
    <row r="161" spans="1:14" s="118" customFormat="1" outlineLevel="1" x14ac:dyDescent="0.3">
      <c r="A161" s="374" t="s">
        <v>910</v>
      </c>
      <c r="B161" s="372" t="s">
        <v>669</v>
      </c>
      <c r="C161" s="225" t="s">
        <v>633</v>
      </c>
      <c r="D161" s="184" t="s">
        <v>755</v>
      </c>
      <c r="E161" s="227"/>
      <c r="F161" s="228"/>
      <c r="G161" s="389">
        <v>53</v>
      </c>
      <c r="H161" s="137" t="s">
        <v>766</v>
      </c>
      <c r="I161" s="309">
        <v>0</v>
      </c>
      <c r="J161" s="308">
        <v>0</v>
      </c>
      <c r="K161" s="138">
        <f t="shared" si="6"/>
        <v>0</v>
      </c>
      <c r="L161" s="212">
        <f t="shared" si="7"/>
        <v>0</v>
      </c>
      <c r="N161" s="116"/>
    </row>
    <row r="162" spans="1:14" s="118" customFormat="1" outlineLevel="1" x14ac:dyDescent="0.3">
      <c r="A162" s="374" t="s">
        <v>911</v>
      </c>
      <c r="B162" s="372" t="s">
        <v>670</v>
      </c>
      <c r="C162" s="225" t="s">
        <v>634</v>
      </c>
      <c r="D162" s="184" t="s">
        <v>755</v>
      </c>
      <c r="E162" s="227"/>
      <c r="F162" s="228"/>
      <c r="G162" s="389">
        <v>106</v>
      </c>
      <c r="H162" s="137" t="s">
        <v>766</v>
      </c>
      <c r="I162" s="309">
        <v>0</v>
      </c>
      <c r="J162" s="308">
        <v>0</v>
      </c>
      <c r="K162" s="138">
        <f t="shared" si="6"/>
        <v>0</v>
      </c>
      <c r="L162" s="212">
        <f t="shared" si="7"/>
        <v>0</v>
      </c>
      <c r="N162" s="116"/>
    </row>
    <row r="163" spans="1:14" s="118" customFormat="1" outlineLevel="1" x14ac:dyDescent="0.3">
      <c r="A163" s="374" t="s">
        <v>912</v>
      </c>
      <c r="B163" s="372" t="s">
        <v>671</v>
      </c>
      <c r="C163" s="225" t="s">
        <v>635</v>
      </c>
      <c r="D163" s="184" t="s">
        <v>755</v>
      </c>
      <c r="E163" s="227"/>
      <c r="F163" s="228"/>
      <c r="G163" s="389">
        <v>18</v>
      </c>
      <c r="H163" s="137" t="s">
        <v>766</v>
      </c>
      <c r="I163" s="309">
        <v>0</v>
      </c>
      <c r="J163" s="308">
        <v>0</v>
      </c>
      <c r="K163" s="138">
        <f t="shared" si="6"/>
        <v>0</v>
      </c>
      <c r="L163" s="212">
        <f t="shared" si="7"/>
        <v>0</v>
      </c>
      <c r="N163" s="116"/>
    </row>
    <row r="164" spans="1:14" s="118" customFormat="1" outlineLevel="1" x14ac:dyDescent="0.3">
      <c r="A164" s="374" t="s">
        <v>913</v>
      </c>
      <c r="B164" s="372" t="s">
        <v>672</v>
      </c>
      <c r="C164" s="225" t="s">
        <v>636</v>
      </c>
      <c r="D164" s="184" t="s">
        <v>755</v>
      </c>
      <c r="E164" s="227"/>
      <c r="F164" s="228"/>
      <c r="G164" s="389">
        <v>19</v>
      </c>
      <c r="H164" s="137" t="s">
        <v>766</v>
      </c>
      <c r="I164" s="309">
        <v>0</v>
      </c>
      <c r="J164" s="308">
        <v>0</v>
      </c>
      <c r="K164" s="138">
        <f t="shared" si="6"/>
        <v>0</v>
      </c>
      <c r="L164" s="212">
        <f t="shared" si="7"/>
        <v>0</v>
      </c>
      <c r="N164" s="116"/>
    </row>
    <row r="165" spans="1:14" s="118" customFormat="1" outlineLevel="1" x14ac:dyDescent="0.3">
      <c r="A165" s="374" t="s">
        <v>914</v>
      </c>
      <c r="B165" s="372" t="s">
        <v>673</v>
      </c>
      <c r="C165" s="225" t="s">
        <v>637</v>
      </c>
      <c r="D165" s="184" t="s">
        <v>755</v>
      </c>
      <c r="E165" s="227"/>
      <c r="F165" s="228"/>
      <c r="G165" s="389">
        <v>26</v>
      </c>
      <c r="H165" s="137" t="s">
        <v>766</v>
      </c>
      <c r="I165" s="309">
        <v>0</v>
      </c>
      <c r="J165" s="308">
        <v>0</v>
      </c>
      <c r="K165" s="138">
        <f t="shared" si="6"/>
        <v>0</v>
      </c>
      <c r="L165" s="212">
        <f t="shared" si="7"/>
        <v>0</v>
      </c>
      <c r="N165" s="116"/>
    </row>
    <row r="166" spans="1:14" s="118" customFormat="1" outlineLevel="1" x14ac:dyDescent="0.3">
      <c r="A166" s="374" t="s">
        <v>915</v>
      </c>
      <c r="B166" s="372" t="s">
        <v>674</v>
      </c>
      <c r="C166" s="225" t="s">
        <v>638</v>
      </c>
      <c r="D166" s="184" t="s">
        <v>755</v>
      </c>
      <c r="E166" s="227"/>
      <c r="F166" s="228"/>
      <c r="G166" s="389">
        <v>53</v>
      </c>
      <c r="H166" s="137" t="s">
        <v>766</v>
      </c>
      <c r="I166" s="309">
        <v>0</v>
      </c>
      <c r="J166" s="308">
        <v>0</v>
      </c>
      <c r="K166" s="138">
        <f t="shared" si="6"/>
        <v>0</v>
      </c>
      <c r="L166" s="212">
        <f t="shared" si="7"/>
        <v>0</v>
      </c>
      <c r="N166" s="116"/>
    </row>
    <row r="167" spans="1:14" s="118" customFormat="1" outlineLevel="1" x14ac:dyDescent="0.3">
      <c r="A167" s="374" t="s">
        <v>916</v>
      </c>
      <c r="B167" s="372" t="s">
        <v>675</v>
      </c>
      <c r="C167" s="225" t="s">
        <v>639</v>
      </c>
      <c r="D167" s="184" t="s">
        <v>755</v>
      </c>
      <c r="E167" s="227"/>
      <c r="F167" s="228"/>
      <c r="G167" s="389">
        <v>26</v>
      </c>
      <c r="H167" s="137" t="s">
        <v>766</v>
      </c>
      <c r="I167" s="309">
        <v>0</v>
      </c>
      <c r="J167" s="308">
        <v>0</v>
      </c>
      <c r="K167" s="138">
        <f t="shared" si="6"/>
        <v>0</v>
      </c>
      <c r="L167" s="212">
        <f t="shared" si="7"/>
        <v>0</v>
      </c>
      <c r="N167" s="116"/>
    </row>
    <row r="168" spans="1:14" s="118" customFormat="1" outlineLevel="1" x14ac:dyDescent="0.3">
      <c r="A168" s="374" t="s">
        <v>917</v>
      </c>
      <c r="B168" s="372" t="s">
        <v>676</v>
      </c>
      <c r="C168" s="225" t="s">
        <v>640</v>
      </c>
      <c r="D168" s="184" t="s">
        <v>755</v>
      </c>
      <c r="E168" s="227"/>
      <c r="F168" s="228"/>
      <c r="G168" s="389">
        <v>53</v>
      </c>
      <c r="H168" s="137" t="s">
        <v>766</v>
      </c>
      <c r="I168" s="309">
        <v>0</v>
      </c>
      <c r="J168" s="308">
        <v>0</v>
      </c>
      <c r="K168" s="138">
        <f t="shared" si="6"/>
        <v>0</v>
      </c>
      <c r="L168" s="212">
        <f t="shared" si="7"/>
        <v>0</v>
      </c>
      <c r="N168" s="116"/>
    </row>
    <row r="169" spans="1:14" s="118" customFormat="1" outlineLevel="1" x14ac:dyDescent="0.3">
      <c r="A169" s="374" t="s">
        <v>918</v>
      </c>
      <c r="B169" s="372" t="s">
        <v>677</v>
      </c>
      <c r="C169" s="225" t="s">
        <v>641</v>
      </c>
      <c r="D169" s="184" t="s">
        <v>755</v>
      </c>
      <c r="E169" s="227"/>
      <c r="F169" s="228"/>
      <c r="G169" s="389">
        <v>51</v>
      </c>
      <c r="H169" s="137" t="s">
        <v>766</v>
      </c>
      <c r="I169" s="309">
        <v>0</v>
      </c>
      <c r="J169" s="308">
        <v>0</v>
      </c>
      <c r="K169" s="138">
        <f t="shared" si="6"/>
        <v>0</v>
      </c>
      <c r="L169" s="212">
        <f t="shared" si="7"/>
        <v>0</v>
      </c>
      <c r="N169" s="116"/>
    </row>
    <row r="170" spans="1:14" s="118" customFormat="1" outlineLevel="1" x14ac:dyDescent="0.3">
      <c r="A170" s="374" t="s">
        <v>919</v>
      </c>
      <c r="B170" s="372" t="s">
        <v>678</v>
      </c>
      <c r="C170" s="225" t="s">
        <v>642</v>
      </c>
      <c r="D170" s="184" t="s">
        <v>755</v>
      </c>
      <c r="E170" s="227"/>
      <c r="F170" s="228"/>
      <c r="G170" s="389">
        <v>13</v>
      </c>
      <c r="H170" s="137" t="s">
        <v>766</v>
      </c>
      <c r="I170" s="309">
        <v>0</v>
      </c>
      <c r="J170" s="308">
        <v>0</v>
      </c>
      <c r="K170" s="138">
        <f t="shared" si="6"/>
        <v>0</v>
      </c>
      <c r="L170" s="212">
        <f t="shared" si="7"/>
        <v>0</v>
      </c>
      <c r="N170" s="116"/>
    </row>
    <row r="171" spans="1:14" s="118" customFormat="1" outlineLevel="1" x14ac:dyDescent="0.3">
      <c r="A171" s="374" t="s">
        <v>920</v>
      </c>
      <c r="B171" s="372" t="s">
        <v>679</v>
      </c>
      <c r="C171" s="225" t="s">
        <v>643</v>
      </c>
      <c r="D171" s="184" t="s">
        <v>755</v>
      </c>
      <c r="E171" s="227"/>
      <c r="F171" s="228"/>
      <c r="G171" s="389">
        <v>29</v>
      </c>
      <c r="H171" s="137" t="s">
        <v>766</v>
      </c>
      <c r="I171" s="309">
        <v>0</v>
      </c>
      <c r="J171" s="308">
        <v>0</v>
      </c>
      <c r="K171" s="138">
        <f t="shared" si="6"/>
        <v>0</v>
      </c>
      <c r="L171" s="212">
        <f t="shared" si="7"/>
        <v>0</v>
      </c>
      <c r="N171" s="116"/>
    </row>
    <row r="172" spans="1:14" s="118" customFormat="1" outlineLevel="1" x14ac:dyDescent="0.3">
      <c r="A172" s="374" t="s">
        <v>921</v>
      </c>
      <c r="B172" s="372" t="s">
        <v>680</v>
      </c>
      <c r="C172" s="225" t="s">
        <v>644</v>
      </c>
      <c r="D172" s="184" t="s">
        <v>755</v>
      </c>
      <c r="E172" s="227"/>
      <c r="F172" s="228"/>
      <c r="G172" s="389">
        <v>53</v>
      </c>
      <c r="H172" s="137" t="s">
        <v>766</v>
      </c>
      <c r="I172" s="309">
        <v>0</v>
      </c>
      <c r="J172" s="308">
        <v>0</v>
      </c>
      <c r="K172" s="138">
        <f t="shared" si="6"/>
        <v>0</v>
      </c>
      <c r="L172" s="212">
        <f t="shared" si="7"/>
        <v>0</v>
      </c>
      <c r="N172" s="116"/>
    </row>
    <row r="173" spans="1:14" s="118" customFormat="1" outlineLevel="1" x14ac:dyDescent="0.3">
      <c r="A173" s="374" t="s">
        <v>922</v>
      </c>
      <c r="B173" s="372" t="s">
        <v>681</v>
      </c>
      <c r="C173" s="225" t="s">
        <v>645</v>
      </c>
      <c r="D173" s="184" t="s">
        <v>755</v>
      </c>
      <c r="E173" s="227"/>
      <c r="F173" s="228"/>
      <c r="G173" s="389">
        <v>26</v>
      </c>
      <c r="H173" s="137" t="s">
        <v>766</v>
      </c>
      <c r="I173" s="309">
        <v>0</v>
      </c>
      <c r="J173" s="308">
        <v>0</v>
      </c>
      <c r="K173" s="138">
        <f t="shared" si="6"/>
        <v>0</v>
      </c>
      <c r="L173" s="212">
        <f t="shared" si="7"/>
        <v>0</v>
      </c>
      <c r="N173" s="116"/>
    </row>
    <row r="174" spans="1:14" s="118" customFormat="1" outlineLevel="1" x14ac:dyDescent="0.3">
      <c r="A174" s="374" t="s">
        <v>923</v>
      </c>
      <c r="B174" s="372" t="s">
        <v>682</v>
      </c>
      <c r="C174" s="225" t="s">
        <v>646</v>
      </c>
      <c r="D174" s="184" t="s">
        <v>755</v>
      </c>
      <c r="E174" s="227"/>
      <c r="F174" s="228"/>
      <c r="G174" s="389">
        <v>33</v>
      </c>
      <c r="H174" s="137" t="s">
        <v>766</v>
      </c>
      <c r="I174" s="309">
        <v>0</v>
      </c>
      <c r="J174" s="308">
        <v>0</v>
      </c>
      <c r="K174" s="138">
        <f t="shared" si="6"/>
        <v>0</v>
      </c>
      <c r="L174" s="212">
        <f t="shared" si="7"/>
        <v>0</v>
      </c>
      <c r="N174" s="116"/>
    </row>
    <row r="175" spans="1:14" s="118" customFormat="1" outlineLevel="1" x14ac:dyDescent="0.3">
      <c r="A175" s="374" t="s">
        <v>924</v>
      </c>
      <c r="B175" s="372" t="s">
        <v>683</v>
      </c>
      <c r="C175" s="225" t="s">
        <v>647</v>
      </c>
      <c r="D175" s="184" t="s">
        <v>755</v>
      </c>
      <c r="E175" s="227"/>
      <c r="F175" s="228"/>
      <c r="G175" s="389">
        <v>13</v>
      </c>
      <c r="H175" s="137" t="s">
        <v>766</v>
      </c>
      <c r="I175" s="309">
        <v>0</v>
      </c>
      <c r="J175" s="308">
        <v>0</v>
      </c>
      <c r="K175" s="138">
        <f t="shared" si="6"/>
        <v>0</v>
      </c>
      <c r="L175" s="212">
        <f t="shared" si="7"/>
        <v>0</v>
      </c>
      <c r="N175" s="116"/>
    </row>
    <row r="176" spans="1:14" s="118" customFormat="1" outlineLevel="1" x14ac:dyDescent="0.3">
      <c r="A176" s="374" t="s">
        <v>925</v>
      </c>
      <c r="B176" s="372" t="s">
        <v>684</v>
      </c>
      <c r="C176" s="225" t="s">
        <v>648</v>
      </c>
      <c r="D176" s="184" t="s">
        <v>755</v>
      </c>
      <c r="E176" s="227"/>
      <c r="F176" s="228"/>
      <c r="G176" s="389">
        <v>382</v>
      </c>
      <c r="H176" s="137" t="s">
        <v>766</v>
      </c>
      <c r="I176" s="309">
        <v>0</v>
      </c>
      <c r="J176" s="308">
        <v>0</v>
      </c>
      <c r="K176" s="138">
        <f t="shared" si="6"/>
        <v>0</v>
      </c>
      <c r="L176" s="212">
        <f t="shared" si="7"/>
        <v>0</v>
      </c>
      <c r="N176" s="116"/>
    </row>
    <row r="177" spans="1:14" s="118" customFormat="1" outlineLevel="1" x14ac:dyDescent="0.3">
      <c r="A177" s="374" t="s">
        <v>926</v>
      </c>
      <c r="B177" s="372" t="s">
        <v>685</v>
      </c>
      <c r="C177" s="225" t="s">
        <v>649</v>
      </c>
      <c r="D177" s="184" t="s">
        <v>755</v>
      </c>
      <c r="E177" s="227"/>
      <c r="F177" s="228"/>
      <c r="G177" s="389">
        <v>643</v>
      </c>
      <c r="H177" s="137" t="s">
        <v>766</v>
      </c>
      <c r="I177" s="309">
        <v>0</v>
      </c>
      <c r="J177" s="308">
        <v>0</v>
      </c>
      <c r="K177" s="138">
        <f t="shared" si="6"/>
        <v>0</v>
      </c>
      <c r="L177" s="212">
        <f t="shared" si="7"/>
        <v>0</v>
      </c>
      <c r="N177" s="116"/>
    </row>
    <row r="178" spans="1:14" s="118" customFormat="1" outlineLevel="1" x14ac:dyDescent="0.3">
      <c r="A178" s="374" t="s">
        <v>927</v>
      </c>
      <c r="B178" s="372" t="s">
        <v>686</v>
      </c>
      <c r="C178" s="225" t="s">
        <v>650</v>
      </c>
      <c r="D178" s="184" t="s">
        <v>755</v>
      </c>
      <c r="E178" s="227"/>
      <c r="F178" s="228"/>
      <c r="G178" s="389">
        <v>225</v>
      </c>
      <c r="H178" s="137" t="s">
        <v>766</v>
      </c>
      <c r="I178" s="309">
        <v>0</v>
      </c>
      <c r="J178" s="308">
        <v>0</v>
      </c>
      <c r="K178" s="138">
        <f t="shared" si="6"/>
        <v>0</v>
      </c>
      <c r="L178" s="212">
        <f t="shared" si="7"/>
        <v>0</v>
      </c>
      <c r="N178" s="116"/>
    </row>
    <row r="179" spans="1:14" s="118" customFormat="1" outlineLevel="1" x14ac:dyDescent="0.3">
      <c r="A179" s="374" t="s">
        <v>928</v>
      </c>
      <c r="B179" s="372" t="s">
        <v>687</v>
      </c>
      <c r="C179" s="225" t="s">
        <v>651</v>
      </c>
      <c r="D179" s="184" t="s">
        <v>755</v>
      </c>
      <c r="E179" s="227"/>
      <c r="F179" s="228"/>
      <c r="G179" s="389">
        <v>96</v>
      </c>
      <c r="H179" s="137" t="s">
        <v>766</v>
      </c>
      <c r="I179" s="309">
        <v>0</v>
      </c>
      <c r="J179" s="308">
        <v>0</v>
      </c>
      <c r="K179" s="138">
        <f t="shared" si="6"/>
        <v>0</v>
      </c>
      <c r="L179" s="212">
        <f t="shared" si="7"/>
        <v>0</v>
      </c>
      <c r="N179" s="116"/>
    </row>
    <row r="180" spans="1:14" s="118" customFormat="1" outlineLevel="1" x14ac:dyDescent="0.3">
      <c r="A180" s="374" t="s">
        <v>929</v>
      </c>
      <c r="B180" s="372" t="s">
        <v>688</v>
      </c>
      <c r="C180" s="225" t="s">
        <v>652</v>
      </c>
      <c r="D180" s="184" t="s">
        <v>755</v>
      </c>
      <c r="E180" s="227"/>
      <c r="F180" s="228"/>
      <c r="G180" s="389">
        <v>64</v>
      </c>
      <c r="H180" s="137" t="s">
        <v>766</v>
      </c>
      <c r="I180" s="309">
        <v>0</v>
      </c>
      <c r="J180" s="308">
        <v>0</v>
      </c>
      <c r="K180" s="138">
        <f t="shared" si="6"/>
        <v>0</v>
      </c>
      <c r="L180" s="212">
        <f t="shared" si="7"/>
        <v>0</v>
      </c>
      <c r="N180" s="116"/>
    </row>
    <row r="181" spans="1:14" s="118" customFormat="1" outlineLevel="1" x14ac:dyDescent="0.3">
      <c r="A181" s="374" t="s">
        <v>930</v>
      </c>
      <c r="B181" s="372" t="s">
        <v>689</v>
      </c>
      <c r="C181" s="225" t="s">
        <v>653</v>
      </c>
      <c r="D181" s="184" t="s">
        <v>755</v>
      </c>
      <c r="E181" s="227"/>
      <c r="F181" s="228"/>
      <c r="G181" s="389">
        <v>16</v>
      </c>
      <c r="H181" s="137" t="s">
        <v>766</v>
      </c>
      <c r="I181" s="309">
        <v>0</v>
      </c>
      <c r="J181" s="308">
        <v>0</v>
      </c>
      <c r="K181" s="138">
        <f t="shared" si="6"/>
        <v>0</v>
      </c>
      <c r="L181" s="212">
        <f t="shared" si="7"/>
        <v>0</v>
      </c>
      <c r="N181" s="116"/>
    </row>
    <row r="182" spans="1:14" s="118" customFormat="1" outlineLevel="1" x14ac:dyDescent="0.3">
      <c r="A182" s="374" t="s">
        <v>931</v>
      </c>
      <c r="B182" s="372" t="s">
        <v>690</v>
      </c>
      <c r="C182" s="225" t="s">
        <v>654</v>
      </c>
      <c r="D182" s="184" t="s">
        <v>755</v>
      </c>
      <c r="E182" s="227"/>
      <c r="F182" s="228"/>
      <c r="G182" s="389">
        <v>24</v>
      </c>
      <c r="H182" s="137" t="s">
        <v>766</v>
      </c>
      <c r="I182" s="309">
        <v>0</v>
      </c>
      <c r="J182" s="308">
        <v>0</v>
      </c>
      <c r="K182" s="138">
        <f t="shared" si="6"/>
        <v>0</v>
      </c>
      <c r="L182" s="212">
        <f t="shared" si="7"/>
        <v>0</v>
      </c>
      <c r="N182" s="116"/>
    </row>
    <row r="183" spans="1:14" s="118" customFormat="1" outlineLevel="1" x14ac:dyDescent="0.3">
      <c r="A183" s="374" t="s">
        <v>932</v>
      </c>
      <c r="B183" s="372" t="s">
        <v>691</v>
      </c>
      <c r="C183" s="225" t="s">
        <v>655</v>
      </c>
      <c r="D183" s="184" t="s">
        <v>755</v>
      </c>
      <c r="E183" s="227"/>
      <c r="F183" s="228"/>
      <c r="G183" s="389">
        <v>252</v>
      </c>
      <c r="H183" s="137" t="s">
        <v>766</v>
      </c>
      <c r="I183" s="309">
        <v>0</v>
      </c>
      <c r="J183" s="308">
        <v>0</v>
      </c>
      <c r="K183" s="138">
        <f t="shared" si="6"/>
        <v>0</v>
      </c>
      <c r="L183" s="212">
        <f t="shared" si="7"/>
        <v>0</v>
      </c>
      <c r="N183" s="116"/>
    </row>
    <row r="184" spans="1:14" s="118" customFormat="1" outlineLevel="1" x14ac:dyDescent="0.3">
      <c r="A184" s="374" t="s">
        <v>933</v>
      </c>
      <c r="B184" s="372" t="s">
        <v>692</v>
      </c>
      <c r="C184" s="225" t="s">
        <v>656</v>
      </c>
      <c r="D184" s="184" t="s">
        <v>755</v>
      </c>
      <c r="E184" s="227"/>
      <c r="F184" s="228"/>
      <c r="G184" s="389">
        <v>9</v>
      </c>
      <c r="H184" s="137" t="s">
        <v>766</v>
      </c>
      <c r="I184" s="309">
        <v>0</v>
      </c>
      <c r="J184" s="308">
        <v>0</v>
      </c>
      <c r="K184" s="138">
        <f t="shared" si="6"/>
        <v>0</v>
      </c>
      <c r="L184" s="212">
        <f t="shared" si="7"/>
        <v>0</v>
      </c>
      <c r="N184" s="116"/>
    </row>
    <row r="185" spans="1:14" s="118" customFormat="1" outlineLevel="1" x14ac:dyDescent="0.3">
      <c r="A185" s="374" t="s">
        <v>937</v>
      </c>
      <c r="B185" s="372" t="s">
        <v>693</v>
      </c>
      <c r="C185" s="225" t="s">
        <v>657</v>
      </c>
      <c r="D185" s="184" t="s">
        <v>755</v>
      </c>
      <c r="E185" s="227"/>
      <c r="F185" s="228"/>
      <c r="G185" s="389">
        <v>15</v>
      </c>
      <c r="H185" s="137" t="s">
        <v>766</v>
      </c>
      <c r="I185" s="309">
        <v>0</v>
      </c>
      <c r="J185" s="308">
        <v>0</v>
      </c>
      <c r="K185" s="138">
        <f t="shared" si="6"/>
        <v>0</v>
      </c>
      <c r="L185" s="212">
        <f t="shared" si="7"/>
        <v>0</v>
      </c>
      <c r="N185" s="116"/>
    </row>
    <row r="186" spans="1:14" s="118" customFormat="1" outlineLevel="1" x14ac:dyDescent="0.3">
      <c r="A186" s="374" t="s">
        <v>938</v>
      </c>
      <c r="B186" s="372" t="s">
        <v>694</v>
      </c>
      <c r="C186" s="225" t="s">
        <v>658</v>
      </c>
      <c r="D186" s="184" t="s">
        <v>755</v>
      </c>
      <c r="E186" s="227"/>
      <c r="F186" s="228"/>
      <c r="G186" s="389">
        <v>480</v>
      </c>
      <c r="H186" s="137" t="s">
        <v>766</v>
      </c>
      <c r="I186" s="309">
        <v>0</v>
      </c>
      <c r="J186" s="308">
        <v>0</v>
      </c>
      <c r="K186" s="138">
        <f t="shared" si="6"/>
        <v>0</v>
      </c>
      <c r="L186" s="212">
        <f t="shared" si="7"/>
        <v>0</v>
      </c>
      <c r="N186" s="116"/>
    </row>
    <row r="187" spans="1:14" s="118" customFormat="1" outlineLevel="1" x14ac:dyDescent="0.3">
      <c r="A187" s="374" t="s">
        <v>939</v>
      </c>
      <c r="B187" s="372" t="s">
        <v>695</v>
      </c>
      <c r="C187" s="225" t="s">
        <v>659</v>
      </c>
      <c r="D187" s="184" t="s">
        <v>755</v>
      </c>
      <c r="E187" s="227"/>
      <c r="F187" s="228"/>
      <c r="G187" s="389">
        <v>192</v>
      </c>
      <c r="H187" s="137" t="s">
        <v>766</v>
      </c>
      <c r="I187" s="309">
        <v>0</v>
      </c>
      <c r="J187" s="308">
        <v>0</v>
      </c>
      <c r="K187" s="138">
        <f t="shared" si="6"/>
        <v>0</v>
      </c>
      <c r="L187" s="212">
        <f t="shared" si="7"/>
        <v>0</v>
      </c>
      <c r="N187" s="116"/>
    </row>
    <row r="188" spans="1:14" s="118" customFormat="1" outlineLevel="1" x14ac:dyDescent="0.3">
      <c r="A188" s="374" t="s">
        <v>936</v>
      </c>
      <c r="B188" s="372" t="s">
        <v>696</v>
      </c>
      <c r="C188" s="225" t="s">
        <v>787</v>
      </c>
      <c r="D188" s="184" t="s">
        <v>755</v>
      </c>
      <c r="E188" s="227"/>
      <c r="F188" s="228"/>
      <c r="G188" s="389">
        <v>4500</v>
      </c>
      <c r="H188" s="137" t="s">
        <v>766</v>
      </c>
      <c r="I188" s="309">
        <v>0</v>
      </c>
      <c r="J188" s="308">
        <v>0</v>
      </c>
      <c r="K188" s="138">
        <f t="shared" si="6"/>
        <v>0</v>
      </c>
      <c r="L188" s="212">
        <f t="shared" si="7"/>
        <v>0</v>
      </c>
      <c r="N188" s="116"/>
    </row>
    <row r="189" spans="1:14" s="118" customFormat="1" outlineLevel="1" x14ac:dyDescent="0.3">
      <c r="A189" s="374" t="s">
        <v>934</v>
      </c>
      <c r="B189" s="372" t="s">
        <v>697</v>
      </c>
      <c r="C189" s="225" t="s">
        <v>788</v>
      </c>
      <c r="D189" s="184" t="s">
        <v>755</v>
      </c>
      <c r="E189" s="227"/>
      <c r="F189" s="228"/>
      <c r="G189" s="389">
        <v>3000</v>
      </c>
      <c r="H189" s="137" t="s">
        <v>766</v>
      </c>
      <c r="I189" s="309">
        <v>0</v>
      </c>
      <c r="J189" s="308">
        <v>0</v>
      </c>
      <c r="K189" s="138">
        <f t="shared" si="6"/>
        <v>0</v>
      </c>
      <c r="L189" s="212">
        <f t="shared" si="7"/>
        <v>0</v>
      </c>
      <c r="N189" s="116"/>
    </row>
    <row r="190" spans="1:14" s="118" customFormat="1" outlineLevel="1" x14ac:dyDescent="0.3">
      <c r="A190" s="374" t="s">
        <v>935</v>
      </c>
      <c r="B190" s="372" t="s">
        <v>698</v>
      </c>
      <c r="C190" s="225" t="s">
        <v>789</v>
      </c>
      <c r="D190" s="184" t="s">
        <v>755</v>
      </c>
      <c r="E190" s="227"/>
      <c r="F190" s="228"/>
      <c r="G190" s="389">
        <v>1500</v>
      </c>
      <c r="H190" s="137" t="s">
        <v>766</v>
      </c>
      <c r="I190" s="309">
        <v>0</v>
      </c>
      <c r="J190" s="308">
        <v>0</v>
      </c>
      <c r="K190" s="138">
        <f t="shared" si="6"/>
        <v>0</v>
      </c>
      <c r="L190" s="212">
        <f t="shared" si="7"/>
        <v>0</v>
      </c>
      <c r="N190" s="116"/>
    </row>
    <row r="191" spans="1:14" s="118" customFormat="1" outlineLevel="1" x14ac:dyDescent="0.3">
      <c r="A191" s="371"/>
      <c r="B191" s="211" t="s">
        <v>699</v>
      </c>
      <c r="C191" s="225"/>
      <c r="D191" s="184"/>
      <c r="E191" s="227"/>
      <c r="F191" s="228"/>
      <c r="G191" s="229"/>
      <c r="H191" s="137"/>
      <c r="I191" s="309"/>
      <c r="J191" s="308"/>
      <c r="K191" s="138"/>
      <c r="L191" s="212"/>
      <c r="N191" s="116"/>
    </row>
    <row r="192" spans="1:14" s="118" customFormat="1" x14ac:dyDescent="0.3">
      <c r="A192" s="371"/>
      <c r="B192" s="213"/>
      <c r="C192" s="139"/>
      <c r="D192" s="183"/>
      <c r="E192" s="111"/>
      <c r="F192" s="140"/>
      <c r="G192" s="141"/>
      <c r="H192" s="142"/>
      <c r="I192" s="143"/>
      <c r="J192" s="144"/>
      <c r="K192" s="145">
        <f>SUM(K132:K191)</f>
        <v>0</v>
      </c>
      <c r="L192" s="214">
        <f>SUM(L132:L191)</f>
        <v>0</v>
      </c>
      <c r="N192" s="116"/>
    </row>
    <row r="193" spans="1:14" s="118" customFormat="1" ht="40.950000000000003" customHeight="1" outlineLevel="1" x14ac:dyDescent="0.25">
      <c r="A193" s="379" t="s">
        <v>880</v>
      </c>
      <c r="B193" s="240" t="s">
        <v>327</v>
      </c>
      <c r="C193" s="311" t="s">
        <v>860</v>
      </c>
      <c r="D193" s="184"/>
      <c r="E193" s="227"/>
      <c r="F193" s="228"/>
      <c r="G193" s="229"/>
      <c r="H193" s="137"/>
      <c r="I193" s="316"/>
      <c r="J193" s="317"/>
      <c r="K193" s="138"/>
      <c r="L193" s="212"/>
      <c r="N193" s="116"/>
    </row>
    <row r="194" spans="1:14" s="118" customFormat="1" outlineLevel="1" x14ac:dyDescent="0.3">
      <c r="A194" s="374" t="s">
        <v>940</v>
      </c>
      <c r="B194" s="372" t="s">
        <v>328</v>
      </c>
      <c r="C194" s="225" t="s">
        <v>790</v>
      </c>
      <c r="D194" s="184" t="s">
        <v>755</v>
      </c>
      <c r="E194" s="227"/>
      <c r="F194" s="228"/>
      <c r="G194" s="394">
        <v>614</v>
      </c>
      <c r="H194" s="137" t="s">
        <v>766</v>
      </c>
      <c r="I194" s="309">
        <v>0</v>
      </c>
      <c r="J194" s="308">
        <v>0</v>
      </c>
      <c r="K194" s="138">
        <f t="shared" si="6"/>
        <v>0</v>
      </c>
      <c r="L194" s="212">
        <f t="shared" si="7"/>
        <v>0</v>
      </c>
      <c r="N194" s="116"/>
    </row>
    <row r="195" spans="1:14" s="118" customFormat="1" outlineLevel="1" x14ac:dyDescent="0.3">
      <c r="A195" s="374" t="s">
        <v>941</v>
      </c>
      <c r="B195" s="372" t="s">
        <v>329</v>
      </c>
      <c r="C195" s="225" t="s">
        <v>791</v>
      </c>
      <c r="D195" s="184" t="s">
        <v>755</v>
      </c>
      <c r="E195" s="227"/>
      <c r="F195" s="228"/>
      <c r="G195" s="394">
        <v>50</v>
      </c>
      <c r="H195" s="137" t="s">
        <v>766</v>
      </c>
      <c r="I195" s="309">
        <v>0</v>
      </c>
      <c r="J195" s="308">
        <v>0</v>
      </c>
      <c r="K195" s="138">
        <f t="shared" si="6"/>
        <v>0</v>
      </c>
      <c r="L195" s="212">
        <f t="shared" si="7"/>
        <v>0</v>
      </c>
      <c r="N195" s="116"/>
    </row>
    <row r="196" spans="1:14" s="118" customFormat="1" outlineLevel="1" x14ac:dyDescent="0.3">
      <c r="A196" s="374" t="s">
        <v>942</v>
      </c>
      <c r="B196" s="372" t="s">
        <v>330</v>
      </c>
      <c r="C196" s="225" t="s">
        <v>792</v>
      </c>
      <c r="D196" s="184" t="s">
        <v>755</v>
      </c>
      <c r="E196" s="227"/>
      <c r="F196" s="228"/>
      <c r="G196" s="394">
        <v>300</v>
      </c>
      <c r="H196" s="137" t="s">
        <v>766</v>
      </c>
      <c r="I196" s="309">
        <v>0</v>
      </c>
      <c r="J196" s="308">
        <v>0</v>
      </c>
      <c r="K196" s="138">
        <f t="shared" ref="K196:K223" si="8">G196*I196</f>
        <v>0</v>
      </c>
      <c r="L196" s="212">
        <f t="shared" ref="L196:L223" si="9">G196*J196</f>
        <v>0</v>
      </c>
      <c r="N196" s="116"/>
    </row>
    <row r="197" spans="1:14" s="118" customFormat="1" outlineLevel="1" x14ac:dyDescent="0.3">
      <c r="A197" s="374" t="s">
        <v>943</v>
      </c>
      <c r="B197" s="372" t="s">
        <v>331</v>
      </c>
      <c r="C197" s="225" t="s">
        <v>793</v>
      </c>
      <c r="D197" s="184" t="s">
        <v>755</v>
      </c>
      <c r="E197" s="227"/>
      <c r="F197" s="228"/>
      <c r="G197" s="394">
        <v>50</v>
      </c>
      <c r="H197" s="137" t="s">
        <v>766</v>
      </c>
      <c r="I197" s="309">
        <v>0</v>
      </c>
      <c r="J197" s="308">
        <v>0</v>
      </c>
      <c r="K197" s="138">
        <f t="shared" si="8"/>
        <v>0</v>
      </c>
      <c r="L197" s="212">
        <f t="shared" si="9"/>
        <v>0</v>
      </c>
      <c r="N197" s="116"/>
    </row>
    <row r="198" spans="1:14" s="118" customFormat="1" outlineLevel="1" x14ac:dyDescent="0.3">
      <c r="A198" s="374" t="s">
        <v>944</v>
      </c>
      <c r="B198" s="372" t="s">
        <v>332</v>
      </c>
      <c r="C198" s="225" t="s">
        <v>794</v>
      </c>
      <c r="D198" s="184" t="s">
        <v>755</v>
      </c>
      <c r="E198" s="227"/>
      <c r="F198" s="228"/>
      <c r="G198" s="394">
        <v>150</v>
      </c>
      <c r="H198" s="137" t="s">
        <v>766</v>
      </c>
      <c r="I198" s="309">
        <v>0</v>
      </c>
      <c r="J198" s="308">
        <v>0</v>
      </c>
      <c r="K198" s="138">
        <f t="shared" si="8"/>
        <v>0</v>
      </c>
      <c r="L198" s="212">
        <f t="shared" si="9"/>
        <v>0</v>
      </c>
      <c r="N198" s="116"/>
    </row>
    <row r="199" spans="1:14" s="118" customFormat="1" outlineLevel="1" x14ac:dyDescent="0.3">
      <c r="A199" s="374" t="s">
        <v>945</v>
      </c>
      <c r="B199" s="372" t="s">
        <v>333</v>
      </c>
      <c r="C199" s="225" t="s">
        <v>795</v>
      </c>
      <c r="D199" s="184" t="s">
        <v>755</v>
      </c>
      <c r="E199" s="227"/>
      <c r="F199" s="228"/>
      <c r="G199" s="394">
        <v>307</v>
      </c>
      <c r="H199" s="137" t="s">
        <v>766</v>
      </c>
      <c r="I199" s="309">
        <v>0</v>
      </c>
      <c r="J199" s="308">
        <v>0</v>
      </c>
      <c r="K199" s="138">
        <f t="shared" si="8"/>
        <v>0</v>
      </c>
      <c r="L199" s="212">
        <f t="shared" si="9"/>
        <v>0</v>
      </c>
      <c r="N199" s="116"/>
    </row>
    <row r="200" spans="1:14" s="118" customFormat="1" outlineLevel="1" x14ac:dyDescent="0.3">
      <c r="A200" s="374" t="s">
        <v>946</v>
      </c>
      <c r="B200" s="372" t="s">
        <v>334</v>
      </c>
      <c r="C200" s="225" t="s">
        <v>796</v>
      </c>
      <c r="D200" s="184" t="s">
        <v>755</v>
      </c>
      <c r="E200" s="227"/>
      <c r="F200" s="228"/>
      <c r="G200" s="394">
        <v>1014</v>
      </c>
      <c r="H200" s="137" t="s">
        <v>766</v>
      </c>
      <c r="I200" s="309">
        <v>0</v>
      </c>
      <c r="J200" s="308">
        <v>0</v>
      </c>
      <c r="K200" s="138">
        <f t="shared" si="8"/>
        <v>0</v>
      </c>
      <c r="L200" s="212">
        <f t="shared" si="9"/>
        <v>0</v>
      </c>
      <c r="N200" s="116"/>
    </row>
    <row r="201" spans="1:14" s="118" customFormat="1" outlineLevel="1" x14ac:dyDescent="0.3">
      <c r="A201" s="374" t="s">
        <v>947</v>
      </c>
      <c r="B201" s="372" t="s">
        <v>335</v>
      </c>
      <c r="C201" s="225" t="s">
        <v>797</v>
      </c>
      <c r="D201" s="184" t="s">
        <v>755</v>
      </c>
      <c r="E201" s="227"/>
      <c r="F201" s="228"/>
      <c r="G201" s="394">
        <v>5</v>
      </c>
      <c r="H201" s="137" t="s">
        <v>766</v>
      </c>
      <c r="I201" s="309">
        <v>0</v>
      </c>
      <c r="J201" s="308">
        <v>0</v>
      </c>
      <c r="K201" s="138">
        <f t="shared" si="8"/>
        <v>0</v>
      </c>
      <c r="L201" s="212">
        <f t="shared" si="9"/>
        <v>0</v>
      </c>
      <c r="N201" s="116"/>
    </row>
    <row r="202" spans="1:14" s="118" customFormat="1" outlineLevel="1" x14ac:dyDescent="0.3">
      <c r="A202" s="374" t="s">
        <v>948</v>
      </c>
      <c r="B202" s="372" t="s">
        <v>336</v>
      </c>
      <c r="C202" s="225" t="s">
        <v>798</v>
      </c>
      <c r="D202" s="184" t="s">
        <v>755</v>
      </c>
      <c r="E202" s="227"/>
      <c r="F202" s="228"/>
      <c r="G202" s="394">
        <v>31</v>
      </c>
      <c r="H202" s="137" t="s">
        <v>766</v>
      </c>
      <c r="I202" s="309">
        <v>0</v>
      </c>
      <c r="J202" s="308">
        <v>0</v>
      </c>
      <c r="K202" s="138">
        <f t="shared" si="8"/>
        <v>0</v>
      </c>
      <c r="L202" s="212">
        <f t="shared" si="9"/>
        <v>0</v>
      </c>
      <c r="N202" s="116"/>
    </row>
    <row r="203" spans="1:14" s="118" customFormat="1" outlineLevel="1" x14ac:dyDescent="0.3">
      <c r="A203" s="374" t="s">
        <v>949</v>
      </c>
      <c r="B203" s="372" t="s">
        <v>337</v>
      </c>
      <c r="C203" s="225" t="s">
        <v>799</v>
      </c>
      <c r="D203" s="184" t="s">
        <v>755</v>
      </c>
      <c r="E203" s="227"/>
      <c r="F203" s="228"/>
      <c r="G203" s="394">
        <v>15</v>
      </c>
      <c r="H203" s="137" t="s">
        <v>766</v>
      </c>
      <c r="I203" s="309">
        <v>0</v>
      </c>
      <c r="J203" s="308">
        <v>0</v>
      </c>
      <c r="K203" s="138">
        <f t="shared" si="8"/>
        <v>0</v>
      </c>
      <c r="L203" s="212">
        <f t="shared" si="9"/>
        <v>0</v>
      </c>
      <c r="N203" s="116"/>
    </row>
    <row r="204" spans="1:14" s="118" customFormat="1" outlineLevel="1" x14ac:dyDescent="0.3">
      <c r="A204" s="374" t="s">
        <v>950</v>
      </c>
      <c r="B204" s="372" t="s">
        <v>423</v>
      </c>
      <c r="C204" s="225" t="s">
        <v>800</v>
      </c>
      <c r="D204" s="184" t="s">
        <v>755</v>
      </c>
      <c r="E204" s="227"/>
      <c r="F204" s="228"/>
      <c r="G204" s="394">
        <v>5</v>
      </c>
      <c r="H204" s="137" t="s">
        <v>766</v>
      </c>
      <c r="I204" s="309">
        <v>0</v>
      </c>
      <c r="J204" s="308">
        <v>0</v>
      </c>
      <c r="K204" s="138">
        <f t="shared" si="8"/>
        <v>0</v>
      </c>
      <c r="L204" s="212">
        <f t="shared" si="9"/>
        <v>0</v>
      </c>
      <c r="N204" s="116"/>
    </row>
    <row r="205" spans="1:14" s="118" customFormat="1" outlineLevel="1" x14ac:dyDescent="0.3">
      <c r="A205" s="374" t="s">
        <v>951</v>
      </c>
      <c r="B205" s="372" t="s">
        <v>424</v>
      </c>
      <c r="C205" s="225" t="s">
        <v>801</v>
      </c>
      <c r="D205" s="184" t="s">
        <v>755</v>
      </c>
      <c r="E205" s="227"/>
      <c r="F205" s="228"/>
      <c r="G205" s="394">
        <v>31</v>
      </c>
      <c r="H205" s="137" t="s">
        <v>766</v>
      </c>
      <c r="I205" s="309">
        <v>0</v>
      </c>
      <c r="J205" s="308">
        <v>0</v>
      </c>
      <c r="K205" s="138">
        <f t="shared" si="8"/>
        <v>0</v>
      </c>
      <c r="L205" s="212">
        <f t="shared" si="9"/>
        <v>0</v>
      </c>
      <c r="N205" s="116"/>
    </row>
    <row r="206" spans="1:14" s="118" customFormat="1" outlineLevel="1" x14ac:dyDescent="0.3">
      <c r="A206" s="374" t="s">
        <v>952</v>
      </c>
      <c r="B206" s="372" t="s">
        <v>425</v>
      </c>
      <c r="C206" s="225" t="s">
        <v>802</v>
      </c>
      <c r="D206" s="184" t="s">
        <v>755</v>
      </c>
      <c r="E206" s="227"/>
      <c r="F206" s="228"/>
      <c r="G206" s="394">
        <v>15</v>
      </c>
      <c r="H206" s="137" t="s">
        <v>766</v>
      </c>
      <c r="I206" s="309">
        <v>0</v>
      </c>
      <c r="J206" s="308">
        <v>0</v>
      </c>
      <c r="K206" s="138">
        <f t="shared" si="8"/>
        <v>0</v>
      </c>
      <c r="L206" s="212">
        <f t="shared" si="9"/>
        <v>0</v>
      </c>
      <c r="N206" s="116"/>
    </row>
    <row r="207" spans="1:14" s="118" customFormat="1" outlineLevel="1" x14ac:dyDescent="0.3">
      <c r="A207" s="374" t="s">
        <v>953</v>
      </c>
      <c r="B207" s="372" t="s">
        <v>426</v>
      </c>
      <c r="C207" s="225" t="s">
        <v>803</v>
      </c>
      <c r="D207" s="184" t="s">
        <v>755</v>
      </c>
      <c r="E207" s="227"/>
      <c r="F207" s="228"/>
      <c r="G207" s="394">
        <v>964</v>
      </c>
      <c r="H207" s="137" t="s">
        <v>766</v>
      </c>
      <c r="I207" s="309">
        <v>0</v>
      </c>
      <c r="J207" s="308">
        <v>0</v>
      </c>
      <c r="K207" s="138">
        <f t="shared" si="8"/>
        <v>0</v>
      </c>
      <c r="L207" s="212">
        <f t="shared" si="9"/>
        <v>0</v>
      </c>
      <c r="N207" s="116"/>
    </row>
    <row r="208" spans="1:14" s="118" customFormat="1" outlineLevel="1" x14ac:dyDescent="0.3">
      <c r="A208" s="374" t="s">
        <v>954</v>
      </c>
      <c r="B208" s="372" t="s">
        <v>427</v>
      </c>
      <c r="C208" s="225" t="s">
        <v>804</v>
      </c>
      <c r="D208" s="184" t="s">
        <v>755</v>
      </c>
      <c r="E208" s="227"/>
      <c r="F208" s="228"/>
      <c r="G208" s="394">
        <v>1014</v>
      </c>
      <c r="H208" s="137" t="s">
        <v>766</v>
      </c>
      <c r="I208" s="309">
        <v>0</v>
      </c>
      <c r="J208" s="308">
        <v>0</v>
      </c>
      <c r="K208" s="138">
        <f t="shared" si="8"/>
        <v>0</v>
      </c>
      <c r="L208" s="212">
        <f t="shared" si="9"/>
        <v>0</v>
      </c>
      <c r="N208" s="116"/>
    </row>
    <row r="209" spans="1:14" s="118" customFormat="1" outlineLevel="1" x14ac:dyDescent="0.3">
      <c r="A209" s="374" t="s">
        <v>955</v>
      </c>
      <c r="B209" s="372" t="s">
        <v>435</v>
      </c>
      <c r="C209" s="225" t="s">
        <v>805</v>
      </c>
      <c r="D209" s="184" t="s">
        <v>755</v>
      </c>
      <c r="E209" s="227"/>
      <c r="F209" s="228"/>
      <c r="G209" s="394">
        <v>15</v>
      </c>
      <c r="H209" s="137" t="s">
        <v>766</v>
      </c>
      <c r="I209" s="309">
        <v>0</v>
      </c>
      <c r="J209" s="308">
        <v>0</v>
      </c>
      <c r="K209" s="138">
        <f t="shared" si="8"/>
        <v>0</v>
      </c>
      <c r="L209" s="212">
        <f t="shared" si="9"/>
        <v>0</v>
      </c>
      <c r="N209" s="116"/>
    </row>
    <row r="210" spans="1:14" s="118" customFormat="1" outlineLevel="1" x14ac:dyDescent="0.3">
      <c r="A210" s="374" t="s">
        <v>956</v>
      </c>
      <c r="B210" s="372" t="s">
        <v>436</v>
      </c>
      <c r="C210" s="225" t="s">
        <v>806</v>
      </c>
      <c r="D210" s="184" t="s">
        <v>755</v>
      </c>
      <c r="E210" s="227"/>
      <c r="F210" s="228"/>
      <c r="G210" s="394">
        <v>15</v>
      </c>
      <c r="H210" s="137" t="s">
        <v>766</v>
      </c>
      <c r="I210" s="309">
        <v>0</v>
      </c>
      <c r="J210" s="308">
        <v>0</v>
      </c>
      <c r="K210" s="138">
        <f t="shared" si="8"/>
        <v>0</v>
      </c>
      <c r="L210" s="212">
        <f t="shared" si="9"/>
        <v>0</v>
      </c>
      <c r="N210" s="116"/>
    </row>
    <row r="211" spans="1:14" s="118" customFormat="1" outlineLevel="1" x14ac:dyDescent="0.3">
      <c r="A211" s="374" t="s">
        <v>957</v>
      </c>
      <c r="B211" s="372" t="s">
        <v>437</v>
      </c>
      <c r="C211" s="225" t="s">
        <v>807</v>
      </c>
      <c r="D211" s="184" t="s">
        <v>755</v>
      </c>
      <c r="E211" s="227"/>
      <c r="F211" s="228"/>
      <c r="G211" s="394">
        <v>31</v>
      </c>
      <c r="H211" s="137" t="s">
        <v>766</v>
      </c>
      <c r="I211" s="309">
        <v>0</v>
      </c>
      <c r="J211" s="308">
        <v>0</v>
      </c>
      <c r="K211" s="138">
        <f t="shared" si="8"/>
        <v>0</v>
      </c>
      <c r="L211" s="212">
        <f t="shared" si="9"/>
        <v>0</v>
      </c>
      <c r="N211" s="116"/>
    </row>
    <row r="212" spans="1:14" s="118" customFormat="1" outlineLevel="1" x14ac:dyDescent="0.3">
      <c r="A212" s="374" t="s">
        <v>958</v>
      </c>
      <c r="B212" s="372" t="s">
        <v>438</v>
      </c>
      <c r="C212" s="225" t="s">
        <v>808</v>
      </c>
      <c r="D212" s="184" t="s">
        <v>755</v>
      </c>
      <c r="E212" s="227"/>
      <c r="F212" s="228"/>
      <c r="G212" s="394">
        <v>31</v>
      </c>
      <c r="H212" s="137" t="s">
        <v>766</v>
      </c>
      <c r="I212" s="309">
        <v>0</v>
      </c>
      <c r="J212" s="308">
        <v>0</v>
      </c>
      <c r="K212" s="138">
        <f t="shared" si="8"/>
        <v>0</v>
      </c>
      <c r="L212" s="212">
        <f t="shared" si="9"/>
        <v>0</v>
      </c>
      <c r="N212" s="116"/>
    </row>
    <row r="213" spans="1:14" s="118" customFormat="1" outlineLevel="1" x14ac:dyDescent="0.3">
      <c r="A213" s="374" t="s">
        <v>959</v>
      </c>
      <c r="B213" s="372" t="s">
        <v>439</v>
      </c>
      <c r="C213" s="225" t="s">
        <v>809</v>
      </c>
      <c r="D213" s="184" t="s">
        <v>755</v>
      </c>
      <c r="E213" s="227"/>
      <c r="F213" s="228"/>
      <c r="G213" s="394">
        <v>51</v>
      </c>
      <c r="H213" s="137" t="s">
        <v>766</v>
      </c>
      <c r="I213" s="309">
        <v>0</v>
      </c>
      <c r="J213" s="308">
        <v>0</v>
      </c>
      <c r="K213" s="138">
        <f t="shared" si="8"/>
        <v>0</v>
      </c>
      <c r="L213" s="212">
        <f t="shared" si="9"/>
        <v>0</v>
      </c>
      <c r="N213" s="116"/>
    </row>
    <row r="214" spans="1:14" s="118" customFormat="1" outlineLevel="1" x14ac:dyDescent="0.3">
      <c r="A214" s="374" t="s">
        <v>960</v>
      </c>
      <c r="B214" s="372" t="s">
        <v>479</v>
      </c>
      <c r="C214" s="225" t="s">
        <v>810</v>
      </c>
      <c r="D214" s="184" t="s">
        <v>755</v>
      </c>
      <c r="E214" s="227"/>
      <c r="F214" s="228"/>
      <c r="G214" s="394">
        <v>15</v>
      </c>
      <c r="H214" s="137" t="s">
        <v>766</v>
      </c>
      <c r="I214" s="309">
        <v>0</v>
      </c>
      <c r="J214" s="308">
        <v>0</v>
      </c>
      <c r="K214" s="138">
        <f t="shared" si="8"/>
        <v>0</v>
      </c>
      <c r="L214" s="212">
        <f t="shared" si="9"/>
        <v>0</v>
      </c>
      <c r="N214" s="116"/>
    </row>
    <row r="215" spans="1:14" s="118" customFormat="1" outlineLevel="1" x14ac:dyDescent="0.3">
      <c r="A215" s="374" t="s">
        <v>961</v>
      </c>
      <c r="B215" s="372" t="s">
        <v>480</v>
      </c>
      <c r="C215" s="225" t="s">
        <v>811</v>
      </c>
      <c r="D215" s="184" t="s">
        <v>755</v>
      </c>
      <c r="E215" s="227"/>
      <c r="F215" s="228"/>
      <c r="G215" s="394">
        <v>31</v>
      </c>
      <c r="H215" s="137" t="s">
        <v>766</v>
      </c>
      <c r="I215" s="309">
        <v>0</v>
      </c>
      <c r="J215" s="308">
        <v>0</v>
      </c>
      <c r="K215" s="138">
        <f t="shared" si="8"/>
        <v>0</v>
      </c>
      <c r="L215" s="212">
        <f t="shared" si="9"/>
        <v>0</v>
      </c>
      <c r="N215" s="116"/>
    </row>
    <row r="216" spans="1:14" s="118" customFormat="1" outlineLevel="1" x14ac:dyDescent="0.3">
      <c r="A216" s="374" t="s">
        <v>962</v>
      </c>
      <c r="B216" s="372" t="s">
        <v>481</v>
      </c>
      <c r="C216" s="225" t="s">
        <v>812</v>
      </c>
      <c r="D216" s="184" t="s">
        <v>755</v>
      </c>
      <c r="E216" s="227"/>
      <c r="F216" s="228"/>
      <c r="G216" s="394">
        <v>5</v>
      </c>
      <c r="H216" s="137" t="s">
        <v>766</v>
      </c>
      <c r="I216" s="309">
        <v>0</v>
      </c>
      <c r="J216" s="308">
        <v>0</v>
      </c>
      <c r="K216" s="138">
        <f t="shared" si="8"/>
        <v>0</v>
      </c>
      <c r="L216" s="212">
        <f t="shared" si="9"/>
        <v>0</v>
      </c>
      <c r="N216" s="116"/>
    </row>
    <row r="217" spans="1:14" s="118" customFormat="1" ht="13.8" outlineLevel="1" x14ac:dyDescent="0.25">
      <c r="A217" s="348"/>
      <c r="B217" s="211" t="s">
        <v>482</v>
      </c>
      <c r="C217" s="225"/>
      <c r="D217" s="184"/>
      <c r="E217" s="227"/>
      <c r="F217" s="228"/>
      <c r="G217" s="391"/>
      <c r="H217" s="137" t="s">
        <v>766</v>
      </c>
      <c r="I217" s="309">
        <v>0</v>
      </c>
      <c r="J217" s="308">
        <v>0</v>
      </c>
      <c r="K217" s="138">
        <f t="shared" si="8"/>
        <v>0</v>
      </c>
      <c r="L217" s="212">
        <f t="shared" si="9"/>
        <v>0</v>
      </c>
      <c r="N217" s="116"/>
    </row>
    <row r="218" spans="1:14" s="118" customFormat="1" ht="13.8" outlineLevel="1" x14ac:dyDescent="0.25">
      <c r="A218" s="348"/>
      <c r="B218" s="211" t="s">
        <v>483</v>
      </c>
      <c r="C218" s="225"/>
      <c r="D218" s="184"/>
      <c r="E218" s="227"/>
      <c r="F218" s="228"/>
      <c r="G218" s="391"/>
      <c r="H218" s="137" t="s">
        <v>766</v>
      </c>
      <c r="I218" s="309">
        <v>0</v>
      </c>
      <c r="J218" s="308">
        <v>0</v>
      </c>
      <c r="K218" s="138">
        <f t="shared" si="8"/>
        <v>0</v>
      </c>
      <c r="L218" s="212">
        <f t="shared" si="9"/>
        <v>0</v>
      </c>
      <c r="N218" s="116"/>
    </row>
    <row r="219" spans="1:14" ht="13.8" outlineLevel="1" x14ac:dyDescent="0.25">
      <c r="A219" s="348"/>
      <c r="B219" s="211" t="s">
        <v>484</v>
      </c>
      <c r="C219" s="225"/>
      <c r="D219" s="184"/>
      <c r="E219" s="227"/>
      <c r="F219" s="228"/>
      <c r="G219" s="391"/>
      <c r="H219" s="137" t="s">
        <v>766</v>
      </c>
      <c r="I219" s="309">
        <v>0</v>
      </c>
      <c r="J219" s="308">
        <v>0</v>
      </c>
      <c r="K219" s="138">
        <f t="shared" si="8"/>
        <v>0</v>
      </c>
      <c r="L219" s="212">
        <f t="shared" si="9"/>
        <v>0</v>
      </c>
    </row>
    <row r="220" spans="1:14" ht="13.8" outlineLevel="1" x14ac:dyDescent="0.25">
      <c r="A220" s="348"/>
      <c r="B220" s="211" t="s">
        <v>485</v>
      </c>
      <c r="C220" s="225"/>
      <c r="D220" s="184"/>
      <c r="E220" s="227"/>
      <c r="F220" s="228"/>
      <c r="G220" s="229"/>
      <c r="H220" s="137" t="s">
        <v>766</v>
      </c>
      <c r="I220" s="309">
        <v>0</v>
      </c>
      <c r="J220" s="308">
        <v>0</v>
      </c>
      <c r="K220" s="138">
        <f t="shared" si="8"/>
        <v>0</v>
      </c>
      <c r="L220" s="212">
        <f t="shared" si="9"/>
        <v>0</v>
      </c>
    </row>
    <row r="221" spans="1:14" ht="13.8" outlineLevel="1" x14ac:dyDescent="0.25">
      <c r="A221" s="348"/>
      <c r="B221" s="211" t="s">
        <v>486</v>
      </c>
      <c r="C221" s="225"/>
      <c r="D221" s="184"/>
      <c r="E221" s="227"/>
      <c r="F221" s="228"/>
      <c r="G221" s="229"/>
      <c r="H221" s="137" t="s">
        <v>766</v>
      </c>
      <c r="I221" s="309">
        <v>0</v>
      </c>
      <c r="J221" s="308">
        <v>0</v>
      </c>
      <c r="K221" s="138">
        <f t="shared" si="8"/>
        <v>0</v>
      </c>
      <c r="L221" s="212">
        <f t="shared" si="9"/>
        <v>0</v>
      </c>
    </row>
    <row r="222" spans="1:14" ht="13.8" outlineLevel="1" x14ac:dyDescent="0.25">
      <c r="A222" s="348"/>
      <c r="B222" s="211" t="s">
        <v>487</v>
      </c>
      <c r="C222" s="225"/>
      <c r="D222" s="184"/>
      <c r="E222" s="227"/>
      <c r="F222" s="228"/>
      <c r="G222" s="229"/>
      <c r="H222" s="137" t="s">
        <v>766</v>
      </c>
      <c r="I222" s="309">
        <v>0</v>
      </c>
      <c r="J222" s="308">
        <v>0</v>
      </c>
      <c r="K222" s="138">
        <f t="shared" si="8"/>
        <v>0</v>
      </c>
      <c r="L222" s="212">
        <f t="shared" si="9"/>
        <v>0</v>
      </c>
    </row>
    <row r="223" spans="1:14" ht="13.8" outlineLevel="1" x14ac:dyDescent="0.25">
      <c r="A223" s="348"/>
      <c r="B223" s="211" t="s">
        <v>488</v>
      </c>
      <c r="C223" s="225"/>
      <c r="D223" s="184"/>
      <c r="E223" s="227"/>
      <c r="F223" s="228"/>
      <c r="G223" s="229"/>
      <c r="H223" s="137" t="s">
        <v>766</v>
      </c>
      <c r="I223" s="309">
        <v>0</v>
      </c>
      <c r="J223" s="308">
        <v>0</v>
      </c>
      <c r="K223" s="138">
        <f t="shared" si="8"/>
        <v>0</v>
      </c>
      <c r="L223" s="212">
        <f t="shared" si="9"/>
        <v>0</v>
      </c>
    </row>
    <row r="224" spans="1:14" ht="13.8" x14ac:dyDescent="0.25">
      <c r="A224" s="348"/>
      <c r="B224" s="213"/>
      <c r="C224" s="139"/>
      <c r="D224" s="183"/>
      <c r="E224" s="111"/>
      <c r="F224" s="140"/>
      <c r="G224" s="141"/>
      <c r="H224" s="142"/>
      <c r="I224" s="143"/>
      <c r="J224" s="144"/>
      <c r="K224" s="145">
        <f>SUM(K194:K223)</f>
        <v>0</v>
      </c>
      <c r="L224" s="214">
        <f>SUM(L194:L223)</f>
        <v>0</v>
      </c>
    </row>
    <row r="225" spans="1:14" s="121" customFormat="1" ht="33.75" customHeight="1" x14ac:dyDescent="0.25">
      <c r="A225" s="379" t="s">
        <v>880</v>
      </c>
      <c r="B225" s="240" t="s">
        <v>338</v>
      </c>
      <c r="C225" s="311" t="s">
        <v>159</v>
      </c>
      <c r="D225" s="242"/>
      <c r="E225" s="243"/>
      <c r="F225" s="244"/>
      <c r="G225" s="245"/>
      <c r="H225" s="246"/>
      <c r="I225" s="247"/>
      <c r="J225" s="248"/>
      <c r="K225" s="249"/>
      <c r="L225" s="250"/>
      <c r="M225" s="118"/>
    </row>
    <row r="226" spans="1:14" outlineLevel="1" x14ac:dyDescent="0.3">
      <c r="A226" s="348"/>
      <c r="B226" s="211" t="s">
        <v>339</v>
      </c>
      <c r="C226" s="258" t="s">
        <v>357</v>
      </c>
      <c r="D226" s="182" t="s">
        <v>755</v>
      </c>
      <c r="E226" s="148" t="s">
        <v>718</v>
      </c>
      <c r="F226" s="136"/>
      <c r="G226" s="280"/>
      <c r="H226" s="137" t="s">
        <v>340</v>
      </c>
      <c r="I226" s="309">
        <v>0</v>
      </c>
      <c r="J226" s="308">
        <v>0</v>
      </c>
      <c r="K226" s="138">
        <f t="shared" ref="K226:K259" si="10">G226*I226</f>
        <v>0</v>
      </c>
      <c r="L226" s="212">
        <f t="shared" ref="L226:L275" si="11">G226*J226</f>
        <v>0</v>
      </c>
    </row>
    <row r="227" spans="1:14" outlineLevel="1" x14ac:dyDescent="0.3">
      <c r="A227" s="349" t="s">
        <v>573</v>
      </c>
      <c r="B227" s="211" t="s">
        <v>341</v>
      </c>
      <c r="C227" s="177" t="s">
        <v>358</v>
      </c>
      <c r="D227" s="182" t="s">
        <v>755</v>
      </c>
      <c r="E227" s="148" t="s">
        <v>710</v>
      </c>
      <c r="F227" s="136"/>
      <c r="G227" s="281">
        <v>900</v>
      </c>
      <c r="H227" s="137" t="s">
        <v>340</v>
      </c>
      <c r="I227" s="309">
        <v>0</v>
      </c>
      <c r="J227" s="308">
        <v>0</v>
      </c>
      <c r="K227" s="138">
        <f t="shared" si="10"/>
        <v>0</v>
      </c>
      <c r="L227" s="212">
        <f t="shared" si="11"/>
        <v>0</v>
      </c>
    </row>
    <row r="228" spans="1:14" outlineLevel="1" x14ac:dyDescent="0.3">
      <c r="A228" s="348"/>
      <c r="B228" s="211" t="s">
        <v>342</v>
      </c>
      <c r="C228" s="177" t="s">
        <v>739</v>
      </c>
      <c r="D228" s="182" t="s">
        <v>755</v>
      </c>
      <c r="E228" s="148" t="s">
        <v>713</v>
      </c>
      <c r="F228" s="136"/>
      <c r="G228" s="281"/>
      <c r="H228" s="137" t="s">
        <v>340</v>
      </c>
      <c r="I228" s="309">
        <v>0</v>
      </c>
      <c r="J228" s="308">
        <v>0</v>
      </c>
      <c r="K228" s="138">
        <f t="shared" si="10"/>
        <v>0</v>
      </c>
      <c r="L228" s="212">
        <f t="shared" si="11"/>
        <v>0</v>
      </c>
    </row>
    <row r="229" spans="1:14" outlineLevel="1" x14ac:dyDescent="0.3">
      <c r="A229" s="348"/>
      <c r="B229" s="211" t="s">
        <v>343</v>
      </c>
      <c r="C229" s="177" t="s">
        <v>738</v>
      </c>
      <c r="D229" s="182" t="s">
        <v>755</v>
      </c>
      <c r="E229" s="148" t="s">
        <v>714</v>
      </c>
      <c r="F229" s="136"/>
      <c r="G229" s="281"/>
      <c r="H229" s="137" t="s">
        <v>340</v>
      </c>
      <c r="I229" s="309">
        <v>0</v>
      </c>
      <c r="J229" s="308">
        <v>0</v>
      </c>
      <c r="K229" s="138">
        <f t="shared" si="10"/>
        <v>0</v>
      </c>
      <c r="L229" s="212">
        <f t="shared" si="11"/>
        <v>0</v>
      </c>
    </row>
    <row r="230" spans="1:14" outlineLevel="1" x14ac:dyDescent="0.3">
      <c r="A230" s="348"/>
      <c r="B230" s="211" t="s">
        <v>344</v>
      </c>
      <c r="C230" s="177" t="s">
        <v>737</v>
      </c>
      <c r="D230" s="182" t="s">
        <v>755</v>
      </c>
      <c r="E230" s="148" t="s">
        <v>715</v>
      </c>
      <c r="F230" s="136"/>
      <c r="G230" s="281"/>
      <c r="H230" s="137" t="s">
        <v>340</v>
      </c>
      <c r="I230" s="309">
        <v>0</v>
      </c>
      <c r="J230" s="308">
        <v>0</v>
      </c>
      <c r="K230" s="138">
        <f t="shared" si="10"/>
        <v>0</v>
      </c>
      <c r="L230" s="212">
        <f t="shared" si="11"/>
        <v>0</v>
      </c>
    </row>
    <row r="231" spans="1:14" outlineLevel="1" x14ac:dyDescent="0.3">
      <c r="A231" s="349" t="s">
        <v>564</v>
      </c>
      <c r="B231" s="211" t="s">
        <v>345</v>
      </c>
      <c r="C231" s="177" t="s">
        <v>736</v>
      </c>
      <c r="D231" s="182" t="s">
        <v>755</v>
      </c>
      <c r="E231" s="148" t="s">
        <v>711</v>
      </c>
      <c r="F231" s="136"/>
      <c r="G231" s="281">
        <v>400</v>
      </c>
      <c r="H231" s="137" t="s">
        <v>340</v>
      </c>
      <c r="I231" s="309">
        <v>0</v>
      </c>
      <c r="J231" s="308">
        <v>0</v>
      </c>
      <c r="K231" s="138">
        <f t="shared" si="10"/>
        <v>0</v>
      </c>
      <c r="L231" s="212">
        <f t="shared" si="11"/>
        <v>0</v>
      </c>
    </row>
    <row r="232" spans="1:14" outlineLevel="1" x14ac:dyDescent="0.3">
      <c r="A232" s="349" t="s">
        <v>566</v>
      </c>
      <c r="B232" s="211" t="s">
        <v>346</v>
      </c>
      <c r="C232" s="177" t="s">
        <v>735</v>
      </c>
      <c r="D232" s="182" t="s">
        <v>755</v>
      </c>
      <c r="E232" s="148" t="s">
        <v>712</v>
      </c>
      <c r="F232" s="136"/>
      <c r="G232" s="281">
        <v>100</v>
      </c>
      <c r="H232" s="137" t="s">
        <v>340</v>
      </c>
      <c r="I232" s="309">
        <v>0</v>
      </c>
      <c r="J232" s="308">
        <v>0</v>
      </c>
      <c r="K232" s="138">
        <f t="shared" si="10"/>
        <v>0</v>
      </c>
      <c r="L232" s="212">
        <f t="shared" si="11"/>
        <v>0</v>
      </c>
    </row>
    <row r="233" spans="1:14" outlineLevel="1" x14ac:dyDescent="0.3">
      <c r="A233" s="349" t="s">
        <v>567</v>
      </c>
      <c r="B233" s="211" t="s">
        <v>347</v>
      </c>
      <c r="C233" s="177" t="s">
        <v>734</v>
      </c>
      <c r="D233" s="182" t="s">
        <v>755</v>
      </c>
      <c r="E233" s="148" t="s">
        <v>712</v>
      </c>
      <c r="F233" s="136"/>
      <c r="G233" s="281">
        <v>400</v>
      </c>
      <c r="H233" s="137" t="s">
        <v>340</v>
      </c>
      <c r="I233" s="309">
        <v>0</v>
      </c>
      <c r="J233" s="308">
        <v>0</v>
      </c>
      <c r="K233" s="138">
        <f t="shared" si="10"/>
        <v>0</v>
      </c>
      <c r="L233" s="212">
        <f t="shared" si="11"/>
        <v>0</v>
      </c>
    </row>
    <row r="234" spans="1:14" outlineLevel="1" x14ac:dyDescent="0.3">
      <c r="A234" s="348"/>
      <c r="B234" s="211" t="s">
        <v>348</v>
      </c>
      <c r="C234" s="258" t="s">
        <v>740</v>
      </c>
      <c r="D234" s="182" t="s">
        <v>755</v>
      </c>
      <c r="E234" s="148" t="s">
        <v>716</v>
      </c>
      <c r="F234" s="136"/>
      <c r="G234" s="280"/>
      <c r="H234" s="137" t="s">
        <v>340</v>
      </c>
      <c r="I234" s="309">
        <v>0</v>
      </c>
      <c r="J234" s="308">
        <v>0</v>
      </c>
      <c r="K234" s="138">
        <f t="shared" si="10"/>
        <v>0</v>
      </c>
      <c r="L234" s="212">
        <f t="shared" si="11"/>
        <v>0</v>
      </c>
    </row>
    <row r="235" spans="1:14" s="118" customFormat="1" outlineLevel="1" x14ac:dyDescent="0.3">
      <c r="A235" s="349" t="s">
        <v>565</v>
      </c>
      <c r="B235" s="211" t="s">
        <v>349</v>
      </c>
      <c r="C235" s="177" t="s">
        <v>733</v>
      </c>
      <c r="D235" s="182" t="s">
        <v>755</v>
      </c>
      <c r="E235" s="148" t="s">
        <v>859</v>
      </c>
      <c r="F235" s="136"/>
      <c r="G235" s="281">
        <v>360</v>
      </c>
      <c r="H235" s="137" t="s">
        <v>340</v>
      </c>
      <c r="I235" s="309">
        <v>0</v>
      </c>
      <c r="J235" s="308">
        <v>0</v>
      </c>
      <c r="K235" s="138">
        <f t="shared" si="10"/>
        <v>0</v>
      </c>
      <c r="L235" s="212">
        <f t="shared" si="11"/>
        <v>0</v>
      </c>
      <c r="N235" s="116"/>
    </row>
    <row r="236" spans="1:14" s="118" customFormat="1" outlineLevel="1" x14ac:dyDescent="0.3">
      <c r="A236" s="349" t="s">
        <v>562</v>
      </c>
      <c r="B236" s="211" t="s">
        <v>813</v>
      </c>
      <c r="C236" s="177" t="s">
        <v>359</v>
      </c>
      <c r="D236" s="182" t="s">
        <v>755</v>
      </c>
      <c r="E236" s="257" t="s">
        <v>724</v>
      </c>
      <c r="F236" s="136"/>
      <c r="G236" s="281">
        <v>2130</v>
      </c>
      <c r="H236" s="137" t="s">
        <v>340</v>
      </c>
      <c r="I236" s="309">
        <v>0</v>
      </c>
      <c r="J236" s="308">
        <v>0</v>
      </c>
      <c r="K236" s="138">
        <f t="shared" si="10"/>
        <v>0</v>
      </c>
      <c r="L236" s="212">
        <f t="shared" si="11"/>
        <v>0</v>
      </c>
      <c r="N236" s="116"/>
    </row>
    <row r="237" spans="1:14" s="118" customFormat="1" outlineLevel="1" x14ac:dyDescent="0.3">
      <c r="A237" s="348"/>
      <c r="B237" s="211" t="s">
        <v>814</v>
      </c>
      <c r="C237" s="258" t="s">
        <v>360</v>
      </c>
      <c r="D237" s="182" t="s">
        <v>755</v>
      </c>
      <c r="E237" s="257" t="s">
        <v>725</v>
      </c>
      <c r="F237" s="136"/>
      <c r="G237" s="280"/>
      <c r="H237" s="137" t="s">
        <v>340</v>
      </c>
      <c r="I237" s="309">
        <v>0</v>
      </c>
      <c r="J237" s="308">
        <v>0</v>
      </c>
      <c r="K237" s="138">
        <f t="shared" si="10"/>
        <v>0</v>
      </c>
      <c r="L237" s="212">
        <f t="shared" si="11"/>
        <v>0</v>
      </c>
      <c r="N237" s="116"/>
    </row>
    <row r="238" spans="1:14" s="118" customFormat="1" outlineLevel="1" x14ac:dyDescent="0.3">
      <c r="A238" s="348"/>
      <c r="B238" s="211" t="s">
        <v>815</v>
      </c>
      <c r="C238" s="258" t="s">
        <v>361</v>
      </c>
      <c r="D238" s="182" t="s">
        <v>755</v>
      </c>
      <c r="E238" s="257" t="s">
        <v>726</v>
      </c>
      <c r="F238" s="136"/>
      <c r="G238" s="280"/>
      <c r="H238" s="137" t="s">
        <v>340</v>
      </c>
      <c r="I238" s="309">
        <v>0</v>
      </c>
      <c r="J238" s="308">
        <v>0</v>
      </c>
      <c r="K238" s="138">
        <f t="shared" si="10"/>
        <v>0</v>
      </c>
      <c r="L238" s="212">
        <f t="shared" si="11"/>
        <v>0</v>
      </c>
      <c r="N238" s="116"/>
    </row>
    <row r="239" spans="1:14" s="118" customFormat="1" outlineLevel="1" x14ac:dyDescent="0.3">
      <c r="A239" s="348"/>
      <c r="B239" s="211" t="s">
        <v>816</v>
      </c>
      <c r="C239" s="258" t="s">
        <v>362</v>
      </c>
      <c r="D239" s="182" t="s">
        <v>755</v>
      </c>
      <c r="E239" s="257" t="s">
        <v>727</v>
      </c>
      <c r="F239" s="136"/>
      <c r="G239" s="280"/>
      <c r="H239" s="137" t="s">
        <v>340</v>
      </c>
      <c r="I239" s="309">
        <v>0</v>
      </c>
      <c r="J239" s="308">
        <v>0</v>
      </c>
      <c r="K239" s="138">
        <f t="shared" si="10"/>
        <v>0</v>
      </c>
      <c r="L239" s="212">
        <f t="shared" si="11"/>
        <v>0</v>
      </c>
      <c r="N239" s="116"/>
    </row>
    <row r="240" spans="1:14" s="118" customFormat="1" outlineLevel="1" x14ac:dyDescent="0.3">
      <c r="A240" s="349" t="s">
        <v>580</v>
      </c>
      <c r="B240" s="211" t="s">
        <v>817</v>
      </c>
      <c r="C240" s="177" t="s">
        <v>363</v>
      </c>
      <c r="D240" s="182" t="s">
        <v>755</v>
      </c>
      <c r="E240" s="148" t="s">
        <v>719</v>
      </c>
      <c r="F240" s="136"/>
      <c r="G240" s="281">
        <v>2100</v>
      </c>
      <c r="H240" s="137" t="s">
        <v>340</v>
      </c>
      <c r="I240" s="309">
        <v>0</v>
      </c>
      <c r="J240" s="308">
        <v>0</v>
      </c>
      <c r="K240" s="138">
        <f t="shared" si="10"/>
        <v>0</v>
      </c>
      <c r="L240" s="212">
        <f t="shared" si="11"/>
        <v>0</v>
      </c>
      <c r="N240" s="116"/>
    </row>
    <row r="241" spans="1:14" s="118" customFormat="1" outlineLevel="1" x14ac:dyDescent="0.3">
      <c r="A241" s="349" t="s">
        <v>563</v>
      </c>
      <c r="B241" s="211" t="s">
        <v>818</v>
      </c>
      <c r="C241" s="177" t="s">
        <v>364</v>
      </c>
      <c r="D241" s="182" t="s">
        <v>755</v>
      </c>
      <c r="E241" s="148" t="s">
        <v>720</v>
      </c>
      <c r="F241" s="136"/>
      <c r="G241" s="281">
        <v>0</v>
      </c>
      <c r="H241" s="137" t="s">
        <v>340</v>
      </c>
      <c r="I241" s="309">
        <v>0</v>
      </c>
      <c r="J241" s="308">
        <v>0</v>
      </c>
      <c r="K241" s="138">
        <f t="shared" si="10"/>
        <v>0</v>
      </c>
      <c r="L241" s="212">
        <f t="shared" si="11"/>
        <v>0</v>
      </c>
      <c r="N241" s="116"/>
    </row>
    <row r="242" spans="1:14" s="118" customFormat="1" outlineLevel="1" x14ac:dyDescent="0.3">
      <c r="A242" s="349" t="s">
        <v>575</v>
      </c>
      <c r="B242" s="211" t="s">
        <v>819</v>
      </c>
      <c r="C242" s="177" t="s">
        <v>365</v>
      </c>
      <c r="D242" s="182" t="s">
        <v>755</v>
      </c>
      <c r="E242" s="148" t="s">
        <v>721</v>
      </c>
      <c r="F242" s="136"/>
      <c r="G242" s="281">
        <v>0</v>
      </c>
      <c r="H242" s="137" t="s">
        <v>340</v>
      </c>
      <c r="I242" s="309">
        <v>0</v>
      </c>
      <c r="J242" s="308">
        <v>0</v>
      </c>
      <c r="K242" s="138">
        <f t="shared" si="10"/>
        <v>0</v>
      </c>
      <c r="L242" s="212">
        <f t="shared" si="11"/>
        <v>0</v>
      </c>
      <c r="N242" s="116"/>
    </row>
    <row r="243" spans="1:14" s="118" customFormat="1" outlineLevel="1" x14ac:dyDescent="0.3">
      <c r="A243" s="349" t="s">
        <v>568</v>
      </c>
      <c r="B243" s="211" t="s">
        <v>820</v>
      </c>
      <c r="C243" s="177" t="s">
        <v>366</v>
      </c>
      <c r="D243" s="182" t="s">
        <v>755</v>
      </c>
      <c r="E243" s="148" t="s">
        <v>722</v>
      </c>
      <c r="F243" s="136"/>
      <c r="G243" s="281">
        <v>100</v>
      </c>
      <c r="H243" s="137" t="s">
        <v>340</v>
      </c>
      <c r="I243" s="309">
        <v>0</v>
      </c>
      <c r="J243" s="308">
        <v>0</v>
      </c>
      <c r="K243" s="138">
        <f t="shared" si="10"/>
        <v>0</v>
      </c>
      <c r="L243" s="212">
        <f t="shared" si="11"/>
        <v>0</v>
      </c>
      <c r="N243" s="116"/>
    </row>
    <row r="244" spans="1:14" s="118" customFormat="1" outlineLevel="1" x14ac:dyDescent="0.3">
      <c r="A244" s="349" t="s">
        <v>572</v>
      </c>
      <c r="B244" s="211" t="s">
        <v>821</v>
      </c>
      <c r="C244" s="177" t="s">
        <v>367</v>
      </c>
      <c r="D244" s="182" t="s">
        <v>755</v>
      </c>
      <c r="E244" s="257" t="s">
        <v>723</v>
      </c>
      <c r="F244" s="136"/>
      <c r="G244" s="281">
        <v>4560</v>
      </c>
      <c r="H244" s="137" t="s">
        <v>340</v>
      </c>
      <c r="I244" s="309">
        <v>0</v>
      </c>
      <c r="J244" s="308">
        <v>0</v>
      </c>
      <c r="K244" s="138">
        <f t="shared" si="10"/>
        <v>0</v>
      </c>
      <c r="L244" s="212">
        <f t="shared" si="11"/>
        <v>0</v>
      </c>
      <c r="N244" s="116"/>
    </row>
    <row r="245" spans="1:14" s="118" customFormat="1" outlineLevel="1" x14ac:dyDescent="0.3">
      <c r="A245" s="349" t="s">
        <v>571</v>
      </c>
      <c r="B245" s="211" t="s">
        <v>822</v>
      </c>
      <c r="C245" s="177" t="s">
        <v>368</v>
      </c>
      <c r="D245" s="182" t="s">
        <v>755</v>
      </c>
      <c r="E245" s="257" t="s">
        <v>728</v>
      </c>
      <c r="F245" s="136"/>
      <c r="G245" s="281">
        <v>400</v>
      </c>
      <c r="H245" s="137" t="s">
        <v>340</v>
      </c>
      <c r="I245" s="309">
        <v>0</v>
      </c>
      <c r="J245" s="308">
        <v>0</v>
      </c>
      <c r="K245" s="138">
        <f t="shared" si="10"/>
        <v>0</v>
      </c>
      <c r="L245" s="212">
        <f t="shared" si="11"/>
        <v>0</v>
      </c>
      <c r="N245" s="116"/>
    </row>
    <row r="246" spans="1:14" s="118" customFormat="1" outlineLevel="1" x14ac:dyDescent="0.3">
      <c r="A246" s="349" t="s">
        <v>570</v>
      </c>
      <c r="B246" s="211" t="s">
        <v>823</v>
      </c>
      <c r="C246" s="177" t="s">
        <v>369</v>
      </c>
      <c r="D246" s="182" t="s">
        <v>755</v>
      </c>
      <c r="E246" s="257" t="s">
        <v>729</v>
      </c>
      <c r="F246" s="136"/>
      <c r="G246" s="281">
        <v>900</v>
      </c>
      <c r="H246" s="137" t="s">
        <v>340</v>
      </c>
      <c r="I246" s="309">
        <v>0</v>
      </c>
      <c r="J246" s="308">
        <v>0</v>
      </c>
      <c r="K246" s="138">
        <f t="shared" si="10"/>
        <v>0</v>
      </c>
      <c r="L246" s="212">
        <f t="shared" si="11"/>
        <v>0</v>
      </c>
      <c r="N246" s="116"/>
    </row>
    <row r="247" spans="1:14" s="118" customFormat="1" outlineLevel="1" x14ac:dyDescent="0.3">
      <c r="A247" s="349" t="s">
        <v>579</v>
      </c>
      <c r="B247" s="211" t="s">
        <v>824</v>
      </c>
      <c r="C247" s="177" t="s">
        <v>370</v>
      </c>
      <c r="D247" s="182" t="s">
        <v>755</v>
      </c>
      <c r="E247" s="257" t="s">
        <v>730</v>
      </c>
      <c r="F247" s="136"/>
      <c r="G247" s="281">
        <v>480</v>
      </c>
      <c r="H247" s="137" t="s">
        <v>340</v>
      </c>
      <c r="I247" s="309">
        <v>0</v>
      </c>
      <c r="J247" s="308">
        <v>0</v>
      </c>
      <c r="K247" s="138">
        <f t="shared" si="10"/>
        <v>0</v>
      </c>
      <c r="L247" s="212">
        <f t="shared" si="11"/>
        <v>0</v>
      </c>
      <c r="N247" s="116"/>
    </row>
    <row r="248" spans="1:14" s="118" customFormat="1" outlineLevel="1" x14ac:dyDescent="0.3">
      <c r="A248" s="349" t="s">
        <v>576</v>
      </c>
      <c r="B248" s="211" t="s">
        <v>825</v>
      </c>
      <c r="C248" s="177" t="s">
        <v>731</v>
      </c>
      <c r="D248" s="182" t="s">
        <v>755</v>
      </c>
      <c r="E248" s="257" t="s">
        <v>741</v>
      </c>
      <c r="F248" s="136"/>
      <c r="G248" s="281">
        <v>600</v>
      </c>
      <c r="H248" s="137" t="s">
        <v>340</v>
      </c>
      <c r="I248" s="309">
        <v>0</v>
      </c>
      <c r="J248" s="308">
        <v>0</v>
      </c>
      <c r="K248" s="138">
        <f t="shared" si="10"/>
        <v>0</v>
      </c>
      <c r="L248" s="212">
        <f t="shared" si="11"/>
        <v>0</v>
      </c>
      <c r="N248" s="116"/>
    </row>
    <row r="249" spans="1:14" s="118" customFormat="1" outlineLevel="1" x14ac:dyDescent="0.3">
      <c r="A249" s="349" t="s">
        <v>577</v>
      </c>
      <c r="B249" s="211" t="s">
        <v>826</v>
      </c>
      <c r="C249" s="177" t="s">
        <v>371</v>
      </c>
      <c r="D249" s="182" t="s">
        <v>755</v>
      </c>
      <c r="E249" s="257" t="s">
        <v>742</v>
      </c>
      <c r="F249" s="136"/>
      <c r="G249" s="281">
        <v>1700</v>
      </c>
      <c r="H249" s="137" t="s">
        <v>340</v>
      </c>
      <c r="I249" s="309">
        <v>0</v>
      </c>
      <c r="J249" s="308">
        <v>0</v>
      </c>
      <c r="K249" s="138">
        <f t="shared" si="10"/>
        <v>0</v>
      </c>
      <c r="L249" s="212">
        <f t="shared" si="11"/>
        <v>0</v>
      </c>
      <c r="N249" s="116"/>
    </row>
    <row r="250" spans="1:14" s="118" customFormat="1" outlineLevel="1" x14ac:dyDescent="0.3">
      <c r="A250" s="349" t="s">
        <v>574</v>
      </c>
      <c r="B250" s="211" t="s">
        <v>827</v>
      </c>
      <c r="C250" s="177" t="s">
        <v>732</v>
      </c>
      <c r="D250" s="182" t="s">
        <v>755</v>
      </c>
      <c r="E250" s="257" t="s">
        <v>744</v>
      </c>
      <c r="F250" s="136"/>
      <c r="G250" s="281">
        <v>360</v>
      </c>
      <c r="H250" s="137" t="s">
        <v>340</v>
      </c>
      <c r="I250" s="309">
        <v>0</v>
      </c>
      <c r="J250" s="308">
        <v>0</v>
      </c>
      <c r="K250" s="138">
        <f t="shared" si="10"/>
        <v>0</v>
      </c>
      <c r="L250" s="212">
        <f t="shared" si="11"/>
        <v>0</v>
      </c>
      <c r="N250" s="116"/>
    </row>
    <row r="251" spans="1:14" outlineLevel="1" x14ac:dyDescent="0.3">
      <c r="A251" s="349" t="s">
        <v>578</v>
      </c>
      <c r="B251" s="211" t="s">
        <v>828</v>
      </c>
      <c r="C251" s="177" t="s">
        <v>372</v>
      </c>
      <c r="D251" s="182" t="s">
        <v>755</v>
      </c>
      <c r="E251" s="257" t="s">
        <v>743</v>
      </c>
      <c r="F251" s="136"/>
      <c r="G251" s="281">
        <v>1250</v>
      </c>
      <c r="H251" s="137" t="s">
        <v>340</v>
      </c>
      <c r="I251" s="309">
        <v>0</v>
      </c>
      <c r="J251" s="308">
        <v>0</v>
      </c>
      <c r="K251" s="138">
        <f t="shared" si="10"/>
        <v>0</v>
      </c>
      <c r="L251" s="212">
        <f t="shared" si="11"/>
        <v>0</v>
      </c>
    </row>
    <row r="252" spans="1:14" s="121" customFormat="1" outlineLevel="1" x14ac:dyDescent="0.3">
      <c r="A252" s="350" t="s">
        <v>569</v>
      </c>
      <c r="B252" s="211" t="s">
        <v>829</v>
      </c>
      <c r="C252" s="177" t="s">
        <v>373</v>
      </c>
      <c r="D252" s="251" t="s">
        <v>755</v>
      </c>
      <c r="E252" s="252" t="s">
        <v>745</v>
      </c>
      <c r="F252" s="253"/>
      <c r="G252" s="282">
        <v>1920</v>
      </c>
      <c r="H252" s="254" t="s">
        <v>340</v>
      </c>
      <c r="I252" s="309">
        <v>0</v>
      </c>
      <c r="J252" s="310">
        <v>0</v>
      </c>
      <c r="K252" s="255">
        <f>G252*I252</f>
        <v>0</v>
      </c>
      <c r="L252" s="256">
        <f>G252*J252</f>
        <v>0</v>
      </c>
      <c r="M252" s="118"/>
    </row>
    <row r="253" spans="1:14" outlineLevel="1" x14ac:dyDescent="0.3">
      <c r="A253" s="349" t="s">
        <v>581</v>
      </c>
      <c r="B253" s="211" t="s">
        <v>830</v>
      </c>
      <c r="C253" s="177" t="s">
        <v>376</v>
      </c>
      <c r="D253" s="182" t="s">
        <v>755</v>
      </c>
      <c r="E253" s="148" t="s">
        <v>754</v>
      </c>
      <c r="F253" s="136"/>
      <c r="G253" s="282">
        <v>4760</v>
      </c>
      <c r="H253" s="137" t="s">
        <v>340</v>
      </c>
      <c r="I253" s="309">
        <v>0</v>
      </c>
      <c r="J253" s="308">
        <v>0</v>
      </c>
      <c r="K253" s="138">
        <f>G253*I253</f>
        <v>0</v>
      </c>
      <c r="L253" s="212">
        <f>G253*J253</f>
        <v>0</v>
      </c>
    </row>
    <row r="254" spans="1:14" outlineLevel="1" x14ac:dyDescent="0.3">
      <c r="A254" s="348"/>
      <c r="B254" s="211" t="s">
        <v>831</v>
      </c>
      <c r="C254" s="258" t="s">
        <v>747</v>
      </c>
      <c r="D254" s="182" t="s">
        <v>755</v>
      </c>
      <c r="E254" s="148" t="s">
        <v>746</v>
      </c>
      <c r="F254" s="136"/>
      <c r="G254" s="280"/>
      <c r="H254" s="137" t="s">
        <v>238</v>
      </c>
      <c r="I254" s="309">
        <v>0</v>
      </c>
      <c r="J254" s="308">
        <v>0</v>
      </c>
      <c r="K254" s="138">
        <f t="shared" si="10"/>
        <v>0</v>
      </c>
      <c r="L254" s="212">
        <f t="shared" si="11"/>
        <v>0</v>
      </c>
    </row>
    <row r="255" spans="1:14" outlineLevel="1" x14ac:dyDescent="0.3">
      <c r="A255" s="348"/>
      <c r="B255" s="211" t="s">
        <v>832</v>
      </c>
      <c r="C255" s="258" t="s">
        <v>751</v>
      </c>
      <c r="D255" s="182" t="s">
        <v>755</v>
      </c>
      <c r="E255" s="148" t="s">
        <v>748</v>
      </c>
      <c r="F255" s="136"/>
      <c r="G255" s="280"/>
      <c r="H255" s="137" t="s">
        <v>340</v>
      </c>
      <c r="I255" s="309">
        <v>0</v>
      </c>
      <c r="J255" s="308">
        <v>0</v>
      </c>
      <c r="K255" s="138">
        <f t="shared" si="10"/>
        <v>0</v>
      </c>
      <c r="L255" s="212">
        <f t="shared" si="11"/>
        <v>0</v>
      </c>
    </row>
    <row r="256" spans="1:14" outlineLevel="1" x14ac:dyDescent="0.3">
      <c r="A256" s="348"/>
      <c r="B256" s="211" t="s">
        <v>833</v>
      </c>
      <c r="C256" s="258" t="s">
        <v>752</v>
      </c>
      <c r="D256" s="182" t="s">
        <v>755</v>
      </c>
      <c r="E256" s="148" t="s">
        <v>749</v>
      </c>
      <c r="F256" s="136"/>
      <c r="G256" s="280"/>
      <c r="H256" s="137" t="s">
        <v>340</v>
      </c>
      <c r="I256" s="309">
        <v>0</v>
      </c>
      <c r="J256" s="308">
        <v>0</v>
      </c>
      <c r="K256" s="138">
        <f t="shared" si="10"/>
        <v>0</v>
      </c>
      <c r="L256" s="212">
        <f t="shared" si="11"/>
        <v>0</v>
      </c>
    </row>
    <row r="257" spans="1:14" outlineLevel="1" x14ac:dyDescent="0.3">
      <c r="A257" s="348"/>
      <c r="B257" s="211" t="s">
        <v>834</v>
      </c>
      <c r="C257" s="258" t="s">
        <v>374</v>
      </c>
      <c r="D257" s="182" t="s">
        <v>755</v>
      </c>
      <c r="E257" s="148" t="s">
        <v>750</v>
      </c>
      <c r="F257" s="136"/>
      <c r="G257" s="280"/>
      <c r="H257" s="137" t="s">
        <v>340</v>
      </c>
      <c r="I257" s="309">
        <v>0</v>
      </c>
      <c r="J257" s="308">
        <v>0</v>
      </c>
      <c r="K257" s="138">
        <f t="shared" si="10"/>
        <v>0</v>
      </c>
      <c r="L257" s="212">
        <f t="shared" si="11"/>
        <v>0</v>
      </c>
    </row>
    <row r="258" spans="1:14" outlineLevel="1" x14ac:dyDescent="0.3">
      <c r="A258" s="348"/>
      <c r="B258" s="211" t="s">
        <v>835</v>
      </c>
      <c r="C258" s="258" t="s">
        <v>375</v>
      </c>
      <c r="D258" s="182" t="s">
        <v>755</v>
      </c>
      <c r="E258" s="148" t="s">
        <v>753</v>
      </c>
      <c r="F258" s="136"/>
      <c r="G258" s="280"/>
      <c r="H258" s="137" t="s">
        <v>340</v>
      </c>
      <c r="I258" s="309">
        <v>0</v>
      </c>
      <c r="J258" s="308">
        <v>0</v>
      </c>
      <c r="K258" s="138">
        <f t="shared" si="10"/>
        <v>0</v>
      </c>
      <c r="L258" s="212">
        <f t="shared" si="11"/>
        <v>0</v>
      </c>
    </row>
    <row r="259" spans="1:14" outlineLevel="1" x14ac:dyDescent="0.3">
      <c r="A259" s="348"/>
      <c r="B259" s="211" t="s">
        <v>836</v>
      </c>
      <c r="C259" s="177"/>
      <c r="D259" s="182"/>
      <c r="E259" s="148"/>
      <c r="F259" s="136"/>
      <c r="G259" s="149"/>
      <c r="H259" s="137"/>
      <c r="I259" s="309">
        <v>0</v>
      </c>
      <c r="J259" s="308">
        <v>0</v>
      </c>
      <c r="K259" s="138">
        <f t="shared" si="10"/>
        <v>0</v>
      </c>
      <c r="L259" s="212">
        <f t="shared" si="11"/>
        <v>0</v>
      </c>
    </row>
    <row r="260" spans="1:14" ht="50.4" customHeight="1" outlineLevel="1" x14ac:dyDescent="0.3">
      <c r="A260" s="376" t="s">
        <v>973</v>
      </c>
      <c r="B260" s="352" t="s">
        <v>350</v>
      </c>
      <c r="C260" s="382" t="s">
        <v>377</v>
      </c>
      <c r="D260" s="182"/>
      <c r="E260" s="148"/>
      <c r="F260" s="136"/>
      <c r="G260" s="149"/>
      <c r="H260" s="137"/>
      <c r="I260" s="309">
        <v>0</v>
      </c>
      <c r="J260" s="308">
        <v>0</v>
      </c>
      <c r="K260" s="138">
        <f>G260*I260</f>
        <v>0</v>
      </c>
      <c r="L260" s="212">
        <f t="shared" si="11"/>
        <v>0</v>
      </c>
    </row>
    <row r="261" spans="1:14" outlineLevel="1" x14ac:dyDescent="0.3">
      <c r="A261" s="375" t="s">
        <v>963</v>
      </c>
      <c r="B261" s="211" t="s">
        <v>837</v>
      </c>
      <c r="C261" s="177" t="s">
        <v>703</v>
      </c>
      <c r="D261" s="182" t="s">
        <v>756</v>
      </c>
      <c r="E261" s="148" t="s">
        <v>377</v>
      </c>
      <c r="F261" s="136"/>
      <c r="G261" s="281"/>
      <c r="H261" s="137" t="s">
        <v>766</v>
      </c>
      <c r="I261" s="307"/>
      <c r="J261" s="308">
        <v>0</v>
      </c>
      <c r="K261" s="307"/>
      <c r="L261" s="212">
        <f t="shared" si="11"/>
        <v>0</v>
      </c>
    </row>
    <row r="262" spans="1:14" outlineLevel="1" x14ac:dyDescent="0.3">
      <c r="A262" s="375" t="s">
        <v>964</v>
      </c>
      <c r="B262" s="211" t="s">
        <v>838</v>
      </c>
      <c r="C262" s="178" t="s">
        <v>704</v>
      </c>
      <c r="D262" s="182" t="s">
        <v>756</v>
      </c>
      <c r="E262" s="148" t="s">
        <v>377</v>
      </c>
      <c r="F262" s="136"/>
      <c r="G262" s="281"/>
      <c r="H262" s="137" t="s">
        <v>766</v>
      </c>
      <c r="I262" s="307"/>
      <c r="J262" s="308">
        <v>0</v>
      </c>
      <c r="K262" s="307"/>
      <c r="L262" s="212">
        <f t="shared" si="11"/>
        <v>0</v>
      </c>
    </row>
    <row r="263" spans="1:14" outlineLevel="1" x14ac:dyDescent="0.3">
      <c r="A263" s="375" t="s">
        <v>965</v>
      </c>
      <c r="B263" s="211" t="s">
        <v>839</v>
      </c>
      <c r="C263" s="177" t="s">
        <v>705</v>
      </c>
      <c r="D263" s="182" t="s">
        <v>756</v>
      </c>
      <c r="E263" s="148" t="s">
        <v>377</v>
      </c>
      <c r="F263" s="136"/>
      <c r="G263" s="280"/>
      <c r="H263" s="137" t="s">
        <v>766</v>
      </c>
      <c r="I263" s="307"/>
      <c r="J263" s="308">
        <v>0</v>
      </c>
      <c r="K263" s="307"/>
      <c r="L263" s="212">
        <f t="shared" si="11"/>
        <v>0</v>
      </c>
    </row>
    <row r="264" spans="1:14" outlineLevel="1" x14ac:dyDescent="0.3">
      <c r="A264" s="375" t="s">
        <v>966</v>
      </c>
      <c r="B264" s="211" t="s">
        <v>840</v>
      </c>
      <c r="C264" s="177" t="s">
        <v>706</v>
      </c>
      <c r="D264" s="182" t="s">
        <v>756</v>
      </c>
      <c r="E264" s="148" t="s">
        <v>377</v>
      </c>
      <c r="F264" s="136"/>
      <c r="G264" s="280"/>
      <c r="H264" s="137" t="s">
        <v>766</v>
      </c>
      <c r="I264" s="307"/>
      <c r="J264" s="308">
        <v>0</v>
      </c>
      <c r="K264" s="307"/>
      <c r="L264" s="212">
        <f t="shared" si="11"/>
        <v>0</v>
      </c>
    </row>
    <row r="265" spans="1:14" outlineLevel="1" x14ac:dyDescent="0.3">
      <c r="A265" s="375" t="s">
        <v>967</v>
      </c>
      <c r="B265" s="211" t="s">
        <v>841</v>
      </c>
      <c r="C265" s="177" t="s">
        <v>707</v>
      </c>
      <c r="D265" s="182" t="s">
        <v>756</v>
      </c>
      <c r="E265" s="148" t="s">
        <v>377</v>
      </c>
      <c r="F265" s="136"/>
      <c r="G265" s="280"/>
      <c r="H265" s="137" t="s">
        <v>766</v>
      </c>
      <c r="I265" s="307"/>
      <c r="J265" s="308">
        <v>0</v>
      </c>
      <c r="K265" s="307"/>
      <c r="L265" s="212">
        <f t="shared" si="11"/>
        <v>0</v>
      </c>
    </row>
    <row r="266" spans="1:14" outlineLevel="1" x14ac:dyDescent="0.3">
      <c r="A266" s="375" t="s">
        <v>968</v>
      </c>
      <c r="B266" s="211" t="s">
        <v>842</v>
      </c>
      <c r="C266" s="177" t="s">
        <v>708</v>
      </c>
      <c r="D266" s="182" t="s">
        <v>756</v>
      </c>
      <c r="E266" s="148" t="s">
        <v>377</v>
      </c>
      <c r="F266" s="136"/>
      <c r="G266" s="280"/>
      <c r="H266" s="137" t="s">
        <v>766</v>
      </c>
      <c r="I266" s="307"/>
      <c r="J266" s="308">
        <v>0</v>
      </c>
      <c r="K266" s="307"/>
      <c r="L266" s="212">
        <f t="shared" si="11"/>
        <v>0</v>
      </c>
    </row>
    <row r="267" spans="1:14" s="118" customFormat="1" outlineLevel="1" x14ac:dyDescent="0.3">
      <c r="A267" s="375" t="s">
        <v>969</v>
      </c>
      <c r="B267" s="211" t="s">
        <v>843</v>
      </c>
      <c r="C267" s="177" t="s">
        <v>709</v>
      </c>
      <c r="D267" s="182" t="s">
        <v>756</v>
      </c>
      <c r="E267" s="148" t="s">
        <v>377</v>
      </c>
      <c r="F267" s="136"/>
      <c r="G267" s="280"/>
      <c r="H267" s="137" t="s">
        <v>766</v>
      </c>
      <c r="I267" s="307"/>
      <c r="J267" s="308">
        <v>0</v>
      </c>
      <c r="K267" s="307"/>
      <c r="L267" s="212">
        <f>G267*J267</f>
        <v>0</v>
      </c>
      <c r="N267" s="116"/>
    </row>
    <row r="268" spans="1:14" s="118" customFormat="1" outlineLevel="1" x14ac:dyDescent="0.3">
      <c r="A268" s="375" t="s">
        <v>970</v>
      </c>
      <c r="B268" s="211" t="s">
        <v>844</v>
      </c>
      <c r="C268" s="177" t="s">
        <v>700</v>
      </c>
      <c r="D268" s="182" t="s">
        <v>756</v>
      </c>
      <c r="E268" s="148" t="s">
        <v>377</v>
      </c>
      <c r="F268" s="136"/>
      <c r="G268" s="280"/>
      <c r="H268" s="137" t="s">
        <v>766</v>
      </c>
      <c r="I268" s="307"/>
      <c r="J268" s="308">
        <v>0</v>
      </c>
      <c r="K268" s="307"/>
      <c r="L268" s="212">
        <f>G268*J268</f>
        <v>0</v>
      </c>
      <c r="N268" s="116"/>
    </row>
    <row r="269" spans="1:14" s="118" customFormat="1" outlineLevel="1" x14ac:dyDescent="0.3">
      <c r="A269" s="375" t="s">
        <v>971</v>
      </c>
      <c r="B269" s="211" t="s">
        <v>845</v>
      </c>
      <c r="C269" s="177" t="s">
        <v>701</v>
      </c>
      <c r="D269" s="182" t="s">
        <v>756</v>
      </c>
      <c r="E269" s="148" t="s">
        <v>377</v>
      </c>
      <c r="F269" s="136"/>
      <c r="G269" s="280"/>
      <c r="H269" s="137" t="s">
        <v>766</v>
      </c>
      <c r="I269" s="307"/>
      <c r="J269" s="308">
        <v>0</v>
      </c>
      <c r="K269" s="307"/>
      <c r="L269" s="212">
        <f>G269*J269</f>
        <v>0</v>
      </c>
      <c r="N269" s="116"/>
    </row>
    <row r="270" spans="1:14" s="118" customFormat="1" outlineLevel="1" x14ac:dyDescent="0.3">
      <c r="A270" s="375" t="s">
        <v>972</v>
      </c>
      <c r="B270" s="211" t="s">
        <v>846</v>
      </c>
      <c r="C270" s="178" t="s">
        <v>702</v>
      </c>
      <c r="D270" s="182" t="s">
        <v>756</v>
      </c>
      <c r="E270" s="148" t="s">
        <v>377</v>
      </c>
      <c r="F270" s="136"/>
      <c r="G270" s="280"/>
      <c r="H270" s="137" t="s">
        <v>766</v>
      </c>
      <c r="I270" s="307"/>
      <c r="J270" s="308">
        <v>0</v>
      </c>
      <c r="K270" s="307"/>
      <c r="L270" s="212">
        <f t="shared" si="11"/>
        <v>0</v>
      </c>
      <c r="N270" s="116"/>
    </row>
    <row r="271" spans="1:14" s="118" customFormat="1" outlineLevel="1" x14ac:dyDescent="0.3">
      <c r="A271" s="348"/>
      <c r="B271" s="211" t="s">
        <v>847</v>
      </c>
      <c r="C271" s="178"/>
      <c r="D271" s="182"/>
      <c r="E271" s="148"/>
      <c r="F271" s="136"/>
      <c r="G271" s="150"/>
      <c r="H271" s="137"/>
      <c r="I271" s="307"/>
      <c r="J271" s="308">
        <v>0</v>
      </c>
      <c r="K271" s="307"/>
      <c r="L271" s="212">
        <f t="shared" si="11"/>
        <v>0</v>
      </c>
      <c r="N271" s="116"/>
    </row>
    <row r="272" spans="1:14" s="118" customFormat="1" outlineLevel="1" x14ac:dyDescent="0.3">
      <c r="A272" s="348"/>
      <c r="B272" s="211" t="s">
        <v>848</v>
      </c>
      <c r="C272" s="178"/>
      <c r="D272" s="182"/>
      <c r="E272" s="148"/>
      <c r="F272" s="136"/>
      <c r="G272" s="150"/>
      <c r="H272" s="137"/>
      <c r="I272" s="307"/>
      <c r="J272" s="308">
        <v>0</v>
      </c>
      <c r="K272" s="307"/>
      <c r="L272" s="212">
        <f t="shared" si="11"/>
        <v>0</v>
      </c>
      <c r="N272" s="116"/>
    </row>
    <row r="273" spans="1:14" s="118" customFormat="1" outlineLevel="1" x14ac:dyDescent="0.3">
      <c r="A273" s="348"/>
      <c r="B273" s="211" t="s">
        <v>849</v>
      </c>
      <c r="C273" s="178"/>
      <c r="D273" s="182"/>
      <c r="E273" s="148"/>
      <c r="F273" s="136"/>
      <c r="G273" s="150"/>
      <c r="H273" s="137"/>
      <c r="I273" s="307"/>
      <c r="J273" s="308">
        <v>0</v>
      </c>
      <c r="K273" s="307"/>
      <c r="L273" s="212">
        <f t="shared" si="11"/>
        <v>0</v>
      </c>
      <c r="N273" s="116"/>
    </row>
    <row r="274" spans="1:14" s="118" customFormat="1" outlineLevel="1" x14ac:dyDescent="0.3">
      <c r="A274" s="348"/>
      <c r="B274" s="211" t="s">
        <v>850</v>
      </c>
      <c r="C274" s="178"/>
      <c r="D274" s="182"/>
      <c r="E274" s="148"/>
      <c r="F274" s="136"/>
      <c r="G274" s="150"/>
      <c r="H274" s="137"/>
      <c r="I274" s="307"/>
      <c r="J274" s="308">
        <v>0</v>
      </c>
      <c r="K274" s="307"/>
      <c r="L274" s="212">
        <f t="shared" si="11"/>
        <v>0</v>
      </c>
      <c r="N274" s="116"/>
    </row>
    <row r="275" spans="1:14" s="118" customFormat="1" outlineLevel="1" x14ac:dyDescent="0.3">
      <c r="A275" s="348"/>
      <c r="B275" s="211" t="s">
        <v>851</v>
      </c>
      <c r="C275" s="178"/>
      <c r="D275" s="182"/>
      <c r="E275" s="148"/>
      <c r="F275" s="136"/>
      <c r="G275" s="150"/>
      <c r="H275" s="137"/>
      <c r="I275" s="307"/>
      <c r="J275" s="308">
        <v>0</v>
      </c>
      <c r="K275" s="307"/>
      <c r="L275" s="212">
        <f t="shared" si="11"/>
        <v>0</v>
      </c>
      <c r="N275" s="116"/>
    </row>
    <row r="276" spans="1:14" s="118" customFormat="1" ht="13.8" x14ac:dyDescent="0.25">
      <c r="A276" s="348"/>
      <c r="B276" s="213"/>
      <c r="C276" s="139"/>
      <c r="D276" s="183"/>
      <c r="E276" s="111"/>
      <c r="F276" s="140"/>
      <c r="G276" s="141"/>
      <c r="H276" s="142"/>
      <c r="I276" s="143"/>
      <c r="J276" s="144"/>
      <c r="K276" s="145">
        <f>SUM(K226:K275)</f>
        <v>0</v>
      </c>
      <c r="L276" s="214">
        <f>SUM(L226:L275)</f>
        <v>0</v>
      </c>
      <c r="N276" s="116"/>
    </row>
    <row r="277" spans="1:14" s="118" customFormat="1" x14ac:dyDescent="0.3">
      <c r="A277" s="347"/>
      <c r="B277" s="352" t="s">
        <v>975</v>
      </c>
      <c r="C277" s="241" t="s">
        <v>440</v>
      </c>
      <c r="D277" s="242"/>
      <c r="E277" s="243"/>
      <c r="F277" s="244"/>
      <c r="G277" s="245"/>
      <c r="H277" s="246"/>
      <c r="I277" s="247"/>
      <c r="J277" s="248"/>
      <c r="K277" s="249"/>
      <c r="L277" s="250"/>
      <c r="N277" s="116"/>
    </row>
    <row r="278" spans="1:14" s="118" customFormat="1" outlineLevel="1" x14ac:dyDescent="0.3">
      <c r="A278" s="347"/>
      <c r="B278" s="211" t="s">
        <v>351</v>
      </c>
      <c r="C278" s="178" t="s">
        <v>356</v>
      </c>
      <c r="D278" s="182"/>
      <c r="E278" s="148" t="s">
        <v>772</v>
      </c>
      <c r="F278" s="136"/>
      <c r="G278" s="150"/>
      <c r="H278" s="137" t="s">
        <v>421</v>
      </c>
      <c r="I278" s="307"/>
      <c r="J278" s="308">
        <v>0</v>
      </c>
      <c r="K278" s="307"/>
      <c r="L278" s="212">
        <f>G278*J278</f>
        <v>0</v>
      </c>
      <c r="N278" s="116"/>
    </row>
    <row r="279" spans="1:14" s="118" customFormat="1" outlineLevel="1" x14ac:dyDescent="0.3">
      <c r="A279" s="347"/>
      <c r="B279" s="211" t="s">
        <v>352</v>
      </c>
      <c r="C279" s="135"/>
      <c r="D279" s="182"/>
      <c r="E279" s="148"/>
      <c r="F279" s="136"/>
      <c r="G279" s="150"/>
      <c r="H279" s="137"/>
      <c r="I279" s="307"/>
      <c r="J279" s="308">
        <v>0</v>
      </c>
      <c r="K279" s="307"/>
      <c r="L279" s="212">
        <f>G279*J279</f>
        <v>0</v>
      </c>
      <c r="N279" s="116"/>
    </row>
    <row r="280" spans="1:14" s="118" customFormat="1" outlineLevel="1" x14ac:dyDescent="0.3">
      <c r="A280" s="347"/>
      <c r="B280" s="211" t="s">
        <v>353</v>
      </c>
      <c r="C280" s="135"/>
      <c r="D280" s="182"/>
      <c r="E280" s="148"/>
      <c r="F280" s="136"/>
      <c r="G280" s="150"/>
      <c r="H280" s="137"/>
      <c r="I280" s="307"/>
      <c r="J280" s="308">
        <v>0</v>
      </c>
      <c r="K280" s="307"/>
      <c r="L280" s="212">
        <f>G280*J280</f>
        <v>0</v>
      </c>
      <c r="N280" s="116"/>
    </row>
    <row r="281" spans="1:14" s="118" customFormat="1" outlineLevel="1" x14ac:dyDescent="0.3">
      <c r="A281" s="347"/>
      <c r="B281" s="211" t="s">
        <v>354</v>
      </c>
      <c r="C281" s="135"/>
      <c r="D281" s="182"/>
      <c r="E281" s="148"/>
      <c r="F281" s="136"/>
      <c r="G281" s="150"/>
      <c r="H281" s="137"/>
      <c r="I281" s="307"/>
      <c r="J281" s="308">
        <v>0</v>
      </c>
      <c r="K281" s="307"/>
      <c r="L281" s="212">
        <f>G281*J281</f>
        <v>0</v>
      </c>
      <c r="N281" s="116"/>
    </row>
    <row r="282" spans="1:14" s="118" customFormat="1" outlineLevel="1" x14ac:dyDescent="0.3">
      <c r="A282" s="347"/>
      <c r="B282" s="211" t="s">
        <v>355</v>
      </c>
      <c r="C282" s="135"/>
      <c r="D282" s="182"/>
      <c r="E282" s="148"/>
      <c r="F282" s="136"/>
      <c r="G282" s="150"/>
      <c r="H282" s="137"/>
      <c r="I282" s="307"/>
      <c r="J282" s="308">
        <v>0</v>
      </c>
      <c r="K282" s="307"/>
      <c r="L282" s="212">
        <f>G282*J282</f>
        <v>0</v>
      </c>
      <c r="N282" s="116"/>
    </row>
    <row r="283" spans="1:14" s="118" customFormat="1" x14ac:dyDescent="0.3">
      <c r="A283" s="347"/>
      <c r="B283" s="213"/>
      <c r="C283" s="139"/>
      <c r="D283" s="183"/>
      <c r="E283" s="111"/>
      <c r="F283" s="140"/>
      <c r="G283" s="141"/>
      <c r="H283" s="142"/>
      <c r="I283" s="143"/>
      <c r="J283" s="144"/>
      <c r="K283" s="145">
        <f>SUM(K278:K282)</f>
        <v>0</v>
      </c>
      <c r="L283" s="214">
        <f>SUM(L278:L282)</f>
        <v>0</v>
      </c>
      <c r="N283" s="116"/>
    </row>
    <row r="284" spans="1:14" s="118" customFormat="1" x14ac:dyDescent="0.3">
      <c r="A284" s="347"/>
      <c r="B284" s="216"/>
      <c r="C284" s="209" t="s">
        <v>378</v>
      </c>
      <c r="D284" s="185"/>
      <c r="E284" s="154"/>
      <c r="F284" s="155"/>
      <c r="G284" s="156"/>
      <c r="H284" s="157"/>
      <c r="I284" s="158"/>
      <c r="J284" s="159"/>
      <c r="K284" s="160"/>
      <c r="L284" s="217"/>
      <c r="N284" s="116"/>
    </row>
    <row r="285" spans="1:14" s="118" customFormat="1" outlineLevel="1" x14ac:dyDescent="0.3">
      <c r="A285" s="347"/>
      <c r="B285" s="353">
        <v>1</v>
      </c>
      <c r="C285" s="129" t="str">
        <f>C21</f>
        <v>ICS-Conveyor</v>
      </c>
      <c r="D285" s="184"/>
      <c r="E285" s="152"/>
      <c r="F285" s="161"/>
      <c r="G285" s="153"/>
      <c r="H285" s="137"/>
      <c r="I285" s="162"/>
      <c r="J285" s="163"/>
      <c r="K285" s="138">
        <f>K52</f>
        <v>0</v>
      </c>
      <c r="L285" s="212">
        <f>L52</f>
        <v>0</v>
      </c>
      <c r="N285" s="116"/>
    </row>
    <row r="286" spans="1:14" s="118" customFormat="1" outlineLevel="1" x14ac:dyDescent="0.3">
      <c r="A286" s="347"/>
      <c r="B286" s="353">
        <v>2</v>
      </c>
      <c r="C286" s="129" t="str">
        <f>C53</f>
        <v>Control Stations</v>
      </c>
      <c r="D286" s="184"/>
      <c r="E286" s="152"/>
      <c r="F286" s="161"/>
      <c r="G286" s="153"/>
      <c r="H286" s="137"/>
      <c r="I286" s="162"/>
      <c r="J286" s="163"/>
      <c r="K286" s="138">
        <f>K64</f>
        <v>0</v>
      </c>
      <c r="L286" s="212">
        <f>L64</f>
        <v>0</v>
      </c>
      <c r="N286" s="116"/>
    </row>
    <row r="287" spans="1:14" s="118" customFormat="1" outlineLevel="1" x14ac:dyDescent="0.3">
      <c r="A287" s="347"/>
      <c r="B287" s="353">
        <v>3</v>
      </c>
      <c r="C287" s="129" t="str">
        <f>C65</f>
        <v>Light Beacons and Horn</v>
      </c>
      <c r="D287" s="184"/>
      <c r="E287" s="152"/>
      <c r="F287" s="161"/>
      <c r="G287" s="153"/>
      <c r="H287" s="137"/>
      <c r="I287" s="162"/>
      <c r="J287" s="163"/>
      <c r="K287" s="138">
        <f>K76</f>
        <v>0</v>
      </c>
      <c r="L287" s="212">
        <f>L76</f>
        <v>0</v>
      </c>
      <c r="N287" s="116"/>
    </row>
    <row r="288" spans="1:14" s="118" customFormat="1" outlineLevel="1" x14ac:dyDescent="0.3">
      <c r="A288" s="347"/>
      <c r="B288" s="353">
        <v>4</v>
      </c>
      <c r="C288" s="129" t="str">
        <f>C77</f>
        <v>Panels</v>
      </c>
      <c r="D288" s="184"/>
      <c r="E288" s="152"/>
      <c r="F288" s="161"/>
      <c r="G288" s="153"/>
      <c r="H288" s="137"/>
      <c r="I288" s="162"/>
      <c r="J288" s="163"/>
      <c r="K288" s="138">
        <f>K96</f>
        <v>0</v>
      </c>
      <c r="L288" s="212">
        <f>L96</f>
        <v>0</v>
      </c>
      <c r="N288" s="116"/>
    </row>
    <row r="289" spans="1:14" s="118" customFormat="1" outlineLevel="1" x14ac:dyDescent="0.3">
      <c r="A289" s="347"/>
      <c r="B289" s="353">
        <v>5</v>
      </c>
      <c r="C289" s="129" t="str">
        <f>C97</f>
        <v>Emergency System</v>
      </c>
      <c r="D289" s="184"/>
      <c r="E289" s="152"/>
      <c r="F289" s="161"/>
      <c r="G289" s="153"/>
      <c r="H289" s="137"/>
      <c r="I289" s="162"/>
      <c r="J289" s="163"/>
      <c r="K289" s="138">
        <f>K108</f>
        <v>0</v>
      </c>
      <c r="L289" s="212">
        <f>L108</f>
        <v>0</v>
      </c>
      <c r="N289" s="116"/>
    </row>
    <row r="290" spans="1:14" s="118" customFormat="1" outlineLevel="1" x14ac:dyDescent="0.3">
      <c r="A290" s="347"/>
      <c r="B290" s="353">
        <v>6</v>
      </c>
      <c r="C290" s="129" t="str">
        <f>C109</f>
        <v>Sensors / Actuators</v>
      </c>
      <c r="D290" s="184"/>
      <c r="E290" s="152"/>
      <c r="F290" s="161"/>
      <c r="G290" s="153"/>
      <c r="H290" s="137"/>
      <c r="I290" s="162"/>
      <c r="J290" s="163"/>
      <c r="K290" s="138">
        <f>K130</f>
        <v>0</v>
      </c>
      <c r="L290" s="212">
        <f>L130</f>
        <v>0</v>
      </c>
      <c r="N290" s="116"/>
    </row>
    <row r="291" spans="1:14" s="118" customFormat="1" outlineLevel="1" x14ac:dyDescent="0.3">
      <c r="A291" s="347"/>
      <c r="B291" s="353">
        <v>7</v>
      </c>
      <c r="C291" s="129" t="str">
        <f>C131</f>
        <v>Cable's Containment - Trunking</v>
      </c>
      <c r="D291" s="184"/>
      <c r="E291" s="152"/>
      <c r="F291" s="161"/>
      <c r="G291" s="153"/>
      <c r="H291" s="137"/>
      <c r="I291" s="162"/>
      <c r="J291" s="163"/>
      <c r="K291" s="138">
        <f>K192</f>
        <v>0</v>
      </c>
      <c r="L291" s="212">
        <f>L192</f>
        <v>0</v>
      </c>
      <c r="N291" s="116"/>
    </row>
    <row r="292" spans="1:14" s="118" customFormat="1" outlineLevel="1" x14ac:dyDescent="0.3">
      <c r="A292" s="347"/>
      <c r="B292" s="353">
        <v>8</v>
      </c>
      <c r="C292" s="129" t="str">
        <f>C193</f>
        <v>Cable's Containment - Ladder</v>
      </c>
      <c r="D292" s="184"/>
      <c r="E292" s="152"/>
      <c r="F292" s="161"/>
      <c r="G292" s="153"/>
      <c r="H292" s="137"/>
      <c r="I292" s="162"/>
      <c r="J292" s="163"/>
      <c r="K292" s="138">
        <f>K224</f>
        <v>0</v>
      </c>
      <c r="L292" s="212">
        <f>L224</f>
        <v>0</v>
      </c>
      <c r="N292" s="116"/>
    </row>
    <row r="293" spans="1:14" s="118" customFormat="1" outlineLevel="1" x14ac:dyDescent="0.3">
      <c r="A293" s="347"/>
      <c r="B293" s="353">
        <v>9</v>
      </c>
      <c r="C293" s="129" t="str">
        <f>C225</f>
        <v>Cables</v>
      </c>
      <c r="D293" s="184"/>
      <c r="E293" s="152"/>
      <c r="F293" s="161"/>
      <c r="G293" s="153"/>
      <c r="H293" s="137"/>
      <c r="I293" s="162"/>
      <c r="J293" s="163"/>
      <c r="K293" s="138">
        <f>K276</f>
        <v>0</v>
      </c>
      <c r="L293" s="212">
        <f>L276</f>
        <v>0</v>
      </c>
      <c r="N293" s="116"/>
    </row>
    <row r="294" spans="1:14" s="118" customFormat="1" outlineLevel="1" x14ac:dyDescent="0.3">
      <c r="A294" s="347"/>
      <c r="B294" s="353">
        <v>10</v>
      </c>
      <c r="C294" s="129" t="str">
        <f>C277</f>
        <v>Static Commissioning</v>
      </c>
      <c r="D294" s="184"/>
      <c r="E294" s="152"/>
      <c r="F294" s="161"/>
      <c r="G294" s="153"/>
      <c r="H294" s="137"/>
      <c r="I294" s="162"/>
      <c r="J294" s="163"/>
      <c r="K294" s="138">
        <f>K283</f>
        <v>0</v>
      </c>
      <c r="L294" s="212">
        <f>L283</f>
        <v>0</v>
      </c>
      <c r="N294" s="116"/>
    </row>
    <row r="295" spans="1:14" s="118" customFormat="1" outlineLevel="1" x14ac:dyDescent="0.3">
      <c r="A295" s="347"/>
      <c r="B295" s="218"/>
      <c r="C295" s="129"/>
      <c r="D295" s="184"/>
      <c r="E295" s="152"/>
      <c r="F295" s="161"/>
      <c r="G295" s="153"/>
      <c r="H295" s="137"/>
      <c r="I295" s="162"/>
      <c r="J295" s="163"/>
      <c r="K295" s="138"/>
      <c r="L295" s="212"/>
      <c r="N295" s="116"/>
    </row>
    <row r="296" spans="1:14" s="118" customFormat="1" ht="18" thickBot="1" x14ac:dyDescent="0.35">
      <c r="A296" s="351"/>
      <c r="B296" s="265"/>
      <c r="C296" s="266" t="s">
        <v>379</v>
      </c>
      <c r="D296" s="267"/>
      <c r="E296" s="268"/>
      <c r="F296" s="269"/>
      <c r="G296" s="270"/>
      <c r="H296" s="271"/>
      <c r="I296" s="272"/>
      <c r="J296" s="273"/>
      <c r="K296" s="274">
        <f>SUM(K285:K295)</f>
        <v>0</v>
      </c>
      <c r="L296" s="275">
        <f>SUM(L285:L295)</f>
        <v>0</v>
      </c>
      <c r="N296" s="116"/>
    </row>
  </sheetData>
  <sheetProtection selectLockedCells="1" selectUnlockedCells="1"/>
  <mergeCells count="17">
    <mergeCell ref="C3:D3"/>
    <mergeCell ref="G17:H17"/>
    <mergeCell ref="G3:L6"/>
    <mergeCell ref="G8:I8"/>
    <mergeCell ref="G9:H9"/>
    <mergeCell ref="G10:H10"/>
    <mergeCell ref="G11:H11"/>
    <mergeCell ref="G12:H12"/>
    <mergeCell ref="G13:H13"/>
    <mergeCell ref="G14:H14"/>
    <mergeCell ref="G15:H15"/>
    <mergeCell ref="G16:H16"/>
    <mergeCell ref="G18:H18"/>
    <mergeCell ref="G19:H19"/>
    <mergeCell ref="I19:J19"/>
    <mergeCell ref="K19:L19"/>
    <mergeCell ref="G20:H20"/>
  </mergeCells>
  <conditionalFormatting sqref="C54 C63">
    <cfRule type="expression" dxfId="25" priority="28">
      <formula>IF($F54&gt;0,TRUE)</formula>
    </cfRule>
  </conditionalFormatting>
  <conditionalFormatting sqref="C58">
    <cfRule type="expression" dxfId="24" priority="27">
      <formula>IF($F58&gt;0,TRUE)</formula>
    </cfRule>
  </conditionalFormatting>
  <conditionalFormatting sqref="C55">
    <cfRule type="expression" dxfId="23" priority="26">
      <formula>IF($F55&gt;0,TRUE)</formula>
    </cfRule>
  </conditionalFormatting>
  <conditionalFormatting sqref="C57">
    <cfRule type="expression" dxfId="22" priority="25">
      <formula>IF($F57&gt;0,TRUE)</formula>
    </cfRule>
  </conditionalFormatting>
  <conditionalFormatting sqref="C59">
    <cfRule type="expression" dxfId="21" priority="24">
      <formula>IF($F59&gt;0,TRUE)</formula>
    </cfRule>
  </conditionalFormatting>
  <conditionalFormatting sqref="C60">
    <cfRule type="expression" dxfId="20" priority="23">
      <formula>IF($F60&gt;0,TRUE)</formula>
    </cfRule>
  </conditionalFormatting>
  <conditionalFormatting sqref="C61">
    <cfRule type="expression" dxfId="19" priority="22">
      <formula>IF($F61&gt;0,TRUE)</formula>
    </cfRule>
  </conditionalFormatting>
  <conditionalFormatting sqref="C62">
    <cfRule type="expression" dxfId="18" priority="21">
      <formula>IF($F62&gt;0,TRUE)</formula>
    </cfRule>
  </conditionalFormatting>
  <conditionalFormatting sqref="C56">
    <cfRule type="expression" dxfId="17" priority="20">
      <formula>IF($F56&gt;0,TRUE)</formula>
    </cfRule>
  </conditionalFormatting>
  <conditionalFormatting sqref="C60">
    <cfRule type="expression" dxfId="16" priority="19">
      <formula>IF($F60&gt;0,TRUE)</formula>
    </cfRule>
  </conditionalFormatting>
  <conditionalFormatting sqref="C61">
    <cfRule type="expression" dxfId="15" priority="18">
      <formula>IF($F61&gt;0,TRUE)</formula>
    </cfRule>
  </conditionalFormatting>
  <conditionalFormatting sqref="C66">
    <cfRule type="expression" dxfId="14" priority="17">
      <formula>IF($F66&gt;0,TRUE)</formula>
    </cfRule>
  </conditionalFormatting>
  <conditionalFormatting sqref="C67">
    <cfRule type="expression" dxfId="13" priority="16">
      <formula>IF($F67&gt;0,TRUE)</formula>
    </cfRule>
  </conditionalFormatting>
  <conditionalFormatting sqref="C68">
    <cfRule type="expression" dxfId="12" priority="15">
      <formula>IF($F68&gt;0,TRUE)</formula>
    </cfRule>
  </conditionalFormatting>
  <conditionalFormatting sqref="C66">
    <cfRule type="expression" dxfId="11" priority="14">
      <formula>IF($F66&gt;0,TRUE)</formula>
    </cfRule>
  </conditionalFormatting>
  <conditionalFormatting sqref="C67">
    <cfRule type="expression" dxfId="10" priority="13">
      <formula>IF($F67&gt;0,TRUE)</formula>
    </cfRule>
  </conditionalFormatting>
  <conditionalFormatting sqref="C69:C70">
    <cfRule type="expression" dxfId="9" priority="12">
      <formula>IF($F69&gt;0,TRUE)</formula>
    </cfRule>
  </conditionalFormatting>
  <conditionalFormatting sqref="C70">
    <cfRule type="expression" dxfId="8" priority="11">
      <formula>IF($F71&gt;0,TRUE)</formula>
    </cfRule>
  </conditionalFormatting>
  <conditionalFormatting sqref="C101">
    <cfRule type="expression" dxfId="7" priority="32">
      <formula>IF(#REF!&gt;0,TRUE)</formula>
    </cfRule>
  </conditionalFormatting>
  <conditionalFormatting sqref="E32 E37:E38 E27:E28 E35 E22:E24 E30">
    <cfRule type="cellIs" dxfId="6" priority="7" operator="equal">
      <formula>0</formula>
    </cfRule>
  </conditionalFormatting>
  <conditionalFormatting sqref="E31">
    <cfRule type="cellIs" dxfId="5" priority="6" operator="equal">
      <formula>0</formula>
    </cfRule>
  </conditionalFormatting>
  <conditionalFormatting sqref="E36">
    <cfRule type="cellIs" dxfId="4" priority="5" operator="equal">
      <formula>0</formula>
    </cfRule>
  </conditionalFormatting>
  <conditionalFormatting sqref="E42:E46">
    <cfRule type="cellIs" dxfId="3" priority="4" operator="equal">
      <formula>0</formula>
    </cfRule>
  </conditionalFormatting>
  <conditionalFormatting sqref="E33">
    <cfRule type="cellIs" dxfId="2" priority="3" operator="equal">
      <formula>0</formula>
    </cfRule>
  </conditionalFormatting>
  <conditionalFormatting sqref="E29">
    <cfRule type="cellIs" dxfId="1" priority="2" operator="equal">
      <formula>0</formula>
    </cfRule>
  </conditionalFormatting>
  <conditionalFormatting sqref="E39:E41">
    <cfRule type="cellIs" dxfId="0" priority="1" operator="equal">
      <formula>0</formula>
    </cfRule>
  </conditionalFormatting>
  <pageMargins left="0.7" right="0.7" top="0.78740157499999996" bottom="0.78740157499999996" header="0.3" footer="0.3"/>
  <pageSetup paperSize="9" orientation="portrait" horizontalDpi="300" verticalDpi="0" r:id="rId1"/>
  <drawing r:id="rId2"/>
  <legacyDrawing r:id="rId3"/>
  <controls>
    <mc:AlternateContent xmlns:mc="http://schemas.openxmlformats.org/markup-compatibility/2006">
      <mc:Choice Requires="x14">
        <control shapeId="13313" r:id="rId4" name="cmd_get_QTY_ICS">
          <controlPr defaultSize="0" autoLine="0" r:id="rId5">
            <anchor>
              <from>
                <xdr:col>8</xdr:col>
                <xdr:colOff>822960</xdr:colOff>
                <xdr:row>1</xdr:row>
                <xdr:rowOff>99060</xdr:rowOff>
              </from>
              <to>
                <xdr:col>10</xdr:col>
                <xdr:colOff>259080</xdr:colOff>
                <xdr:row>3</xdr:row>
                <xdr:rowOff>114300</xdr:rowOff>
              </to>
            </anchor>
          </controlPr>
        </control>
      </mc:Choice>
      <mc:Fallback>
        <control shapeId="13313" r:id="rId4" name="cmd_get_QTY_ICS"/>
      </mc:Fallback>
    </mc:AlternateContent>
    <mc:AlternateContent xmlns:mc="http://schemas.openxmlformats.org/markup-compatibility/2006">
      <mc:Choice Requires="x14">
        <control shapeId="13314" r:id="rId6" name="cmd_clear_ICS">
          <controlPr defaultSize="0" autoLine="0" r:id="rId7">
            <anchor>
              <from>
                <xdr:col>8</xdr:col>
                <xdr:colOff>830580</xdr:colOff>
                <xdr:row>0</xdr:row>
                <xdr:rowOff>38100</xdr:rowOff>
              </from>
              <to>
                <xdr:col>10</xdr:col>
                <xdr:colOff>236220</xdr:colOff>
                <xdr:row>1</xdr:row>
                <xdr:rowOff>68580</xdr:rowOff>
              </to>
            </anchor>
          </controlPr>
        </control>
      </mc:Choice>
      <mc:Fallback>
        <control shapeId="13314" r:id="rId6" name="cmd_clear_ICS"/>
      </mc:Fallback>
    </mc:AlternateContent>
    <mc:AlternateContent xmlns:mc="http://schemas.openxmlformats.org/markup-compatibility/2006">
      <mc:Choice Requires="x14">
        <control shapeId="13347" r:id="rId8" name="cmd_save_as">
          <controlPr defaultSize="0" autoLine="0" r:id="rId9">
            <anchor>
              <from>
                <xdr:col>8</xdr:col>
                <xdr:colOff>822960</xdr:colOff>
                <xdr:row>4</xdr:row>
                <xdr:rowOff>22860</xdr:rowOff>
              </from>
              <to>
                <xdr:col>10</xdr:col>
                <xdr:colOff>259080</xdr:colOff>
                <xdr:row>6</xdr:row>
                <xdr:rowOff>175260</xdr:rowOff>
              </to>
            </anchor>
          </controlPr>
        </control>
      </mc:Choice>
      <mc:Fallback>
        <control shapeId="13347" r:id="rId8" name="cmd_save_a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1ED38-DB44-4EA3-A880-93715CBF8465}">
  <sheetPr codeName="Sheet3">
    <pageSetUpPr fitToPage="1"/>
  </sheetPr>
  <dimension ref="B2:H28"/>
  <sheetViews>
    <sheetView zoomScale="80" zoomScaleNormal="80" workbookViewId="0">
      <selection activeCell="F9" sqref="F9"/>
    </sheetView>
  </sheetViews>
  <sheetFormatPr defaultColWidth="9.33203125" defaultRowHeight="14.4" x14ac:dyDescent="0.3"/>
  <cols>
    <col min="1" max="1" width="1.6640625" customWidth="1"/>
    <col min="2" max="2" width="40.6640625" customWidth="1"/>
    <col min="3" max="3" width="14" customWidth="1"/>
    <col min="4" max="4" width="14.5546875" customWidth="1"/>
    <col min="5" max="5" width="14.5546875" style="59" customWidth="1"/>
    <col min="6" max="6" width="14.5546875" customWidth="1"/>
    <col min="7" max="7" width="14.5546875" style="59" customWidth="1"/>
    <col min="8" max="8" width="25" customWidth="1"/>
  </cols>
  <sheetData>
    <row r="2" spans="2:8" s="23" customFormat="1" thickBot="1" x14ac:dyDescent="0.3">
      <c r="B2" s="29" t="s">
        <v>164</v>
      </c>
      <c r="C2" s="344" t="str">
        <f>'Pricing Sheet'!$C$8</f>
        <v>&lt;enter subcontractor company name&gt;</v>
      </c>
      <c r="D2" s="342"/>
      <c r="E2" s="343"/>
      <c r="F2" s="344"/>
      <c r="G2" s="61" t="s">
        <v>165</v>
      </c>
      <c r="H2" s="344" t="str">
        <f>'Pricing Sheet'!$C$12</f>
        <v>May 31, 2023</v>
      </c>
    </row>
    <row r="3" spans="2:8" s="23" customFormat="1" ht="13.8" x14ac:dyDescent="0.25">
      <c r="E3" s="56"/>
      <c r="G3" s="56"/>
    </row>
    <row r="4" spans="2:8" s="23" customFormat="1" ht="30" customHeight="1" thickBot="1" x14ac:dyDescent="0.3">
      <c r="B4" s="470" t="s">
        <v>166</v>
      </c>
      <c r="C4" s="470"/>
      <c r="D4" s="470"/>
      <c r="E4" s="470"/>
      <c r="F4" s="470"/>
      <c r="G4" s="470"/>
      <c r="H4" s="470"/>
    </row>
    <row r="5" spans="2:8" s="23" customFormat="1" ht="35.1" customHeight="1" thickBot="1" x14ac:dyDescent="0.3">
      <c r="B5" s="426" t="s">
        <v>24</v>
      </c>
      <c r="C5" s="427"/>
      <c r="D5" s="426" t="s">
        <v>167</v>
      </c>
      <c r="E5" s="471"/>
      <c r="F5" s="471"/>
      <c r="G5" s="427"/>
      <c r="H5" s="472" t="s">
        <v>168</v>
      </c>
    </row>
    <row r="6" spans="2:8" s="23" customFormat="1" ht="28.2" thickBot="1" x14ac:dyDescent="0.3">
      <c r="B6" s="34" t="s">
        <v>169</v>
      </c>
      <c r="C6" s="55" t="s">
        <v>170</v>
      </c>
      <c r="D6" s="55" t="s">
        <v>171</v>
      </c>
      <c r="E6" s="57" t="s">
        <v>172</v>
      </c>
      <c r="F6" s="55" t="s">
        <v>173</v>
      </c>
      <c r="G6" s="57" t="s">
        <v>174</v>
      </c>
      <c r="H6" s="473"/>
    </row>
    <row r="7" spans="2:8" ht="25.2" customHeight="1" thickBot="1" x14ac:dyDescent="0.35">
      <c r="B7" s="25" t="s">
        <v>175</v>
      </c>
      <c r="C7" s="24" t="s">
        <v>176</v>
      </c>
      <c r="D7" s="327">
        <v>0</v>
      </c>
      <c r="E7" s="328">
        <v>0</v>
      </c>
      <c r="F7" s="329">
        <v>0</v>
      </c>
      <c r="G7" s="305">
        <f>D7*E7*F7</f>
        <v>0</v>
      </c>
      <c r="H7" s="26"/>
    </row>
    <row r="8" spans="2:8" ht="25.2" customHeight="1" thickBot="1" x14ac:dyDescent="0.35">
      <c r="B8" s="25" t="s">
        <v>177</v>
      </c>
      <c r="C8" s="24" t="s">
        <v>178</v>
      </c>
      <c r="D8" s="327">
        <v>0</v>
      </c>
      <c r="E8" s="328">
        <v>0</v>
      </c>
      <c r="F8" s="329">
        <v>0</v>
      </c>
      <c r="G8" s="305">
        <f t="shared" ref="G8:G17" si="0">D8*E8*F8</f>
        <v>0</v>
      </c>
      <c r="H8" s="27"/>
    </row>
    <row r="9" spans="2:8" ht="25.2" customHeight="1" thickBot="1" x14ac:dyDescent="0.35">
      <c r="B9" s="25" t="s">
        <v>179</v>
      </c>
      <c r="C9" s="24" t="s">
        <v>180</v>
      </c>
      <c r="D9" s="327">
        <v>0</v>
      </c>
      <c r="E9" s="328">
        <v>0</v>
      </c>
      <c r="F9" s="329">
        <v>0</v>
      </c>
      <c r="G9" s="305">
        <f>D9*E9*F9</f>
        <v>0</v>
      </c>
      <c r="H9" s="27"/>
    </row>
    <row r="10" spans="2:8" ht="25.2" customHeight="1" thickBot="1" x14ac:dyDescent="0.35">
      <c r="B10" s="25" t="s">
        <v>181</v>
      </c>
      <c r="C10" s="24" t="s">
        <v>180</v>
      </c>
      <c r="D10" s="327">
        <v>0</v>
      </c>
      <c r="E10" s="328">
        <v>0</v>
      </c>
      <c r="F10" s="329">
        <v>0</v>
      </c>
      <c r="G10" s="305">
        <f t="shared" si="0"/>
        <v>0</v>
      </c>
      <c r="H10" s="27"/>
    </row>
    <row r="11" spans="2:8" ht="25.2" customHeight="1" thickBot="1" x14ac:dyDescent="0.35">
      <c r="B11" s="25" t="s">
        <v>182</v>
      </c>
      <c r="C11" s="24"/>
      <c r="D11" s="327">
        <v>0</v>
      </c>
      <c r="E11" s="328">
        <v>0</v>
      </c>
      <c r="F11" s="329">
        <v>0</v>
      </c>
      <c r="G11" s="305">
        <f t="shared" si="0"/>
        <v>0</v>
      </c>
      <c r="H11" s="27"/>
    </row>
    <row r="12" spans="2:8" ht="24.75" customHeight="1" thickBot="1" x14ac:dyDescent="0.35">
      <c r="B12" s="25" t="s">
        <v>183</v>
      </c>
      <c r="C12" s="24"/>
      <c r="D12" s="327">
        <v>0</v>
      </c>
      <c r="E12" s="328">
        <v>0</v>
      </c>
      <c r="F12" s="329">
        <v>0</v>
      </c>
      <c r="G12" s="305">
        <f t="shared" si="0"/>
        <v>0</v>
      </c>
      <c r="H12" s="27"/>
    </row>
    <row r="13" spans="2:8" ht="25.2" customHeight="1" thickBot="1" x14ac:dyDescent="0.35">
      <c r="B13" s="25" t="s">
        <v>184</v>
      </c>
      <c r="C13" s="24"/>
      <c r="D13" s="327">
        <v>0</v>
      </c>
      <c r="E13" s="328">
        <v>0</v>
      </c>
      <c r="F13" s="329">
        <v>0</v>
      </c>
      <c r="G13" s="305">
        <f t="shared" si="0"/>
        <v>0</v>
      </c>
      <c r="H13" s="27"/>
    </row>
    <row r="14" spans="2:8" ht="25.2" customHeight="1" thickBot="1" x14ac:dyDescent="0.35">
      <c r="B14" s="25" t="s">
        <v>185</v>
      </c>
      <c r="C14" s="24"/>
      <c r="D14" s="327">
        <v>0</v>
      </c>
      <c r="E14" s="328">
        <v>0</v>
      </c>
      <c r="F14" s="329">
        <v>0</v>
      </c>
      <c r="G14" s="305">
        <f t="shared" si="0"/>
        <v>0</v>
      </c>
      <c r="H14" s="27"/>
    </row>
    <row r="15" spans="2:8" ht="25.2" customHeight="1" thickBot="1" x14ac:dyDescent="0.35">
      <c r="B15" s="25" t="s">
        <v>186</v>
      </c>
      <c r="C15" s="24"/>
      <c r="D15" s="327">
        <v>0</v>
      </c>
      <c r="E15" s="328">
        <v>0</v>
      </c>
      <c r="F15" s="329">
        <v>0</v>
      </c>
      <c r="G15" s="305">
        <f t="shared" si="0"/>
        <v>0</v>
      </c>
      <c r="H15" s="27"/>
    </row>
    <row r="16" spans="2:8" ht="25.2" customHeight="1" thickBot="1" x14ac:dyDescent="0.35">
      <c r="B16" s="25" t="s">
        <v>187</v>
      </c>
      <c r="C16" s="24"/>
      <c r="D16" s="327">
        <v>0</v>
      </c>
      <c r="E16" s="328">
        <v>0</v>
      </c>
      <c r="F16" s="329">
        <v>0</v>
      </c>
      <c r="G16" s="305">
        <f t="shared" si="0"/>
        <v>0</v>
      </c>
      <c r="H16" s="27"/>
    </row>
    <row r="17" spans="2:8" ht="25.2" customHeight="1" thickBot="1" x14ac:dyDescent="0.35">
      <c r="B17" s="25" t="s">
        <v>188</v>
      </c>
      <c r="C17" s="24"/>
      <c r="D17" s="327">
        <v>0</v>
      </c>
      <c r="E17" s="328">
        <v>0</v>
      </c>
      <c r="F17" s="329">
        <v>0</v>
      </c>
      <c r="G17" s="305">
        <f t="shared" si="0"/>
        <v>0</v>
      </c>
      <c r="H17" s="27"/>
    </row>
    <row r="18" spans="2:8" ht="25.2" customHeight="1" thickBot="1" x14ac:dyDescent="0.35">
      <c r="B18" s="331"/>
      <c r="C18" s="330"/>
      <c r="D18" s="330"/>
      <c r="E18" s="328"/>
      <c r="F18" s="330"/>
      <c r="G18" s="328"/>
      <c r="H18" s="332"/>
    </row>
    <row r="19" spans="2:8" ht="25.2" customHeight="1" thickBot="1" x14ac:dyDescent="0.35">
      <c r="B19" s="331"/>
      <c r="C19" s="330"/>
      <c r="D19" s="330"/>
      <c r="E19" s="328"/>
      <c r="F19" s="330"/>
      <c r="G19" s="328"/>
      <c r="H19" s="332"/>
    </row>
    <row r="20" spans="2:8" ht="24.75" customHeight="1" thickBot="1" x14ac:dyDescent="0.35">
      <c r="B20" s="50" t="s">
        <v>189</v>
      </c>
      <c r="C20" s="24"/>
      <c r="D20" s="24"/>
      <c r="E20" s="58"/>
      <c r="F20" s="24"/>
      <c r="G20" s="328">
        <v>0</v>
      </c>
      <c r="H20" s="27"/>
    </row>
    <row r="22" spans="2:8" x14ac:dyDescent="0.3">
      <c r="B22" s="28" t="s">
        <v>190</v>
      </c>
    </row>
    <row r="23" spans="2:8" x14ac:dyDescent="0.3">
      <c r="B23" s="28"/>
    </row>
    <row r="24" spans="2:8" x14ac:dyDescent="0.3">
      <c r="B24" s="28"/>
    </row>
    <row r="25" spans="2:8" s="23" customFormat="1" ht="13.8" x14ac:dyDescent="0.25">
      <c r="B25" s="29" t="s">
        <v>40</v>
      </c>
      <c r="C25" s="31"/>
      <c r="D25" s="31"/>
      <c r="E25" s="56"/>
      <c r="G25" s="56"/>
    </row>
    <row r="26" spans="2:8" s="23" customFormat="1" thickBot="1" x14ac:dyDescent="0.3">
      <c r="B26" s="29" t="s">
        <v>42</v>
      </c>
      <c r="C26" s="32"/>
      <c r="D26" s="32"/>
      <c r="E26" s="60"/>
      <c r="F26" s="32"/>
      <c r="G26" s="56"/>
      <c r="H26" s="33"/>
    </row>
    <row r="27" spans="2:8" s="23" customFormat="1" ht="13.8" x14ac:dyDescent="0.25">
      <c r="B27" s="31"/>
      <c r="C27" s="31" t="s">
        <v>191</v>
      </c>
      <c r="D27" s="31"/>
      <c r="E27" s="56"/>
      <c r="G27" s="56"/>
      <c r="H27" s="23" t="s">
        <v>44</v>
      </c>
    </row>
    <row r="28" spans="2:8" x14ac:dyDescent="0.3">
      <c r="B28" s="28"/>
    </row>
  </sheetData>
  <sheetProtection selectLockedCells="1" selectUnlockedCells="1"/>
  <mergeCells count="4">
    <mergeCell ref="B4:H4"/>
    <mergeCell ref="B5:C5"/>
    <mergeCell ref="D5:G5"/>
    <mergeCell ref="H5:H6"/>
  </mergeCells>
  <pageMargins left="1" right="1" top="1" bottom="1" header="0.5" footer="0.5"/>
  <pageSetup paperSize="9" scale="73" orientation="landscape" horizontalDpi="30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97B0B-0D59-4DE0-8300-6AC7C16B6943}">
  <sheetPr codeName="Sheet4">
    <pageSetUpPr fitToPage="1"/>
  </sheetPr>
  <dimension ref="B2:H24"/>
  <sheetViews>
    <sheetView zoomScale="80" zoomScaleNormal="80" workbookViewId="0">
      <selection activeCell="L11" sqref="L11"/>
    </sheetView>
  </sheetViews>
  <sheetFormatPr defaultColWidth="9.33203125" defaultRowHeight="14.4" x14ac:dyDescent="0.3"/>
  <cols>
    <col min="1" max="1" width="1.6640625" customWidth="1"/>
    <col min="2" max="3" width="33.44140625" customWidth="1"/>
    <col min="4" max="5" width="17.6640625" style="65" customWidth="1"/>
    <col min="6" max="7" width="17.6640625" style="40" customWidth="1"/>
  </cols>
  <sheetData>
    <row r="2" spans="2:8" ht="15" thickBot="1" x14ac:dyDescent="0.35">
      <c r="B2" s="29" t="s">
        <v>164</v>
      </c>
      <c r="C2" s="344" t="str">
        <f>'Pricing Sheet'!$C$8</f>
        <v>&lt;enter subcontractor company name&gt;</v>
      </c>
      <c r="D2" s="342"/>
      <c r="E2" s="62"/>
      <c r="F2" s="38" t="s">
        <v>192</v>
      </c>
      <c r="G2" s="344" t="str">
        <f>'Pricing Sheet'!$C$12</f>
        <v>May 31, 2023</v>
      </c>
      <c r="H2" s="23"/>
    </row>
    <row r="3" spans="2:8" x14ac:dyDescent="0.3">
      <c r="B3" s="23"/>
      <c r="C3" s="23"/>
      <c r="D3" s="63"/>
      <c r="E3" s="62"/>
      <c r="F3" s="39"/>
      <c r="G3" s="39"/>
      <c r="H3" s="23"/>
    </row>
    <row r="4" spans="2:8" ht="30" customHeight="1" thickBot="1" x14ac:dyDescent="0.35">
      <c r="B4" s="470" t="s">
        <v>193</v>
      </c>
      <c r="C4" s="470"/>
      <c r="D4" s="474"/>
      <c r="E4" s="474"/>
      <c r="F4" s="474"/>
      <c r="G4" s="39"/>
      <c r="H4" s="23"/>
    </row>
    <row r="5" spans="2:8" ht="20.100000000000001" customHeight="1" thickBot="1" x14ac:dyDescent="0.35">
      <c r="B5" s="426"/>
      <c r="C5" s="427"/>
      <c r="D5" s="475" t="s">
        <v>28</v>
      </c>
      <c r="E5" s="476"/>
      <c r="F5" s="476"/>
      <c r="G5" s="477"/>
    </row>
    <row r="6" spans="2:8" ht="47.4" thickBot="1" x14ac:dyDescent="0.35">
      <c r="B6" s="51" t="s">
        <v>194</v>
      </c>
      <c r="C6" s="52"/>
      <c r="D6" s="64" t="s">
        <v>195</v>
      </c>
      <c r="E6" s="64" t="s">
        <v>196</v>
      </c>
      <c r="F6" s="43" t="s">
        <v>197</v>
      </c>
      <c r="G6" s="43" t="s">
        <v>198</v>
      </c>
    </row>
    <row r="7" spans="2:8" ht="28.5" customHeight="1" thickBot="1" x14ac:dyDescent="0.35">
      <c r="B7" s="53" t="s">
        <v>199</v>
      </c>
      <c r="C7" s="54" t="s">
        <v>200</v>
      </c>
      <c r="D7" s="333">
        <v>0</v>
      </c>
      <c r="E7" s="333">
        <v>0</v>
      </c>
      <c r="F7" s="334">
        <v>0</v>
      </c>
      <c r="G7" s="334">
        <v>0</v>
      </c>
    </row>
    <row r="8" spans="2:8" ht="28.5" customHeight="1" thickBot="1" x14ac:dyDescent="0.35">
      <c r="B8" s="53" t="s">
        <v>201</v>
      </c>
      <c r="C8" s="54" t="s">
        <v>202</v>
      </c>
      <c r="D8" s="333">
        <v>0</v>
      </c>
      <c r="E8" s="333">
        <v>0</v>
      </c>
      <c r="F8" s="334">
        <v>0</v>
      </c>
      <c r="G8" s="334">
        <v>0</v>
      </c>
    </row>
    <row r="9" spans="2:8" ht="28.5" customHeight="1" thickBot="1" x14ac:dyDescent="0.35">
      <c r="B9" s="53" t="s">
        <v>203</v>
      </c>
      <c r="C9" s="54" t="s">
        <v>204</v>
      </c>
      <c r="D9" s="333">
        <v>0</v>
      </c>
      <c r="E9" s="333">
        <v>0</v>
      </c>
      <c r="F9" s="334">
        <v>0</v>
      </c>
      <c r="G9" s="334">
        <v>0</v>
      </c>
    </row>
    <row r="10" spans="2:8" ht="28.5" customHeight="1" thickBot="1" x14ac:dyDescent="0.35">
      <c r="B10" s="53" t="s">
        <v>205</v>
      </c>
      <c r="C10" s="54" t="s">
        <v>206</v>
      </c>
      <c r="D10" s="333">
        <v>0</v>
      </c>
      <c r="E10" s="333">
        <v>0</v>
      </c>
      <c r="F10" s="334">
        <v>0</v>
      </c>
      <c r="G10" s="334">
        <v>0</v>
      </c>
    </row>
    <row r="11" spans="2:8" ht="28.5" customHeight="1" thickBot="1" x14ac:dyDescent="0.35">
      <c r="B11" s="53" t="s">
        <v>207</v>
      </c>
      <c r="C11" s="54" t="s">
        <v>208</v>
      </c>
      <c r="D11" s="333">
        <v>0</v>
      </c>
      <c r="E11" s="333">
        <v>0</v>
      </c>
      <c r="F11" s="334">
        <v>0</v>
      </c>
      <c r="G11" s="334">
        <v>0</v>
      </c>
    </row>
    <row r="12" spans="2:8" ht="28.5" customHeight="1" thickBot="1" x14ac:dyDescent="0.35">
      <c r="B12" s="53" t="s">
        <v>209</v>
      </c>
      <c r="C12" s="54" t="s">
        <v>210</v>
      </c>
      <c r="D12" s="333">
        <v>0</v>
      </c>
      <c r="E12" s="333">
        <v>0</v>
      </c>
      <c r="F12" s="334">
        <v>0</v>
      </c>
      <c r="G12" s="334">
        <v>0</v>
      </c>
    </row>
    <row r="13" spans="2:8" ht="28.5" customHeight="1" thickBot="1" x14ac:dyDescent="0.35">
      <c r="B13" s="53" t="s">
        <v>211</v>
      </c>
      <c r="C13" s="54" t="s">
        <v>212</v>
      </c>
      <c r="D13" s="333">
        <v>0</v>
      </c>
      <c r="E13" s="333">
        <v>0</v>
      </c>
      <c r="F13" s="334">
        <v>0</v>
      </c>
      <c r="G13" s="334">
        <v>0</v>
      </c>
    </row>
    <row r="14" spans="2:8" ht="28.5" customHeight="1" thickBot="1" x14ac:dyDescent="0.35">
      <c r="B14" s="335"/>
      <c r="C14" s="332"/>
      <c r="D14" s="333"/>
      <c r="E14" s="333"/>
      <c r="F14" s="334"/>
      <c r="G14" s="334"/>
    </row>
    <row r="15" spans="2:8" ht="28.5" customHeight="1" thickBot="1" x14ac:dyDescent="0.35">
      <c r="B15" s="335"/>
      <c r="C15" s="332"/>
      <c r="D15" s="333"/>
      <c r="E15" s="333"/>
      <c r="F15" s="334"/>
      <c r="G15" s="334"/>
    </row>
    <row r="17" spans="2:7" ht="16.8" x14ac:dyDescent="0.3">
      <c r="B17" s="28" t="s">
        <v>213</v>
      </c>
    </row>
    <row r="18" spans="2:7" x14ac:dyDescent="0.3">
      <c r="B18" s="72" t="s">
        <v>214</v>
      </c>
    </row>
    <row r="19" spans="2:7" ht="16.8" x14ac:dyDescent="0.3">
      <c r="B19" s="28" t="s">
        <v>215</v>
      </c>
    </row>
    <row r="20" spans="2:7" x14ac:dyDescent="0.3">
      <c r="B20" s="28"/>
    </row>
    <row r="22" spans="2:7" s="23" customFormat="1" ht="13.8" x14ac:dyDescent="0.25">
      <c r="B22" s="29" t="s">
        <v>40</v>
      </c>
      <c r="C22" s="31"/>
      <c r="D22" s="66"/>
      <c r="E22" s="63"/>
      <c r="F22" s="39"/>
      <c r="G22" s="39"/>
    </row>
    <row r="23" spans="2:7" s="23" customFormat="1" thickBot="1" x14ac:dyDescent="0.3">
      <c r="B23" s="29" t="s">
        <v>42</v>
      </c>
      <c r="C23" s="32"/>
      <c r="D23" s="67"/>
      <c r="E23" s="63"/>
      <c r="F23" s="42"/>
      <c r="G23" s="42"/>
    </row>
    <row r="24" spans="2:7" s="23" customFormat="1" ht="13.8" x14ac:dyDescent="0.25">
      <c r="B24" s="31"/>
      <c r="C24" s="31" t="s">
        <v>43</v>
      </c>
      <c r="D24" s="66"/>
      <c r="E24" s="63"/>
      <c r="F24" s="39" t="s">
        <v>44</v>
      </c>
      <c r="G24" s="39"/>
    </row>
  </sheetData>
  <sheetProtection selectLockedCells="1" selectUnlockedCells="1"/>
  <mergeCells count="3">
    <mergeCell ref="B4:F4"/>
    <mergeCell ref="B5:C5"/>
    <mergeCell ref="D5:G5"/>
  </mergeCells>
  <pageMargins left="1" right="1" top="1" bottom="1" header="0.5" footer="0.5"/>
  <pageSetup paperSize="9" scale="78" orientation="landscape" horizontalDpi="30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578E-4987-4B0C-B487-19650B6AFE12}">
  <sheetPr codeName="Sheet5">
    <pageSetUpPr fitToPage="1"/>
  </sheetPr>
  <dimension ref="B2:H20"/>
  <sheetViews>
    <sheetView zoomScale="90" zoomScaleNormal="90" workbookViewId="0">
      <selection activeCell="C29" sqref="C29:D29"/>
    </sheetView>
  </sheetViews>
  <sheetFormatPr defaultColWidth="9.33203125" defaultRowHeight="14.4" x14ac:dyDescent="0.3"/>
  <cols>
    <col min="1" max="1" width="1.6640625" customWidth="1"/>
    <col min="2" max="2" width="40.6640625" customWidth="1"/>
    <col min="3" max="3" width="14" customWidth="1"/>
    <col min="4" max="4" width="14.5546875" customWidth="1"/>
    <col min="5" max="5" width="14.5546875" style="40" customWidth="1"/>
    <col min="6" max="7" width="14.5546875" style="59" customWidth="1"/>
    <col min="8" max="8" width="25" customWidth="1"/>
  </cols>
  <sheetData>
    <row r="2" spans="2:8" s="23" customFormat="1" thickBot="1" x14ac:dyDescent="0.3">
      <c r="B2" s="29" t="s">
        <v>164</v>
      </c>
      <c r="C2" s="344" t="str">
        <f>'Pricing Sheet'!$C$8</f>
        <v>&lt;enter subcontractor company name&gt;</v>
      </c>
      <c r="D2" s="342"/>
      <c r="E2" s="343"/>
      <c r="F2" s="344"/>
      <c r="G2" s="61" t="s">
        <v>165</v>
      </c>
      <c r="H2" s="344" t="str">
        <f>'Pricing Sheet'!$C$12</f>
        <v>May 31, 2023</v>
      </c>
    </row>
    <row r="3" spans="2:8" s="23" customFormat="1" ht="13.8" x14ac:dyDescent="0.25">
      <c r="E3" s="39"/>
      <c r="F3" s="56"/>
      <c r="G3" s="56"/>
    </row>
    <row r="4" spans="2:8" s="23" customFormat="1" ht="30" customHeight="1" thickBot="1" x14ac:dyDescent="0.3">
      <c r="B4" s="470" t="s">
        <v>216</v>
      </c>
      <c r="C4" s="470"/>
      <c r="D4" s="470"/>
      <c r="E4" s="470"/>
      <c r="F4" s="470"/>
      <c r="G4" s="470"/>
      <c r="H4" s="470"/>
    </row>
    <row r="5" spans="2:8" s="23" customFormat="1" ht="35.1" customHeight="1" thickBot="1" x14ac:dyDescent="0.3">
      <c r="B5" s="426" t="s">
        <v>24</v>
      </c>
      <c r="C5" s="427"/>
      <c r="D5" s="426" t="s">
        <v>167</v>
      </c>
      <c r="E5" s="471"/>
      <c r="F5" s="471"/>
      <c r="G5" s="427"/>
      <c r="H5" s="472" t="s">
        <v>217</v>
      </c>
    </row>
    <row r="6" spans="2:8" s="23" customFormat="1" ht="28.2" thickBot="1" x14ac:dyDescent="0.3">
      <c r="B6" s="426" t="s">
        <v>218</v>
      </c>
      <c r="C6" s="480"/>
      <c r="D6" s="55" t="s">
        <v>171</v>
      </c>
      <c r="E6" s="55" t="s">
        <v>219</v>
      </c>
      <c r="F6" s="57" t="s">
        <v>220</v>
      </c>
      <c r="G6" s="57" t="s">
        <v>174</v>
      </c>
      <c r="H6" s="473"/>
    </row>
    <row r="7" spans="2:8" ht="24.75" customHeight="1" thickBot="1" x14ac:dyDescent="0.35">
      <c r="B7" s="478" t="s">
        <v>221</v>
      </c>
      <c r="C7" s="479"/>
      <c r="D7" s="336">
        <v>0</v>
      </c>
      <c r="E7" s="337">
        <v>0</v>
      </c>
      <c r="F7" s="328">
        <v>0</v>
      </c>
      <c r="G7" s="305">
        <f>D7*E7*F7</f>
        <v>0</v>
      </c>
      <c r="H7" s="26"/>
    </row>
    <row r="8" spans="2:8" ht="24.75" customHeight="1" thickBot="1" x14ac:dyDescent="0.35">
      <c r="B8" s="478" t="s">
        <v>222</v>
      </c>
      <c r="C8" s="479"/>
      <c r="D8" s="336">
        <v>0</v>
      </c>
      <c r="E8" s="338">
        <v>0</v>
      </c>
      <c r="F8" s="328">
        <v>0</v>
      </c>
      <c r="G8" s="305">
        <f>D8*E8*F8</f>
        <v>0</v>
      </c>
      <c r="H8" s="27"/>
    </row>
    <row r="9" spans="2:8" ht="24.75" customHeight="1" thickBot="1" x14ac:dyDescent="0.35">
      <c r="B9" s="478" t="s">
        <v>223</v>
      </c>
      <c r="C9" s="479"/>
      <c r="D9" s="339">
        <v>0</v>
      </c>
      <c r="E9" s="338">
        <v>0</v>
      </c>
      <c r="F9" s="328">
        <v>0</v>
      </c>
      <c r="G9" s="305">
        <f>D9*E9*F9</f>
        <v>0</v>
      </c>
      <c r="H9" s="27"/>
    </row>
    <row r="10" spans="2:8" ht="24.75" customHeight="1" thickBot="1" x14ac:dyDescent="0.35">
      <c r="B10" s="478" t="s">
        <v>224</v>
      </c>
      <c r="C10" s="479"/>
      <c r="D10" s="339">
        <v>0</v>
      </c>
      <c r="E10" s="338">
        <v>0</v>
      </c>
      <c r="F10" s="328">
        <v>0</v>
      </c>
      <c r="G10" s="305">
        <f>D10*E10*F10</f>
        <v>0</v>
      </c>
      <c r="H10" s="27"/>
    </row>
    <row r="11" spans="2:8" ht="24.75" customHeight="1" thickBot="1" x14ac:dyDescent="0.35">
      <c r="B11" s="478" t="s">
        <v>225</v>
      </c>
      <c r="C11" s="479"/>
      <c r="D11" s="336">
        <v>0</v>
      </c>
      <c r="E11" s="338">
        <v>0</v>
      </c>
      <c r="F11" s="328">
        <v>0</v>
      </c>
      <c r="G11" s="305">
        <f>D11*E11*F11</f>
        <v>0</v>
      </c>
      <c r="H11" s="27"/>
    </row>
    <row r="12" spans="2:8" ht="24.75" customHeight="1" thickBot="1" x14ac:dyDescent="0.35">
      <c r="B12" s="340"/>
      <c r="C12" s="341"/>
      <c r="D12" s="336"/>
      <c r="E12" s="338"/>
      <c r="F12" s="328"/>
      <c r="G12" s="328"/>
      <c r="H12" s="332"/>
    </row>
    <row r="14" spans="2:8" x14ac:dyDescent="0.3">
      <c r="B14" s="28" t="s">
        <v>226</v>
      </c>
    </row>
    <row r="15" spans="2:8" x14ac:dyDescent="0.3">
      <c r="B15" s="28"/>
    </row>
    <row r="16" spans="2:8" x14ac:dyDescent="0.3">
      <c r="B16" s="28"/>
    </row>
    <row r="17" spans="2:8" s="23" customFormat="1" ht="13.8" x14ac:dyDescent="0.25">
      <c r="B17" s="29" t="s">
        <v>40</v>
      </c>
      <c r="C17" s="31"/>
      <c r="D17" s="31"/>
      <c r="E17" s="39"/>
      <c r="F17" s="56"/>
      <c r="G17" s="56"/>
    </row>
    <row r="18" spans="2:8" s="23" customFormat="1" thickBot="1" x14ac:dyDescent="0.3">
      <c r="B18" s="29" t="s">
        <v>42</v>
      </c>
      <c r="C18" s="32"/>
      <c r="D18" s="32"/>
      <c r="E18" s="41"/>
      <c r="F18" s="60"/>
      <c r="G18" s="56"/>
      <c r="H18" s="33"/>
    </row>
    <row r="19" spans="2:8" s="23" customFormat="1" ht="13.8" x14ac:dyDescent="0.25">
      <c r="B19" s="31"/>
      <c r="C19" s="31" t="s">
        <v>191</v>
      </c>
      <c r="D19" s="31"/>
      <c r="E19" s="39"/>
      <c r="F19" s="56"/>
      <c r="G19" s="56"/>
      <c r="H19" s="23" t="s">
        <v>44</v>
      </c>
    </row>
    <row r="20" spans="2:8" x14ac:dyDescent="0.3">
      <c r="B20" s="28"/>
    </row>
  </sheetData>
  <sheetProtection selectLockedCells="1" selectUnlockedCells="1"/>
  <mergeCells count="10">
    <mergeCell ref="B4:H4"/>
    <mergeCell ref="B5:C5"/>
    <mergeCell ref="D5:G5"/>
    <mergeCell ref="H5:H6"/>
    <mergeCell ref="B6:C6"/>
    <mergeCell ref="B9:C9"/>
    <mergeCell ref="B10:C10"/>
    <mergeCell ref="B11:C11"/>
    <mergeCell ref="B8:C8"/>
    <mergeCell ref="B7:C7"/>
  </mergeCells>
  <pageMargins left="1" right="1" top="1" bottom="1" header="0.5" footer="0.5"/>
  <pageSetup paperSize="9" scale="83" orientation="landscape" horizontalDpi="30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76B0193DF28942B7CEB512C806ED9C" ma:contentTypeVersion="22" ma:contentTypeDescription="Create a new document." ma:contentTypeScope="" ma:versionID="3ab56780aaebeee9077a6698679b20f8">
  <xsd:schema xmlns:xsd="http://www.w3.org/2001/XMLSchema" xmlns:xs="http://www.w3.org/2001/XMLSchema" xmlns:p="http://schemas.microsoft.com/office/2006/metadata/properties" xmlns:ns2="9aed1b6a-3ac8-47a3-a813-1e2ac029d74e" xmlns:ns3="55a64f43-bf61-44a4-8de8-44c738c3b35f" targetNamespace="http://schemas.microsoft.com/office/2006/metadata/properties" ma:root="true" ma:fieldsID="c82cfabdcb2908aaf99039eccb781d6c" ns2:_="" ns3:_="">
    <xsd:import namespace="9aed1b6a-3ac8-47a3-a813-1e2ac029d74e"/>
    <xsd:import namespace="55a64f43-bf61-44a4-8de8-44c738c3b35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2:SharedWithUsers" minOccurs="0"/>
                <xsd:element ref="ns2:SharedWithDetails"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lcf76f155ced4ddcb4097134ff3c332f" minOccurs="0"/>
                <xsd:element ref="ns2:TaxCatchAll" minOccurs="0"/>
                <xsd:element ref="ns3:MediaLengthInSeconds" minOccurs="0"/>
                <xsd:element ref="ns3:MediaServiceLocation" minOccurs="0"/>
                <xsd:element ref="ns3:Description"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ed1b6a-3ac8-47a3-a813-1e2ac029d74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181dc8e8-17db-45e9-aa30-2fda2d909abd}" ma:internalName="TaxCatchAll" ma:showField="CatchAllData" ma:web="9aed1b6a-3ac8-47a3-a813-1e2ac029d74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5a64f43-bf61-44a4-8de8-44c738c3b35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DateTaken" ma:index="21" nillable="true" ma:displayName="MediaServiceDateTaken" ma:hidden="true" ma:internalName="MediaServiceDateTake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3f7d1aea-a120-4cd1-bced-3b54899d6f87" ma:termSetId="09814cd3-568e-fe90-9814-8d621ff8fb84" ma:anchorId="fba54fb3-c3e1-fe81-a776-ca4b69148c4d" ma:open="true" ma:isKeyword="false">
      <xsd:complexType>
        <xsd:sequence>
          <xsd:element ref="pc:Terms" minOccurs="0" maxOccurs="1"/>
        </xsd:sequence>
      </xsd:complexType>
    </xsd:element>
    <xsd:element name="MediaLengthInSeconds" ma:index="25" nillable="true" ma:displayName="MediaLengthInSeconds" ma:hidden="true" ma:internalName="MediaLengthInSeconds" ma:readOnly="true">
      <xsd:simpleType>
        <xsd:restriction base="dms:Unknown"/>
      </xsd:simpleType>
    </xsd:element>
    <xsd:element name="MediaServiceLocation" ma:index="26" nillable="true" ma:displayName="Location" ma:internalName="MediaServiceLocation" ma:readOnly="true">
      <xsd:simpleType>
        <xsd:restriction base="dms:Text"/>
      </xsd:simpleType>
    </xsd:element>
    <xsd:element name="Description" ma:index="27" nillable="true" ma:displayName="Description" ma:format="Dropdown" ma:internalName="Description">
      <xsd:simpleType>
        <xsd:restriction base="dms:Text">
          <xsd:maxLength value="255"/>
        </xsd:restriction>
      </xsd:simple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5a64f43-bf61-44a4-8de8-44c738c3b35f">
      <Terms xmlns="http://schemas.microsoft.com/office/infopath/2007/PartnerControls"/>
    </lcf76f155ced4ddcb4097134ff3c332f>
    <TaxCatchAll xmlns="9aed1b6a-3ac8-47a3-a813-1e2ac029d74e" xsi:nil="true"/>
    <Description xmlns="55a64f43-bf61-44a4-8de8-44c738c3b35f" xsi:nil="true"/>
    <_dlc_DocId xmlns="9aed1b6a-3ac8-47a3-a813-1e2ac029d74e">BPM0-1925678159-218143</_dlc_DocId>
    <_dlc_DocIdUrl xmlns="9aed1b6a-3ac8-47a3-a813-1e2ac029d74e">
      <Url>https://sppal.sharepoint.com/sites/BPM/_layouts/15/DocIdRedir.aspx?ID=BPM0-1925678159-218143</Url>
      <Description>BPM0-1925678159-218143</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A12CB8C-C60E-4218-91F3-CC12B938E2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ed1b6a-3ac8-47a3-a813-1e2ac029d74e"/>
    <ds:schemaRef ds:uri="55a64f43-bf61-44a4-8de8-44c738c3b3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7DB393-3BE7-494E-BF59-9C4DFB75417D}">
  <ds:schemaRefs>
    <ds:schemaRef ds:uri="http://purl.org/dc/dcmitype/"/>
    <ds:schemaRef ds:uri="http://schemas.microsoft.com/office/infopath/2007/PartnerControls"/>
    <ds:schemaRef ds:uri="9aed1b6a-3ac8-47a3-a813-1e2ac029d74e"/>
    <ds:schemaRef ds:uri="http://purl.org/dc/elements/1.1/"/>
    <ds:schemaRef ds:uri="http://schemas.microsoft.com/office/2006/metadata/properties"/>
    <ds:schemaRef ds:uri="55a64f43-bf61-44a4-8de8-44c738c3b35f"/>
    <ds:schemaRef ds:uri="http://purl.org/dc/terms/"/>
    <ds:schemaRef ds:uri="http://schemas.openxmlformats.org/package/2006/metadata/core-properties"/>
    <ds:schemaRef ds:uri="http://schemas.microsoft.com/office/2006/documentManagement/types"/>
    <ds:schemaRef ds:uri="http://www.w3.org/XML/1998/namespace"/>
  </ds:schemaRefs>
</ds:datastoreItem>
</file>

<file path=customXml/itemProps3.xml><?xml version="1.0" encoding="utf-8"?>
<ds:datastoreItem xmlns:ds="http://schemas.openxmlformats.org/officeDocument/2006/customXml" ds:itemID="{E0D2BB1A-6E9D-4CBB-BB80-816445D21805}">
  <ds:schemaRefs>
    <ds:schemaRef ds:uri="http://schemas.microsoft.com/sharepoint/v3/contenttype/forms"/>
  </ds:schemaRefs>
</ds:datastoreItem>
</file>

<file path=customXml/itemProps4.xml><?xml version="1.0" encoding="utf-8"?>
<ds:datastoreItem xmlns:ds="http://schemas.openxmlformats.org/officeDocument/2006/customXml" ds:itemID="{482F7BB3-96FC-4390-9ECD-58C6DF81F3E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Pricing Sheet</vt:lpstr>
      <vt:lpstr>New Baggage Handling System</vt:lpstr>
      <vt:lpstr>Belt Inst. BoQ-E</vt:lpstr>
      <vt:lpstr>ICS Inst. BoQ-E</vt:lpstr>
      <vt:lpstr>Equipment Rates</vt:lpstr>
      <vt:lpstr>Labour Rates</vt:lpstr>
      <vt:lpstr>Expenses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Jakesch, Wolfgang (PPAL SCM P GLB)</dc:creator>
  <cp:keywords/>
  <dc:description/>
  <cp:lastModifiedBy>Evelyn Eugenia Karta</cp:lastModifiedBy>
  <cp:revision/>
  <dcterms:created xsi:type="dcterms:W3CDTF">2019-02-20T22:01:02Z</dcterms:created>
  <dcterms:modified xsi:type="dcterms:W3CDTF">2023-12-14T23:56:43Z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0x0101002B76B0193DF28942B7CEB512C806ED9C</vt:lpwstr>
  </property>
  <property fmtid="{D5CDD505-2E9C-101B-9397-08002B2CF9AE}" pid="3" name="MSIP_Label_f0b9b341-cd91-4345-a5e6-38fcd3ee2a8c_Enabled">
    <vt:lpwstr>true</vt:lpwstr>
  </property>
  <property fmtid="{D5CDD505-2E9C-101B-9397-08002B2CF9AE}" pid="4" name="MSIP_Label_f0b9b341-cd91-4345-a5e6-38fcd3ee2a8c_SetDate">
    <vt:lpwstr>2022-02-11T08:13:06Z</vt:lpwstr>
  </property>
  <property fmtid="{D5CDD505-2E9C-101B-9397-08002B2CF9AE}" pid="5" name="MSIP_Label_f0b9b341-cd91-4345-a5e6-38fcd3ee2a8c_Method">
    <vt:lpwstr>Standard</vt:lpwstr>
  </property>
  <property fmtid="{D5CDD505-2E9C-101B-9397-08002B2CF9AE}" pid="6" name="MSIP_Label_f0b9b341-cd91-4345-a5e6-38fcd3ee2a8c_Name">
    <vt:lpwstr>Restricted_Default</vt:lpwstr>
  </property>
  <property fmtid="{D5CDD505-2E9C-101B-9397-08002B2CF9AE}" pid="7" name="MSIP_Label_f0b9b341-cd91-4345-a5e6-38fcd3ee2a8c_SiteId">
    <vt:lpwstr>2affee43-3738-4e92-b0e2-44615bd16e3f</vt:lpwstr>
  </property>
  <property fmtid="{D5CDD505-2E9C-101B-9397-08002B2CF9AE}" pid="8" name="MSIP_Label_f0b9b341-cd91-4345-a5e6-38fcd3ee2a8c_ActionId">
    <vt:lpwstr>7b4abb2f-6c00-4e7d-8b34-4f1e4386c90c</vt:lpwstr>
  </property>
  <property fmtid="{D5CDD505-2E9C-101B-9397-08002B2CF9AE}" pid="9" name="MSIP_Label_f0b9b341-cd91-4345-a5e6-38fcd3ee2a8c_ContentBits">
    <vt:lpwstr>0</vt:lpwstr>
  </property>
  <property fmtid="{D5CDD505-2E9C-101B-9397-08002B2CF9AE}" pid="10" name="_dlc_DocIdItemGuid">
    <vt:lpwstr>6649fb0d-a4e3-432a-b3b8-6302c3f5313d</vt:lpwstr>
  </property>
  <property fmtid="{D5CDD505-2E9C-101B-9397-08002B2CF9AE}" pid="11" name="MediaServiceImageTags">
    <vt:lpwstr/>
  </property>
</Properties>
</file>