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HESSENBOX-DA\LLC Material Costing Tool\"/>
    </mc:Choice>
  </mc:AlternateContent>
  <xr:revisionPtr revIDLastSave="0" documentId="13_ncr:1_{37738578-C6F6-4D2C-A6B4-5957912FFF22}" xr6:coauthVersionLast="47" xr6:coauthVersionMax="47" xr10:uidLastSave="{00000000-0000-0000-0000-000000000000}"/>
  <bookViews>
    <workbookView minimized="1" xWindow="2748" yWindow="2544" windowWidth="1992" windowHeight="996" tabRatio="698" firstSheet="4" activeTab="4" xr2:uid="{266CD4CB-742C-4672-A795-B5B2B00FA1C8}"/>
  </bookViews>
  <sheets>
    <sheet name="Material_PN" sheetId="3" state="hidden" r:id="rId1"/>
    <sheet name="Material_PN_Belt" sheetId="13" r:id="rId2"/>
    <sheet name="Material_PN_ICS" sheetId="14" r:id="rId3"/>
    <sheet name="BCT_Belt" sheetId="15" r:id="rId4"/>
    <sheet name="BCT_ICS" sheetId="16" r:id="rId5"/>
    <sheet name="Sheet1" sheetId="17" state="hidden" r:id="rId6"/>
    <sheet name="Material_Price" sheetId="9" state="hidden" r:id="rId7"/>
    <sheet name="Panels_Smart_Devices" sheetId="1" state="hidden" r:id="rId8"/>
    <sheet name="Controls Architecture" sheetId="5" state="hidden" r:id="rId9"/>
  </sheets>
  <externalReferences>
    <externalReference r:id="rId10"/>
  </externalReferences>
  <definedNames>
    <definedName name="_xlnm._FilterDatabase" localSheetId="0" hidden="1">Material_PN!$C$5:$Q$5</definedName>
    <definedName name="_xlnm._FilterDatabase" localSheetId="1" hidden="1">Material_PN_Belt!$C$5:$Q$5</definedName>
    <definedName name="_xlnm._FilterDatabase" localSheetId="2" hidden="1">Material_PN_ICS!$C$5:$Q$5</definedName>
    <definedName name="DataArea_04_LLCHW">'[1]IN_04_LLC-HW'!$B$9:$AQ$583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4" l="1"/>
  <c r="K8" i="16" l="1"/>
  <c r="N24" i="14" l="1"/>
  <c r="P2" i="16"/>
  <c r="P2" i="15"/>
  <c r="M8" i="16" l="1"/>
  <c r="J150" i="13"/>
  <c r="K24" i="16" l="1"/>
  <c r="O142" i="14"/>
  <c r="M89" i="14" l="1"/>
  <c r="N89" i="14" s="1"/>
  <c r="M166" i="13"/>
  <c r="M165" i="13"/>
  <c r="M158" i="14"/>
  <c r="M157" i="14"/>
  <c r="M147" i="14"/>
  <c r="M155" i="13"/>
  <c r="M102" i="13"/>
  <c r="M99" i="13"/>
  <c r="M98" i="13"/>
  <c r="M97" i="13"/>
  <c r="M96" i="13"/>
  <c r="M95" i="13"/>
  <c r="M94" i="13"/>
  <c r="M93" i="13"/>
  <c r="M90" i="13"/>
  <c r="M89" i="13"/>
  <c r="M88" i="13"/>
  <c r="M87" i="13"/>
  <c r="M86" i="13"/>
  <c r="M85" i="13"/>
  <c r="M86" i="14"/>
  <c r="M85" i="14"/>
  <c r="M84" i="14"/>
  <c r="M83" i="14"/>
  <c r="M82" i="14"/>
  <c r="M81" i="14"/>
  <c r="M95" i="14"/>
  <c r="M94" i="14"/>
  <c r="M93" i="14"/>
  <c r="M92" i="14"/>
  <c r="M91" i="14"/>
  <c r="M90" i="14"/>
  <c r="N80" i="14"/>
  <c r="M59" i="14" l="1"/>
  <c r="M141" i="14"/>
  <c r="M140" i="14"/>
  <c r="K27" i="15" l="1"/>
  <c r="K28" i="15"/>
  <c r="K29" i="15"/>
  <c r="K30" i="15"/>
  <c r="K31" i="15"/>
  <c r="K32" i="15"/>
  <c r="K33" i="15"/>
  <c r="K34" i="15"/>
  <c r="K35" i="15"/>
  <c r="K36" i="15"/>
  <c r="K37" i="15"/>
  <c r="K26" i="15"/>
  <c r="K24" i="15"/>
  <c r="K25" i="15"/>
  <c r="K38" i="15"/>
  <c r="K39" i="15"/>
  <c r="K40" i="15"/>
  <c r="K41" i="15"/>
  <c r="K42" i="15"/>
  <c r="K43" i="15"/>
  <c r="K44" i="15"/>
  <c r="K45" i="15"/>
  <c r="K46" i="15"/>
  <c r="K33" i="16"/>
  <c r="K34" i="16"/>
  <c r="K35" i="16"/>
  <c r="K36" i="16"/>
  <c r="K26" i="16"/>
  <c r="K27" i="16"/>
  <c r="K28" i="16"/>
  <c r="K29" i="16"/>
  <c r="K30" i="16"/>
  <c r="K31" i="16"/>
  <c r="K32" i="16"/>
  <c r="K25" i="16"/>
  <c r="K38" i="16"/>
  <c r="K41" i="16" l="1"/>
  <c r="K23" i="16"/>
  <c r="K18" i="16"/>
  <c r="K17" i="16"/>
  <c r="K16" i="16"/>
  <c r="K15" i="16"/>
  <c r="K14" i="16"/>
  <c r="K13" i="16"/>
  <c r="K12" i="16"/>
  <c r="K11" i="16"/>
  <c r="K10" i="16"/>
  <c r="K9" i="16"/>
  <c r="K7" i="16"/>
  <c r="K6" i="16"/>
  <c r="K5" i="16"/>
  <c r="K4" i="16"/>
  <c r="K3" i="16"/>
  <c r="K23" i="15"/>
  <c r="K19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K50" i="15" l="1"/>
  <c r="N163" i="14"/>
  <c r="K163" i="14"/>
  <c r="M161" i="14"/>
  <c r="N161" i="14" s="1"/>
  <c r="J160" i="14"/>
  <c r="J159" i="14"/>
  <c r="J158" i="14"/>
  <c r="J157" i="14"/>
  <c r="J156" i="14"/>
  <c r="J155" i="14"/>
  <c r="J154" i="14"/>
  <c r="K153" i="14"/>
  <c r="J153" i="14"/>
  <c r="K152" i="14"/>
  <c r="J152" i="14"/>
  <c r="N152" i="14" s="1"/>
  <c r="K151" i="14"/>
  <c r="J151" i="14"/>
  <c r="K150" i="14"/>
  <c r="J150" i="14"/>
  <c r="K149" i="14"/>
  <c r="J149" i="14"/>
  <c r="K148" i="14"/>
  <c r="J148" i="14"/>
  <c r="J147" i="14"/>
  <c r="N141" i="14"/>
  <c r="N140" i="14"/>
  <c r="N139" i="14"/>
  <c r="M138" i="14"/>
  <c r="M137" i="14"/>
  <c r="N136" i="14"/>
  <c r="N132" i="14"/>
  <c r="M36" i="16" s="1"/>
  <c r="K132" i="14"/>
  <c r="N131" i="14"/>
  <c r="M35" i="16" s="1"/>
  <c r="K131" i="14"/>
  <c r="N130" i="14"/>
  <c r="M34" i="16" s="1"/>
  <c r="K130" i="14"/>
  <c r="N129" i="14"/>
  <c r="M33" i="16" s="1"/>
  <c r="K129" i="14"/>
  <c r="N128" i="14"/>
  <c r="K128" i="14"/>
  <c r="N127" i="14"/>
  <c r="K127" i="14"/>
  <c r="N126" i="14"/>
  <c r="K126" i="14"/>
  <c r="N125" i="14"/>
  <c r="K125" i="14"/>
  <c r="N124" i="14"/>
  <c r="K124" i="14"/>
  <c r="N123" i="14"/>
  <c r="K123" i="14"/>
  <c r="N122" i="14"/>
  <c r="K122" i="14"/>
  <c r="N121" i="14"/>
  <c r="K121" i="14"/>
  <c r="N118" i="14"/>
  <c r="K118" i="14"/>
  <c r="N117" i="14"/>
  <c r="N116" i="14"/>
  <c r="N115" i="14"/>
  <c r="N114" i="14"/>
  <c r="N113" i="14"/>
  <c r="N112" i="14"/>
  <c r="N111" i="14"/>
  <c r="N110" i="14"/>
  <c r="M109" i="14"/>
  <c r="N108" i="14"/>
  <c r="M105" i="14"/>
  <c r="M104" i="14"/>
  <c r="N104" i="14" s="1"/>
  <c r="M103" i="14"/>
  <c r="N103" i="14" s="1"/>
  <c r="M102" i="14"/>
  <c r="N102" i="14" s="1"/>
  <c r="M101" i="14"/>
  <c r="M100" i="14"/>
  <c r="M99" i="14"/>
  <c r="M98" i="14"/>
  <c r="N97" i="14"/>
  <c r="N94" i="14"/>
  <c r="N93" i="14"/>
  <c r="N86" i="14"/>
  <c r="N85" i="14"/>
  <c r="M78" i="14"/>
  <c r="N78" i="14" s="1"/>
  <c r="M77" i="14"/>
  <c r="M76" i="14"/>
  <c r="M75" i="14"/>
  <c r="K75" i="14"/>
  <c r="M74" i="14"/>
  <c r="N73" i="14"/>
  <c r="M71" i="14"/>
  <c r="N71" i="14" s="1"/>
  <c r="M70" i="14"/>
  <c r="N70" i="14" s="1"/>
  <c r="M69" i="14"/>
  <c r="N69" i="14" s="1"/>
  <c r="K69" i="14"/>
  <c r="M68" i="14"/>
  <c r="N67" i="14"/>
  <c r="J64" i="14"/>
  <c r="N64" i="14" s="1"/>
  <c r="J63" i="14"/>
  <c r="J62" i="14"/>
  <c r="N62" i="14" s="1"/>
  <c r="J61" i="14"/>
  <c r="J60" i="14"/>
  <c r="M56" i="14"/>
  <c r="N56" i="14" s="1"/>
  <c r="M55" i="14"/>
  <c r="N55" i="14" s="1"/>
  <c r="M54" i="14"/>
  <c r="N54" i="14" s="1"/>
  <c r="M53" i="14"/>
  <c r="N53" i="14" s="1"/>
  <c r="M52" i="14"/>
  <c r="N52" i="14" s="1"/>
  <c r="M51" i="14"/>
  <c r="N50" i="14"/>
  <c r="N49" i="14"/>
  <c r="N48" i="14"/>
  <c r="N47" i="14"/>
  <c r="N42" i="14"/>
  <c r="N41" i="14"/>
  <c r="N40" i="14"/>
  <c r="N39" i="14"/>
  <c r="N36" i="14"/>
  <c r="N35" i="14"/>
  <c r="N34" i="14"/>
  <c r="N31" i="14"/>
  <c r="N30" i="14"/>
  <c r="N29" i="14"/>
  <c r="N28" i="14"/>
  <c r="N27" i="14"/>
  <c r="N26" i="14"/>
  <c r="N25" i="14"/>
  <c r="N23" i="14"/>
  <c r="N22" i="14"/>
  <c r="N19" i="14"/>
  <c r="N18" i="14"/>
  <c r="N17" i="14"/>
  <c r="N14" i="14"/>
  <c r="N13" i="14"/>
  <c r="N11" i="14"/>
  <c r="N10" i="14"/>
  <c r="N8" i="14"/>
  <c r="N171" i="13"/>
  <c r="K171" i="13"/>
  <c r="M169" i="13"/>
  <c r="N169" i="13" s="1"/>
  <c r="J168" i="13"/>
  <c r="J167" i="13"/>
  <c r="N166" i="13"/>
  <c r="J166" i="13"/>
  <c r="J165" i="13"/>
  <c r="N165" i="13" s="1"/>
  <c r="J164" i="13"/>
  <c r="J163" i="13"/>
  <c r="J162" i="13"/>
  <c r="K161" i="13"/>
  <c r="J161" i="13"/>
  <c r="K160" i="13"/>
  <c r="J160" i="13"/>
  <c r="K159" i="13"/>
  <c r="J159" i="13"/>
  <c r="K158" i="13"/>
  <c r="J158" i="13"/>
  <c r="K157" i="13"/>
  <c r="J157" i="13"/>
  <c r="K156" i="13"/>
  <c r="J156" i="13"/>
  <c r="J155" i="13"/>
  <c r="N152" i="13"/>
  <c r="N150" i="13"/>
  <c r="N149" i="13"/>
  <c r="N148" i="13"/>
  <c r="N147" i="13"/>
  <c r="N146" i="13"/>
  <c r="N145" i="13"/>
  <c r="N144" i="13"/>
  <c r="N143" i="13"/>
  <c r="N141" i="13"/>
  <c r="N137" i="13"/>
  <c r="M37" i="15" s="1"/>
  <c r="K137" i="13"/>
  <c r="N136" i="13"/>
  <c r="M36" i="15" s="1"/>
  <c r="K136" i="13"/>
  <c r="N135" i="13"/>
  <c r="M35" i="15" s="1"/>
  <c r="K135" i="13"/>
  <c r="N134" i="13"/>
  <c r="M34" i="15" s="1"/>
  <c r="K134" i="13"/>
  <c r="N133" i="13"/>
  <c r="K133" i="13"/>
  <c r="N132" i="13"/>
  <c r="K132" i="13"/>
  <c r="N131" i="13"/>
  <c r="K131" i="13"/>
  <c r="N130" i="13"/>
  <c r="K130" i="13"/>
  <c r="N129" i="13"/>
  <c r="K129" i="13"/>
  <c r="N128" i="13"/>
  <c r="K128" i="13"/>
  <c r="N127" i="13"/>
  <c r="K127" i="13"/>
  <c r="N126" i="13"/>
  <c r="K126" i="13"/>
  <c r="N123" i="13"/>
  <c r="K123" i="13"/>
  <c r="N122" i="13"/>
  <c r="N121" i="13"/>
  <c r="N120" i="13"/>
  <c r="N119" i="13"/>
  <c r="N118" i="13"/>
  <c r="N117" i="13"/>
  <c r="N116" i="13"/>
  <c r="N115" i="13"/>
  <c r="N114" i="13"/>
  <c r="M113" i="13"/>
  <c r="N112" i="13"/>
  <c r="M109" i="13"/>
  <c r="M108" i="13"/>
  <c r="N108" i="13" s="1"/>
  <c r="M107" i="13"/>
  <c r="N107" i="13" s="1"/>
  <c r="M106" i="13"/>
  <c r="N106" i="13" s="1"/>
  <c r="M105" i="13"/>
  <c r="M104" i="13"/>
  <c r="M103" i="13"/>
  <c r="N101" i="13"/>
  <c r="N98" i="13"/>
  <c r="N97" i="13"/>
  <c r="N89" i="13"/>
  <c r="N84" i="13"/>
  <c r="M82" i="13"/>
  <c r="N82" i="13" s="1"/>
  <c r="M81" i="13"/>
  <c r="M80" i="13"/>
  <c r="M79" i="13"/>
  <c r="K79" i="13"/>
  <c r="M78" i="13"/>
  <c r="N77" i="13"/>
  <c r="M75" i="13"/>
  <c r="N75" i="13" s="1"/>
  <c r="M74" i="13"/>
  <c r="N74" i="13" s="1"/>
  <c r="M73" i="13"/>
  <c r="N73" i="13" s="1"/>
  <c r="K73" i="13"/>
  <c r="M72" i="13"/>
  <c r="N71" i="13"/>
  <c r="J68" i="13"/>
  <c r="N68" i="13" s="1"/>
  <c r="J67" i="13"/>
  <c r="N67" i="13" s="1"/>
  <c r="J66" i="13"/>
  <c r="J65" i="13"/>
  <c r="J64" i="13"/>
  <c r="N63" i="13"/>
  <c r="M62" i="13"/>
  <c r="M59" i="13"/>
  <c r="N59" i="13" s="1"/>
  <c r="M58" i="13"/>
  <c r="N58" i="13" s="1"/>
  <c r="M57" i="13"/>
  <c r="N57" i="13" s="1"/>
  <c r="M56" i="13"/>
  <c r="N56" i="13" s="1"/>
  <c r="M55" i="13"/>
  <c r="N55" i="13" s="1"/>
  <c r="M54" i="13"/>
  <c r="N53" i="13"/>
  <c r="N52" i="13"/>
  <c r="N51" i="13"/>
  <c r="N50" i="13"/>
  <c r="N44" i="13"/>
  <c r="N43" i="13"/>
  <c r="N42" i="13"/>
  <c r="N41" i="13"/>
  <c r="N38" i="13"/>
  <c r="N37" i="13"/>
  <c r="N36" i="13"/>
  <c r="N29" i="13"/>
  <c r="N28" i="13"/>
  <c r="N27" i="13"/>
  <c r="N26" i="13"/>
  <c r="N25" i="13"/>
  <c r="N24" i="13"/>
  <c r="N23" i="13"/>
  <c r="N22" i="13"/>
  <c r="N19" i="13"/>
  <c r="N18" i="13"/>
  <c r="N17" i="13"/>
  <c r="N14" i="13"/>
  <c r="N13" i="13"/>
  <c r="N11" i="13"/>
  <c r="N10" i="13"/>
  <c r="N8" i="13"/>
  <c r="M14" i="16" l="1"/>
  <c r="R130" i="13"/>
  <c r="R129" i="13"/>
  <c r="R128" i="13"/>
  <c r="R127" i="13"/>
  <c r="R126" i="13"/>
  <c r="N160" i="13"/>
  <c r="M45" i="15"/>
  <c r="O140" i="13"/>
  <c r="N100" i="14"/>
  <c r="N157" i="14"/>
  <c r="N75" i="14"/>
  <c r="N98" i="14"/>
  <c r="J59" i="14"/>
  <c r="N88" i="14" s="1"/>
  <c r="N63" i="14"/>
  <c r="N158" i="14"/>
  <c r="N74" i="14"/>
  <c r="N60" i="14"/>
  <c r="N103" i="13"/>
  <c r="N88" i="13"/>
  <c r="N90" i="13"/>
  <c r="N64" i="13"/>
  <c r="N78" i="13"/>
  <c r="M3" i="15"/>
  <c r="M25" i="15"/>
  <c r="M40" i="15"/>
  <c r="M23" i="16"/>
  <c r="M41" i="15"/>
  <c r="M12" i="16"/>
  <c r="M28" i="16"/>
  <c r="M32" i="16"/>
  <c r="M8" i="15"/>
  <c r="M43" i="15"/>
  <c r="M24" i="16"/>
  <c r="M25" i="16"/>
  <c r="M29" i="16"/>
  <c r="K39" i="16"/>
  <c r="K37" i="16"/>
  <c r="M26" i="15"/>
  <c r="M31" i="15"/>
  <c r="M42" i="15"/>
  <c r="M38" i="16"/>
  <c r="M9" i="15"/>
  <c r="M28" i="15"/>
  <c r="M32" i="15"/>
  <c r="M49" i="15"/>
  <c r="M15" i="16"/>
  <c r="M13" i="15"/>
  <c r="M30" i="15"/>
  <c r="M3" i="16"/>
  <c r="M26" i="16"/>
  <c r="M30" i="16"/>
  <c r="M5" i="15"/>
  <c r="M23" i="15"/>
  <c r="M44" i="15"/>
  <c r="M11" i="15"/>
  <c r="M16" i="15"/>
  <c r="M19" i="15"/>
  <c r="M24" i="15"/>
  <c r="M29" i="15"/>
  <c r="M33" i="15"/>
  <c r="M38" i="15"/>
  <c r="M9" i="16"/>
  <c r="M11" i="16"/>
  <c r="M15" i="15"/>
  <c r="M27" i="15"/>
  <c r="M13" i="16"/>
  <c r="M10" i="15"/>
  <c r="M12" i="15"/>
  <c r="M17" i="15"/>
  <c r="M39" i="15"/>
  <c r="M46" i="15"/>
  <c r="M10" i="16"/>
  <c r="M17" i="16"/>
  <c r="M27" i="16"/>
  <c r="M31" i="16"/>
  <c r="M14" i="15"/>
  <c r="M6" i="16"/>
  <c r="M16" i="16"/>
  <c r="N95" i="14"/>
  <c r="M5" i="16"/>
  <c r="N76" i="14"/>
  <c r="N138" i="14"/>
  <c r="K40" i="16"/>
  <c r="N99" i="14"/>
  <c r="M41" i="16"/>
  <c r="M4" i="16"/>
  <c r="M7" i="16"/>
  <c r="N105" i="14"/>
  <c r="M18" i="16"/>
  <c r="N154" i="14"/>
  <c r="O144" i="14"/>
  <c r="N137" i="14"/>
  <c r="N147" i="14"/>
  <c r="N51" i="14"/>
  <c r="O46" i="14" s="1"/>
  <c r="N68" i="14"/>
  <c r="O162" i="14"/>
  <c r="M44" i="16"/>
  <c r="M4" i="15"/>
  <c r="M7" i="15"/>
  <c r="N155" i="13"/>
  <c r="N72" i="13"/>
  <c r="O170" i="13"/>
  <c r="N164" i="13"/>
  <c r="M6" i="15"/>
  <c r="N54" i="13"/>
  <c r="O49" i="13" s="1"/>
  <c r="O151" i="13"/>
  <c r="N81" i="13"/>
  <c r="N85" i="13"/>
  <c r="O7" i="13"/>
  <c r="O35" i="13"/>
  <c r="N102" i="13"/>
  <c r="N79" i="13"/>
  <c r="N93" i="13"/>
  <c r="N99" i="13"/>
  <c r="N104" i="13"/>
  <c r="O125" i="13"/>
  <c r="O16" i="13"/>
  <c r="N80" i="13"/>
  <c r="N81" i="14"/>
  <c r="O33" i="14"/>
  <c r="N91" i="14"/>
  <c r="O120" i="14"/>
  <c r="N150" i="14"/>
  <c r="N77" i="14"/>
  <c r="O38" i="14"/>
  <c r="O16" i="14"/>
  <c r="N109" i="14"/>
  <c r="O107" i="14" s="1"/>
  <c r="O21" i="14"/>
  <c r="N148" i="14"/>
  <c r="N84" i="14"/>
  <c r="N151" i="14"/>
  <c r="N101" i="14"/>
  <c r="N105" i="13"/>
  <c r="O40" i="13"/>
  <c r="N113" i="13"/>
  <c r="O111" i="13" s="1"/>
  <c r="O21" i="13"/>
  <c r="N86" i="13"/>
  <c r="N158" i="13"/>
  <c r="N87" i="13"/>
  <c r="N156" i="13"/>
  <c r="N95" i="13"/>
  <c r="N109" i="13"/>
  <c r="O142" i="13"/>
  <c r="N157" i="13"/>
  <c r="O143" i="14"/>
  <c r="N149" i="14"/>
  <c r="N61" i="14"/>
  <c r="N82" i="14"/>
  <c r="N155" i="14"/>
  <c r="N83" i="14"/>
  <c r="N90" i="14"/>
  <c r="N92" i="14"/>
  <c r="O7" i="14"/>
  <c r="N65" i="13"/>
  <c r="J62" i="13"/>
  <c r="N96" i="13"/>
  <c r="N66" i="13"/>
  <c r="N159" i="13"/>
  <c r="N94" i="13"/>
  <c r="N59" i="14" l="1"/>
  <c r="O58" i="14" s="1"/>
  <c r="O135" i="14"/>
  <c r="M20" i="16"/>
  <c r="M50" i="15"/>
  <c r="M39" i="16"/>
  <c r="M37" i="16"/>
  <c r="M40" i="16"/>
  <c r="M20" i="15"/>
  <c r="M22" i="15"/>
  <c r="M21" i="16"/>
  <c r="M22" i="16"/>
  <c r="N162" i="13"/>
  <c r="M168" i="13"/>
  <c r="N168" i="13" s="1"/>
  <c r="N161" i="13"/>
  <c r="M47" i="15" s="1"/>
  <c r="O6" i="13"/>
  <c r="N153" i="14"/>
  <c r="M42" i="16" s="1"/>
  <c r="M159" i="14"/>
  <c r="N159" i="14" s="1"/>
  <c r="O66" i="14"/>
  <c r="O6" i="14"/>
  <c r="M160" i="14"/>
  <c r="N160" i="14" s="1"/>
  <c r="N156" i="14"/>
  <c r="N163" i="13"/>
  <c r="N62" i="13"/>
  <c r="N92" i="13"/>
  <c r="M167" i="13"/>
  <c r="N167" i="13" s="1"/>
  <c r="M19" i="16" l="1"/>
  <c r="M18" i="15"/>
  <c r="M48" i="15"/>
  <c r="M43" i="16"/>
  <c r="O70" i="13"/>
  <c r="M21" i="15"/>
  <c r="N164" i="14"/>
  <c r="N4" i="14" s="1"/>
  <c r="O146" i="14"/>
  <c r="O44" i="14" s="1"/>
  <c r="O154" i="13"/>
  <c r="O61" i="13"/>
  <c r="N172" i="13"/>
  <c r="N4" i="13" s="1"/>
  <c r="O2" i="16" l="1"/>
  <c r="O2" i="15"/>
  <c r="O47" i="13"/>
  <c r="D5" i="1" l="1"/>
  <c r="D6" i="1"/>
  <c r="D7" i="1"/>
  <c r="D8" i="1"/>
  <c r="D9" i="1"/>
  <c r="D10" i="1"/>
  <c r="D11" i="1"/>
  <c r="D12" i="1"/>
  <c r="D13" i="1"/>
  <c r="D14" i="1"/>
  <c r="D15" i="1"/>
  <c r="D16" i="1"/>
  <c r="D4" i="1"/>
  <c r="J107" i="3"/>
  <c r="J101" i="3"/>
  <c r="J98" i="3"/>
  <c r="J92" i="3"/>
  <c r="N128" i="3"/>
  <c r="N92" i="3" l="1"/>
  <c r="N24" i="3" l="1"/>
  <c r="M115" i="3" l="1"/>
  <c r="N115" i="3" l="1"/>
  <c r="M114" i="3"/>
  <c r="N114" i="3" s="1"/>
  <c r="M107" i="3"/>
  <c r="M104" i="3"/>
  <c r="M102" i="3"/>
  <c r="M103" i="3"/>
  <c r="M106" i="3"/>
  <c r="M101" i="3"/>
  <c r="M105" i="3"/>
  <c r="M98" i="3"/>
  <c r="M95" i="3"/>
  <c r="M93" i="3"/>
  <c r="M97" i="3"/>
  <c r="M96" i="3"/>
  <c r="M94" i="3"/>
  <c r="M121" i="3"/>
  <c r="M186" i="3" l="1"/>
  <c r="M185" i="3"/>
  <c r="M184" i="3"/>
  <c r="N105" i="3"/>
  <c r="N101" i="3"/>
  <c r="N106" i="3"/>
  <c r="N107" i="3"/>
  <c r="N97" i="3"/>
  <c r="N98" i="3"/>
  <c r="N18" i="3"/>
  <c r="J189" i="3" l="1"/>
  <c r="J188" i="3"/>
  <c r="J187" i="3"/>
  <c r="J186" i="3"/>
  <c r="J185" i="3"/>
  <c r="J184" i="3"/>
  <c r="K150" i="3" l="1"/>
  <c r="K149" i="3"/>
  <c r="K148" i="3"/>
  <c r="K147" i="3"/>
  <c r="K146" i="3"/>
  <c r="K145" i="3"/>
  <c r="K144" i="3"/>
  <c r="K143" i="3"/>
  <c r="K142" i="3"/>
  <c r="K141" i="3"/>
  <c r="K140" i="3"/>
  <c r="K151" i="3"/>
  <c r="J89" i="3"/>
  <c r="J109" i="3"/>
  <c r="J110" i="3"/>
  <c r="J111" i="3"/>
  <c r="J112" i="3"/>
  <c r="J113" i="3"/>
  <c r="K87" i="3"/>
  <c r="K183" i="3"/>
  <c r="K182" i="3"/>
  <c r="J183" i="3"/>
  <c r="J182" i="3"/>
  <c r="K181" i="3"/>
  <c r="J181" i="3"/>
  <c r="K179" i="3"/>
  <c r="J179" i="3"/>
  <c r="J178" i="3"/>
  <c r="K178" i="3"/>
  <c r="K177" i="3"/>
  <c r="J177" i="3"/>
  <c r="J176" i="3"/>
  <c r="K193" i="3"/>
  <c r="K131" i="3"/>
  <c r="K81" i="3"/>
  <c r="J170" i="3" l="1"/>
  <c r="J73" i="3" l="1"/>
  <c r="J94" i="3" l="1"/>
  <c r="J103" i="3"/>
  <c r="N94" i="3"/>
  <c r="J76" i="3"/>
  <c r="J75" i="3"/>
  <c r="J96" i="3" s="1"/>
  <c r="J74" i="3"/>
  <c r="J72" i="3"/>
  <c r="J102" i="3" s="1"/>
  <c r="J117" i="3"/>
  <c r="J88" i="3"/>
  <c r="J87" i="3"/>
  <c r="J86" i="3"/>
  <c r="J85" i="3"/>
  <c r="J190" i="3"/>
  <c r="N102" i="3" l="1"/>
  <c r="J95" i="3"/>
  <c r="N95" i="3" s="1"/>
  <c r="J104" i="3"/>
  <c r="N103" i="3"/>
  <c r="N96" i="3"/>
  <c r="J70" i="3"/>
  <c r="J100" i="3" s="1"/>
  <c r="J93" i="3"/>
  <c r="N104" i="3" l="1"/>
  <c r="N100" i="3"/>
  <c r="N93" i="3"/>
  <c r="N10" i="3"/>
  <c r="N15" i="3"/>
  <c r="N14" i="3"/>
  <c r="N13" i="3"/>
  <c r="N52" i="3"/>
  <c r="N51" i="3"/>
  <c r="N20" i="3"/>
  <c r="N19" i="3"/>
  <c r="N50" i="3"/>
  <c r="N48" i="3"/>
  <c r="N127" i="3"/>
  <c r="N160" i="3"/>
  <c r="N159" i="3"/>
  <c r="N158" i="3"/>
  <c r="N162" i="3"/>
  <c r="O161" i="3" s="1"/>
  <c r="N171" i="3"/>
  <c r="N170" i="3"/>
  <c r="N169" i="3"/>
  <c r="N168" i="3"/>
  <c r="N167" i="3"/>
  <c r="N164" i="3"/>
  <c r="N193" i="3"/>
  <c r="O192" i="3" s="1"/>
  <c r="N180" i="3"/>
  <c r="O17" i="3" l="1"/>
  <c r="N76" i="3"/>
  <c r="N32" i="3" l="1"/>
  <c r="N35" i="3"/>
  <c r="N31" i="3"/>
  <c r="N36" i="3"/>
  <c r="N34" i="3"/>
  <c r="N37" i="3"/>
  <c r="N33" i="3"/>
  <c r="N49" i="3" l="1"/>
  <c r="N46" i="3"/>
  <c r="N27" i="3" l="1"/>
  <c r="N29" i="3"/>
  <c r="N25" i="3"/>
  <c r="N173" i="3"/>
  <c r="O172" i="3" s="1"/>
  <c r="N28" i="3" l="1"/>
  <c r="N30" i="3"/>
  <c r="N26" i="3"/>
  <c r="D17" i="1" l="1"/>
  <c r="N8" i="3" l="1"/>
  <c r="N11" i="3"/>
  <c r="N23" i="3"/>
  <c r="O22" i="3" s="1"/>
  <c r="O7" i="3" l="1"/>
  <c r="N45" i="3"/>
  <c r="N123" i="3" l="1"/>
  <c r="M62" i="3"/>
  <c r="M70" i="3"/>
  <c r="M67" i="3"/>
  <c r="M63" i="3"/>
  <c r="N61" i="3"/>
  <c r="M65" i="3"/>
  <c r="M64" i="3"/>
  <c r="M66" i="3"/>
  <c r="M82" i="3"/>
  <c r="N79" i="3"/>
  <c r="M83" i="3"/>
  <c r="M81" i="3"/>
  <c r="M80" i="3"/>
  <c r="N126" i="3"/>
  <c r="N72" i="3"/>
  <c r="N166" i="3"/>
  <c r="N75" i="3"/>
  <c r="N59" i="3"/>
  <c r="N155" i="3"/>
  <c r="M157" i="3"/>
  <c r="M156" i="3"/>
  <c r="N136" i="3"/>
  <c r="N47" i="3"/>
  <c r="O44" i="3" s="1"/>
  <c r="N73" i="3"/>
  <c r="N60" i="3"/>
  <c r="N138" i="3"/>
  <c r="N135" i="3"/>
  <c r="N125" i="3"/>
  <c r="N120" i="3"/>
  <c r="N74" i="3"/>
  <c r="N140" i="3"/>
  <c r="M187" i="3"/>
  <c r="M86" i="3"/>
  <c r="M87" i="3"/>
  <c r="M89" i="3"/>
  <c r="M88" i="3"/>
  <c r="N85" i="3"/>
  <c r="M90" i="3"/>
  <c r="N139" i="3"/>
  <c r="M116" i="3"/>
  <c r="M112" i="3"/>
  <c r="M111" i="3"/>
  <c r="M110" i="3"/>
  <c r="M117" i="3"/>
  <c r="M113" i="3"/>
  <c r="N109" i="3"/>
  <c r="N124" i="3"/>
  <c r="N137" i="3"/>
  <c r="N130" i="3"/>
  <c r="N134" i="3"/>
  <c r="N129" i="3"/>
  <c r="N71" i="3"/>
  <c r="N122" i="3"/>
  <c r="N165" i="3"/>
  <c r="O163" i="3" s="1"/>
  <c r="M188" i="3" l="1"/>
  <c r="N40" i="3"/>
  <c r="N184" i="3"/>
  <c r="M178" i="3"/>
  <c r="N178" i="3" s="1"/>
  <c r="M191" i="3"/>
  <c r="N145" i="3"/>
  <c r="N116" i="3"/>
  <c r="N89" i="3"/>
  <c r="N58" i="3"/>
  <c r="N81" i="3"/>
  <c r="N62" i="3"/>
  <c r="N143" i="3"/>
  <c r="N111" i="3"/>
  <c r="N87" i="3"/>
  <c r="M176" i="3"/>
  <c r="N83" i="3"/>
  <c r="N66" i="3"/>
  <c r="N63" i="3"/>
  <c r="N144" i="3"/>
  <c r="N187" i="3"/>
  <c r="N90" i="3"/>
  <c r="N146" i="3"/>
  <c r="N88" i="3"/>
  <c r="N86" i="3"/>
  <c r="N186" i="3"/>
  <c r="N64" i="3"/>
  <c r="N67" i="3"/>
  <c r="N110" i="3"/>
  <c r="N157" i="3"/>
  <c r="N147" i="3"/>
  <c r="N41" i="3"/>
  <c r="N113" i="3"/>
  <c r="N142" i="3"/>
  <c r="N141" i="3"/>
  <c r="N188" i="3"/>
  <c r="N117" i="3"/>
  <c r="N112" i="3"/>
  <c r="N131" i="3"/>
  <c r="N121" i="3"/>
  <c r="O119" i="3" s="1"/>
  <c r="M177" i="3"/>
  <c r="N156" i="3"/>
  <c r="N42" i="3"/>
  <c r="N80" i="3"/>
  <c r="N82" i="3"/>
  <c r="N65" i="3"/>
  <c r="N70" i="3"/>
  <c r="O69" i="3" s="1"/>
  <c r="O154" i="3" l="1"/>
  <c r="O78" i="3"/>
  <c r="O39" i="3"/>
  <c r="O57" i="3"/>
  <c r="M182" i="3"/>
  <c r="N182" i="3" s="1"/>
  <c r="N191" i="3"/>
  <c r="N185" i="3"/>
  <c r="N176" i="3"/>
  <c r="M189" i="3"/>
  <c r="N151" i="3"/>
  <c r="M181" i="3"/>
  <c r="N177" i="3"/>
  <c r="N149" i="3"/>
  <c r="M190" i="3"/>
  <c r="N150" i="3"/>
  <c r="N148" i="3"/>
  <c r="M179" i="3"/>
  <c r="O133" i="3" l="1"/>
  <c r="O6" i="3"/>
  <c r="N181" i="3"/>
  <c r="N189" i="3"/>
  <c r="N179" i="3"/>
  <c r="M183" i="3"/>
  <c r="N190" i="3"/>
  <c r="N183" i="3" l="1"/>
  <c r="O175" i="3" l="1"/>
  <c r="O55" i="3" s="1"/>
  <c r="N194" i="3"/>
  <c r="N4" i="3" l="1"/>
  <c r="O4" i="3" s="1"/>
  <c r="N3" i="3" l="1"/>
  <c r="N3" i="14" l="1"/>
  <c r="N3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tc={CE5E87D8-87D7-4DAB-8F54-330E9F1BC145}</author>
    <author>Rettberg, Frank (ACP EN EE ES)</author>
    <author>tc={F03E72AF-8FC5-466B-B62C-26C224642596}</author>
    <author>tc={74FB9E97-D11C-4EC6-90F0-FB537FCC5F28}</author>
    <author>tc={D01BCCDE-9334-4A89-BD85-5E031B10DDBB}</author>
    <author>tc={A0DE3B2F-623C-4735-B237-E08F8B1A13D7}</author>
    <author>tc={2A597FDA-4D0F-4999-8549-50E78D468334}</author>
    <author>tc={9341211A-8F75-4B25-95C4-922C58AD4CDE}</author>
    <author>tc={1B6C10F3-4BAC-4E9B-B12C-D676F2952C18}</author>
    <author>tc={CC8B430C-843A-40C4-85DD-001C49D9FAE0}</author>
    <author>tc={FC42BA05-D655-4941-8722-D98C5C2F08C7}</author>
    <author>tc={1BCC75A2-6677-409C-82EA-5484425D1DE3}</author>
    <author>Rettberg, Frank (ICS TI SA AS)</author>
  </authors>
  <commentList>
    <comment ref="J19" authorId="0" shapeId="0" xr:uid="{CE5E87D8-87D7-4DAB-8F54-330E9F1BC14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25" authorId="1" shapeId="0" xr:uid="{B2841C81-550B-449D-BBA2-1CB1261AE575}">
      <text>
        <r>
          <rPr>
            <b/>
            <sz val="10"/>
            <color indexed="81"/>
            <rFont val="Segoe UI"/>
            <family val="2"/>
          </rPr>
          <t>Rettberg, Frank (ACP EN EE ES):</t>
        </r>
        <r>
          <rPr>
            <sz val="10"/>
            <color indexed="81"/>
            <rFont val="Segoe UI"/>
            <family val="2"/>
          </rPr>
          <t xml:space="preserve">
like EBS Lift Calc. Costs</t>
        </r>
      </text>
    </comment>
    <comment ref="J27" authorId="2" shapeId="0" xr:uid="{F03E72AF-8FC5-466B-B62C-26C22464259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0" authorId="3" shapeId="0" xr:uid="{74FB9E97-D11C-4EC6-90F0-FB537FCC5F2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1" authorId="4" shapeId="0" xr:uid="{D01BCCDE-9334-4A89-BD85-5E031B10DDB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2" authorId="5" shapeId="0" xr:uid="{A0DE3B2F-623C-4735-B237-E08F8B1A13D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33" authorId="6" shapeId="0" xr:uid="{2A597FDA-4D0F-4999-8549-50E78D468334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34" authorId="7" shapeId="0" xr:uid="{9341211A-8F75-4B25-95C4-922C58AD4C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36" authorId="8" shapeId="0" xr:uid="{1B6C10F3-4BAC-4E9B-B12C-D676F2952C1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41" authorId="9" shapeId="0" xr:uid="{CC8B430C-843A-40C4-85DD-001C49D9FAE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42" authorId="10" shapeId="0" xr:uid="{FC42BA05-D655-4941-8722-D98C5C2F08C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45" authorId="11" shapeId="0" xr:uid="{1BCC75A2-6677-409C-82EA-5484425D1DE3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M148" authorId="12" shapeId="0" xr:uid="{0E268831-3CDE-48CF-B42F-E648C7DB3A0A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49" authorId="12" shapeId="0" xr:uid="{430803D3-BD03-4D73-9EE2-4CEA52390C66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50" authorId="12" shapeId="0" xr:uid="{7F1FE346-9212-44B5-8602-0C08919BC429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51" authorId="12" shapeId="0" xr:uid="{46B26D18-5E65-422B-AD72-FB0025D41DD0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tc={CD98F1DF-3CBF-4406-8C6D-B5F1CAA54212}</author>
    <author>Rettberg, Frank (ACP EN EE ES)</author>
    <author>tc={6B324B2A-C53D-402D-B648-7EFF5ADF7975}</author>
    <author>tc={104493E8-1B7A-4106-9784-4D2A8399BA5A}</author>
    <author>tc={CB000243-6C54-40F1-B459-EFC96091D525}</author>
    <author>tc={5EEF8A6C-B520-40E1-91BE-B6F0DCAD4051}</author>
    <author>Rettberg, Frank (ICS TI SA AS)</author>
    <author>Karta, Evelyn Eugenia (SL AIR TI EN EE ES)</author>
  </authors>
  <commentList>
    <comment ref="J18" authorId="0" shapeId="0" xr:uid="{CD98F1DF-3CBF-4406-8C6D-B5F1CAA5421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24" authorId="1" shapeId="0" xr:uid="{A3FD1469-AE15-45E0-8635-0EED6BFEE1BE}">
      <text>
        <r>
          <rPr>
            <b/>
            <sz val="10"/>
            <color indexed="81"/>
            <rFont val="Segoe UI"/>
            <family val="2"/>
          </rPr>
          <t>Rettberg, Frank (ACP EN EE ES):</t>
        </r>
        <r>
          <rPr>
            <sz val="10"/>
            <color indexed="81"/>
            <rFont val="Segoe UI"/>
            <family val="2"/>
          </rPr>
          <t xml:space="preserve">
like EBS Lift Calc. Costs</t>
        </r>
      </text>
    </comment>
    <comment ref="J26" authorId="2" shapeId="0" xr:uid="{6B324B2A-C53D-402D-B648-7EFF5ADF797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29" authorId="3" shapeId="0" xr:uid="{104493E8-1B7A-4106-9784-4D2A8399BA5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7" authorId="4" shapeId="0" xr:uid="{CB000243-6C54-40F1-B459-EFC96091D52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8" authorId="5" shapeId="0" xr:uid="{5EEF8A6C-B520-40E1-91BE-B6F0DCAD405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M134" authorId="6" shapeId="0" xr:uid="{17FAF7F7-BC4C-4866-9727-B1572CBA52B6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5" authorId="6" shapeId="0" xr:uid="{1F842FF0-A763-40E0-9B82-1D3F7D1671B0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6" authorId="6" shapeId="0" xr:uid="{5E35EDC0-CBB6-435C-B2FB-D798C858A48D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7" authorId="6" shapeId="0" xr:uid="{36D11865-3582-4EDA-8843-6184D7326098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A156" authorId="7" shapeId="0" xr:uid="{A91AE793-D968-485D-80F8-30530AE7540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7" authorId="7" shapeId="0" xr:uid="{38C78FF6-1EAF-44F3-8E88-22088A79B3D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8" authorId="7" shapeId="0" xr:uid="{858B184A-89C2-4C25-B112-6CEA5D3F2D2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9" authorId="7" shapeId="0" xr:uid="{091ADAD3-6C5F-415E-B4D9-A6177A2CFBC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60" authorId="7" shapeId="0" xr:uid="{033A4B03-1786-49F3-84EB-39B433C3C0D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61" authorId="7" shapeId="0" xr:uid="{58CDE63A-ACCD-4786-8D39-7ACAE7EAEB9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62" authorId="7" shapeId="0" xr:uid="{D094F551-FE73-4B13-95A8-CEA0BF258A1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63" authorId="7" shapeId="0" xr:uid="{6DDAAA82-B768-4A5D-BDDC-B5C0A913B5C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64" authorId="7" shapeId="0" xr:uid="{DB5FB403-9614-4365-84E2-43F16DCDFA0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tc={8D1E1BF5-6C18-4EA2-B009-CF9708B0A986}</author>
    <author>tc={14DA56C1-B9EC-4387-AFBA-1CA238CB831F}</author>
    <author>tc={0A19E43F-F4F8-4B29-856C-70EE706616D0}</author>
    <author>tc={38BB94A6-FE6E-4290-B28E-5FAAB892A05F}</author>
    <author>tc={A051D3AE-A6F3-4A92-8A4B-AC2137426AE0}</author>
    <author>tc={FDD81664-25D3-48C3-8425-539EAE9C82AA}</author>
    <author>tc={A570BCB6-11C8-482C-A044-27818293BBA5}</author>
    <author>tc={E8084F37-F2C0-40E1-B95E-2393EB8C7C87}</author>
    <author>tc={E56E7D0E-6B90-45B6-81BB-911D403CAAAC}</author>
    <author>tc={55018B9C-52D0-4F09-80C1-F38702FEB378}</author>
    <author>Rettberg, Frank (ICS TI SA AS)</author>
    <author>Karta, Evelyn Eugenia (SL AIR TI EN EE ES)</author>
  </authors>
  <commentList>
    <comment ref="J18" authorId="0" shapeId="0" xr:uid="{8D1E1BF5-6C18-4EA2-B009-CF9708B0A98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24" authorId="1" shapeId="0" xr:uid="{14DA56C1-B9EC-4387-AFBA-1CA238CB831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25" authorId="2" shapeId="0" xr:uid="{0A19E43F-F4F8-4B29-856C-70EE706616D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26" authorId="3" shapeId="0" xr:uid="{38BB94A6-FE6E-4290-B28E-5FAAB892A05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27" authorId="4" shapeId="0" xr:uid="{A051D3AE-A6F3-4A92-8A4B-AC2137426AE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28" authorId="5" shapeId="0" xr:uid="{FDD81664-25D3-48C3-8425-539EAE9C82A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30" authorId="6" shapeId="0" xr:uid="{A570BCB6-11C8-482C-A044-27818293BBA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5" authorId="7" shapeId="0" xr:uid="{E8084F37-F2C0-40E1-B95E-2393EB8C7C8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Price according to NTP for KLIA Ph1</t>
        </r>
      </text>
    </comment>
    <comment ref="J36" authorId="8" shapeId="0" xr:uid="{E56E7D0E-6B90-45B6-81BB-911D403CAAA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J39" authorId="9" shapeId="0" xr:uid="{55018B9C-52D0-4F09-80C1-F38702FEB37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 Price</t>
        </r>
      </text>
    </comment>
    <comment ref="M129" authorId="10" shapeId="0" xr:uid="{410AA419-B034-4D8C-840C-3238DAACE539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0" authorId="10" shapeId="0" xr:uid="{00B18385-1567-476F-A21E-31AA5270D2DE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1" authorId="10" shapeId="0" xr:uid="{3381DA9E-189E-4DBF-B119-24AEAE036A50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M132" authorId="10" shapeId="0" xr:uid="{C045CAFE-C336-4838-8E4C-6014B55B07C5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Factor from last BoM</t>
        </r>
      </text>
    </comment>
    <comment ref="A148" authorId="11" shapeId="0" xr:uid="{7BAC99F0-5322-4DCC-8F83-3980071CAA3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49" authorId="11" shapeId="0" xr:uid="{CB2256BB-3A04-4244-B8EF-17B44F06978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0" authorId="11" shapeId="0" xr:uid="{793B070F-920C-45B3-9D20-CA9984B4E9F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1" authorId="11" shapeId="0" xr:uid="{ED31A9F0-2A5A-4149-B084-174B4ED7072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2" authorId="11" shapeId="0" xr:uid="{28612D88-337C-4C4F-9462-AD3B484E635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3" authorId="11" shapeId="0" xr:uid="{4D9A0536-9300-4EEC-B4AF-9E26818BEE0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4" authorId="11" shapeId="0" xr:uid="{CC714E84-8A66-418E-8149-457A08BE3FF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5" authorId="11" shapeId="0" xr:uid="{347D8C13-BFA6-4333-8B70-4F3D7C390EA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  <comment ref="A156" authorId="11" shapeId="0" xr:uid="{C11F20B9-B277-495C-84A0-F0DC79F4957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BID n Pricing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Zenk, Sebastian (SL FIN-ACP GER)</author>
    <author>Rettberg, Frank (ICS TI SA AS)</author>
  </authors>
  <commentList>
    <comment ref="C1" authorId="0" shapeId="0" xr:uid="{82253754-3F10-4040-A939-5C1DED8B9251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P = Phase</t>
        </r>
      </text>
    </comment>
    <comment ref="D1" authorId="0" shapeId="0" xr:uid="{6FCEE1C0-63F1-4D37-AD8A-D77BFB081058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T = Trade</t>
        </r>
      </text>
    </comment>
    <comment ref="E1" authorId="0" shapeId="0" xr:uid="{F4F0D54A-FE7C-42E1-992B-719129E8AD8B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CL = Classification</t>
        </r>
      </text>
    </comment>
    <comment ref="F1" authorId="0" shapeId="0" xr:uid="{953FB63E-2877-48F8-9A54-8EF6FE3B506E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GF = Product Group/Family</t>
        </r>
      </text>
    </comment>
    <comment ref="G1" authorId="0" shapeId="0" xr:uid="{623BC5F9-3DDB-4B4F-AF35-CEC74C0CC0A1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DE = Device/Detail</t>
        </r>
      </text>
    </comment>
    <comment ref="K20" authorId="1" shapeId="0" xr:uid="{0B293AE3-FE24-41D4-8255-3827D6CF7897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21" authorId="1" shapeId="0" xr:uid="{A349A918-D285-4389-B261-859E47062C2C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22" authorId="1" shapeId="0" xr:uid="{B5E5A477-0011-4D54-9BAD-E2734B2E9900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7" authorId="1" shapeId="0" xr:uid="{DFAD9C4C-1AB4-40B8-BFE6-88B47E24F196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8" authorId="1" shapeId="0" xr:uid="{6B01268D-BFE9-4124-87AF-0333BA83C6F5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9" authorId="1" shapeId="0" xr:uid="{3F571251-8C65-424B-9AF6-D57CDF39E44B}">
      <text>
        <r>
          <rPr>
            <b/>
            <sz val="9"/>
            <color indexed="81"/>
            <rFont val="Segoe UI"/>
            <family val="2"/>
          </rPr>
          <t>always "1"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Zenk, Sebastian (SL FIN-ACP GER)</author>
    <author>Rettberg, Frank (ICS TI SA AS)</author>
  </authors>
  <commentList>
    <comment ref="C1" authorId="0" shapeId="0" xr:uid="{82F2A86B-16FE-4EEE-A4F7-1245306BB76A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P = Phase</t>
        </r>
      </text>
    </comment>
    <comment ref="D1" authorId="0" shapeId="0" xr:uid="{14C66113-8325-47CE-B3F3-A17AE338ADD2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T = Trade</t>
        </r>
      </text>
    </comment>
    <comment ref="E1" authorId="0" shapeId="0" xr:uid="{9B8C7115-65B8-4BB5-AE86-F402812E93CA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CL = Classification</t>
        </r>
      </text>
    </comment>
    <comment ref="F1" authorId="0" shapeId="0" xr:uid="{CDCFC6AB-7364-494B-9788-D13E16933D28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GF = Product Group/Family</t>
        </r>
      </text>
    </comment>
    <comment ref="G1" authorId="0" shapeId="0" xr:uid="{06C7BBA0-91EC-4A2A-8C7C-238AC3D2B37B}">
      <text>
        <r>
          <rPr>
            <b/>
            <sz val="9"/>
            <color indexed="81"/>
            <rFont val="Tahoma"/>
            <family val="2"/>
          </rPr>
          <t>Zenk, Sebastian (SL FIN-ACP GER):</t>
        </r>
        <r>
          <rPr>
            <sz val="9"/>
            <color indexed="81"/>
            <rFont val="Tahoma"/>
            <family val="2"/>
          </rPr>
          <t xml:space="preserve">
DE = Device/Detail</t>
        </r>
      </text>
    </comment>
    <comment ref="K20" authorId="1" shapeId="0" xr:uid="{6539658C-09E9-4D2E-97CD-B88CCC26F80A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21" authorId="1" shapeId="0" xr:uid="{5C15C4CA-8B2C-4D93-A229-1E30C19CE75D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22" authorId="1" shapeId="0" xr:uid="{4644A9AB-A09E-4874-854A-8586F972898C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2" authorId="1" shapeId="0" xr:uid="{C9F0B611-C652-4591-BA6A-30DAE69869CB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3" authorId="1" shapeId="0" xr:uid="{86E60694-8AF0-4470-86DC-886697576C59}">
      <text>
        <r>
          <rPr>
            <b/>
            <sz val="9"/>
            <color indexed="81"/>
            <rFont val="Segoe UI"/>
            <family val="2"/>
          </rPr>
          <t>always "1"</t>
        </r>
      </text>
    </comment>
    <comment ref="K44" authorId="1" shapeId="0" xr:uid="{378D85E1-0249-4903-A1B1-EA714803AE09}">
      <text>
        <r>
          <rPr>
            <b/>
            <sz val="9"/>
            <color indexed="81"/>
            <rFont val="Segoe UI"/>
            <family val="2"/>
          </rPr>
          <t>always "1"</t>
        </r>
      </text>
    </comment>
  </commentList>
</comments>
</file>

<file path=xl/sharedStrings.xml><?xml version="1.0" encoding="utf-8"?>
<sst xmlns="http://schemas.openxmlformats.org/spreadsheetml/2006/main" count="5769" uniqueCount="941">
  <si>
    <t xml:space="preserve">PLC &amp; Electrical Material Costs </t>
  </si>
  <si>
    <t>VFD's should be considered from the values on SPT file.</t>
  </si>
  <si>
    <t>Total</t>
  </si>
  <si>
    <t>Projectname :</t>
  </si>
  <si>
    <t>Average per drive</t>
  </si>
  <si>
    <t>ICS</t>
  </si>
  <si>
    <t>Yellow Prices t.b. checked by SCM!!</t>
  </si>
  <si>
    <t>Reference ID to
`PLC_Material_Qty´</t>
  </si>
  <si>
    <t>Element Description</t>
  </si>
  <si>
    <t>Part Number SAP</t>
  </si>
  <si>
    <t>Part Number
SAP (SCM)</t>
  </si>
  <si>
    <t>Drawing No. / Typ</t>
  </si>
  <si>
    <t>Material No. / Element Typ</t>
  </si>
  <si>
    <t>Manufacturer</t>
  </si>
  <si>
    <t>Responsible</t>
  </si>
  <si>
    <t>Price per unit from HQ</t>
  </si>
  <si>
    <t>Leadtime (weeks)</t>
  </si>
  <si>
    <t>Offer Validity</t>
  </si>
  <si>
    <t>Qty. 
Total</t>
  </si>
  <si>
    <t>Price total</t>
  </si>
  <si>
    <t>Comments</t>
  </si>
  <si>
    <t>MPS Number</t>
  </si>
  <si>
    <t>Commodity</t>
  </si>
  <si>
    <t>Cabinets &amp; Boxes</t>
  </si>
  <si>
    <t>Power Distribution &amp; Compensation</t>
  </si>
  <si>
    <t>PDP</t>
  </si>
  <si>
    <t>PDP Power Distribution Cabinet</t>
  </si>
  <si>
    <t>n.a.</t>
  </si>
  <si>
    <t>Siemens SIVACON</t>
  </si>
  <si>
    <t>André Bento</t>
  </si>
  <si>
    <t>Offer O-P377-DE-20-0428 new Offer from SVACON Leipzig required</t>
  </si>
  <si>
    <t>04-PU-I_-CA</t>
  </si>
  <si>
    <t>PD: Power Distribution Panel (PDP)</t>
  </si>
  <si>
    <t>PFCLP</t>
  </si>
  <si>
    <t>Compensation (Calc. per LP, e.g. TTS, EBS)</t>
  </si>
  <si>
    <t>COMSYS</t>
  </si>
  <si>
    <t>Offer Comsys AB (offer BKK CC6 - 2021)</t>
  </si>
  <si>
    <t>04-CR-I_-BC</t>
  </si>
  <si>
    <t>LP: Power stabilizing Power Factor Corrcetion Panel (PFC)</t>
  </si>
  <si>
    <t>PFCPDP</t>
  </si>
  <si>
    <t>Compensation (Calc. per PDP)</t>
  </si>
  <si>
    <t>t.b.c. if part of PDP scope</t>
  </si>
  <si>
    <t>LP Load Cabinet  (LP250A)</t>
  </si>
  <si>
    <t>??</t>
  </si>
  <si>
    <t>ICN_LP250A_without PLC-Panel</t>
  </si>
  <si>
    <t>Siemens: Konstanz, WKC</t>
  </si>
  <si>
    <t>ICN specific, now included in LP Price</t>
  </si>
  <si>
    <t>04-PU-I_-CF</t>
  </si>
  <si>
    <t>PD: Load Panel</t>
  </si>
  <si>
    <t xml:space="preserve"> </t>
  </si>
  <si>
    <t>UPSPanel</t>
  </si>
  <si>
    <t>UPS Panel</t>
  </si>
  <si>
    <t>local</t>
  </si>
  <si>
    <t>Control Cabinets</t>
  </si>
  <si>
    <t>LP120</t>
  </si>
  <si>
    <t>Hybrid Cabinet LP&amp;PM (LM) S7-15xxF</t>
  </si>
  <si>
    <t>WKC</t>
  </si>
  <si>
    <t>WKC (A28688_01_22) 09.2022</t>
  </si>
  <si>
    <t>04-CU-I_-CB</t>
  </si>
  <si>
    <t>LP: Central Control Panel LP S7-15xx</t>
  </si>
  <si>
    <t>LP220</t>
  </si>
  <si>
    <t>Hybrid Cabinet LP&amp;PM (LM) S7-15xxH/F</t>
  </si>
  <si>
    <t>Power</t>
  </si>
  <si>
    <t>from:</t>
  </si>
  <si>
    <t>LB2014</t>
  </si>
  <si>
    <t>LP</t>
  </si>
  <si>
    <t>LB lokale Profinet Box</t>
  </si>
  <si>
    <t>LB2014_V1.00</t>
  </si>
  <si>
    <t>WKC (A28688_22) 09.2022</t>
  </si>
  <si>
    <t>04-CU-I_-CC</t>
  </si>
  <si>
    <t>Field Panels: Field Control Panel PM</t>
  </si>
  <si>
    <t>LB2114</t>
  </si>
  <si>
    <t>LB lokale Profinet Box (with F-DI/DO)</t>
  </si>
  <si>
    <t>BtL</t>
  </si>
  <si>
    <t>PM</t>
  </si>
  <si>
    <t>Belt Lift</t>
  </si>
  <si>
    <t>EL001 (KUL2_V1.00_20190228)</t>
  </si>
  <si>
    <t>WKC (A28051_03_22) 07.2022</t>
  </si>
  <si>
    <t>04-CV-B7-01</t>
  </si>
  <si>
    <t>Smart Units: R- Lift (Panel, Field Devices, …)</t>
  </si>
  <si>
    <t>BtS/C</t>
  </si>
  <si>
    <t xml:space="preserve">Belt S/C-Conveyor </t>
  </si>
  <si>
    <t>81.2707.618-00</t>
  </si>
  <si>
    <t>????</t>
  </si>
  <si>
    <t>04-CV-B7-02</t>
  </si>
  <si>
    <t>Smart Units: S-, C- Lift (Panel, Field Devices, …)</t>
  </si>
  <si>
    <t>BtVSU</t>
  </si>
  <si>
    <t xml:space="preserve">Belt VSU </t>
  </si>
  <si>
    <t>81.10711.643-00</t>
  </si>
  <si>
    <t>H_VSU02_0000_V2.01</t>
  </si>
  <si>
    <t>31.12.2022</t>
  </si>
  <si>
    <t>04-CV-BD-V1</t>
  </si>
  <si>
    <t>Smart Units: VSU/VDU (Panel, Field Devices, …)</t>
  </si>
  <si>
    <t>BtHD</t>
  </si>
  <si>
    <t>HSD</t>
  </si>
  <si>
    <t>only Interface (e.g. Scalance,..) --&gt; Panel costs comes with Device!</t>
  </si>
  <si>
    <t>04-CV-BS-02</t>
  </si>
  <si>
    <t>Smart Units: HSD (Interface only!)</t>
  </si>
  <si>
    <t>BtPD</t>
  </si>
  <si>
    <t xml:space="preserve">Plough Diverter </t>
  </si>
  <si>
    <t>04-CV-BD-H1</t>
  </si>
  <si>
    <t>BtST</t>
  </si>
  <si>
    <t>BeltTilter</t>
  </si>
  <si>
    <t>80.2002.720-00</t>
  </si>
  <si>
    <t>H_ST002_0000_V3.02</t>
  </si>
  <si>
    <t>04-CV-BS-03</t>
  </si>
  <si>
    <t>Smart Units: Tilter (Panel, Field Devices, …)</t>
  </si>
  <si>
    <t>TrST</t>
  </si>
  <si>
    <t xml:space="preserve">Tray Tilter / Tilter plus </t>
  </si>
  <si>
    <t>04-CV-IS-05</t>
  </si>
  <si>
    <t>TrSMT</t>
  </si>
  <si>
    <t>Tray SmartTilter</t>
  </si>
  <si>
    <t>H_SMT01</t>
  </si>
  <si>
    <t>04-CV-IS-06</t>
  </si>
  <si>
    <t>Smart Units: Smart Tilter (Panel, Field Devices, …)</t>
  </si>
  <si>
    <t>TrSS</t>
  </si>
  <si>
    <t>Tray Simple Stacker</t>
  </si>
  <si>
    <t>80.2002.725-00</t>
  </si>
  <si>
    <t>H_SS001_0000_V4.00</t>
  </si>
  <si>
    <t>04-CV-IS-01</t>
  </si>
  <si>
    <t>Smart Units: Stacker (Panel, Field Devices, …)</t>
  </si>
  <si>
    <t>TrLS</t>
  </si>
  <si>
    <t>Tray Line Stacker</t>
  </si>
  <si>
    <t>80.2002.367-00</t>
  </si>
  <si>
    <t>H_LS001_0000_V2.01</t>
  </si>
  <si>
    <t>04-CV-IS-02</t>
  </si>
  <si>
    <t>Smart Units: Line Stacker (Panel, Field Devices, …)</t>
  </si>
  <si>
    <t>TrVSU</t>
  </si>
  <si>
    <t>Tray VSU/VMU</t>
  </si>
  <si>
    <t>04-CV-IS-xx</t>
  </si>
  <si>
    <t>TrL</t>
  </si>
  <si>
    <t>Tray Lift</t>
  </si>
  <si>
    <t>04-CV-I7-01</t>
  </si>
  <si>
    <t xml:space="preserve">Smart Units: Lift (Panel, Field Devices, …) </t>
  </si>
  <si>
    <t>TrS/C</t>
  </si>
  <si>
    <t>Tray S/C-Conveyor</t>
  </si>
  <si>
    <t>04-CV-I7-02</t>
  </si>
  <si>
    <t>Emergency Stop</t>
  </si>
  <si>
    <t>EP006</t>
  </si>
  <si>
    <t>E-Stop PLC Cabinet (EP) S7-15xx F</t>
  </si>
  <si>
    <t>H_EP006_V1.00</t>
  </si>
  <si>
    <t>04-EU-I_-CB</t>
  </si>
  <si>
    <t>Field Panels: Central Control Panel (EP)</t>
  </si>
  <si>
    <t>EP004</t>
  </si>
  <si>
    <t>E-Stop PLC Cabinet (EP) S7-15xx H/F</t>
  </si>
  <si>
    <t>H_EP004_V1.00</t>
  </si>
  <si>
    <t>EB063</t>
  </si>
  <si>
    <t>E-Stop I/O Box (EB)</t>
  </si>
  <si>
    <t>H_EB063_V1.00</t>
  </si>
  <si>
    <t>04-EU-I_-CH</t>
  </si>
  <si>
    <t>Field Panels: E-Stop I/O Box (EB)</t>
  </si>
  <si>
    <t>Specific Cabinets &amp; Boxes</t>
  </si>
  <si>
    <t>FB650</t>
  </si>
  <si>
    <t>Tray Merge&amp;Diverter</t>
  </si>
  <si>
    <t>81.10711.637-00</t>
  </si>
  <si>
    <t>FB650_0000_V2.00</t>
  </si>
  <si>
    <t>04-CU-I_-CE</t>
  </si>
  <si>
    <t>Field Panels: I/O Box IOB (FB)</t>
  </si>
  <si>
    <t>ST</t>
  </si>
  <si>
    <t>Step Through Control Box</t>
  </si>
  <si>
    <t>based on TBS4</t>
  </si>
  <si>
    <t>FB150</t>
  </si>
  <si>
    <t>Roller Inspection Box</t>
  </si>
  <si>
    <t>81.10711.641-00</t>
  </si>
  <si>
    <t>TBS4_HW Typical_FB101_Wiring_B01_20180926</t>
  </si>
  <si>
    <t>actual Offer from WKC (A22102_19) 02.2019 plus Mark-up</t>
  </si>
  <si>
    <t xml:space="preserve">CP001 </t>
  </si>
  <si>
    <t>Check-In Distr. &amp; Starter Cabinet for 2 CI Islands (from SLACO)</t>
  </si>
  <si>
    <t>04-CU-CI-CP</t>
  </si>
  <si>
    <t>Check-In Panel (Distr. &amp; Starter) CP</t>
  </si>
  <si>
    <t xml:space="preserve">CB001 </t>
  </si>
  <si>
    <t>Check-In I/O Box for 4 Counters (from SLACO)</t>
  </si>
  <si>
    <t>04-CU-CI-CO</t>
  </si>
  <si>
    <t>Check-In (I/O Box) CB</t>
  </si>
  <si>
    <t>PWSockets</t>
  </si>
  <si>
    <t>220V Socket Inst. incl. Distribution boxes</t>
  </si>
  <si>
    <t>Power Infeed Conversion Box per LP (Tunnel)</t>
  </si>
  <si>
    <t>actual price, see separate EBS calculation</t>
  </si>
  <si>
    <t>Power Supply Conversion Box per PM (Tunnel)</t>
  </si>
  <si>
    <t>Field Components</t>
  </si>
  <si>
    <t>Emergency Stop Equipment</t>
  </si>
  <si>
    <t>ES</t>
  </si>
  <si>
    <t>Emergency Stop Push Buttons (Harting)</t>
  </si>
  <si>
    <t>320.934416</t>
  </si>
  <si>
    <t>Harting</t>
  </si>
  <si>
    <t>Harting offer 07.05.2020</t>
  </si>
  <si>
    <t>04-EC-I_-SJ</t>
  </si>
  <si>
    <t>Field Devices: Control Station (CS)</t>
  </si>
  <si>
    <t>ESCI</t>
  </si>
  <si>
    <t>Emergency Stop Push Buttons Check-in</t>
  </si>
  <si>
    <t>ESRT</t>
  </si>
  <si>
    <t>Emergency Stop Push Buttons Race Track</t>
  </si>
  <si>
    <t>ESP</t>
  </si>
  <si>
    <t>Lanyard Switch</t>
  </si>
  <si>
    <t>320.935266</t>
  </si>
  <si>
    <t>Schmersal</t>
  </si>
  <si>
    <t>28.02.2023</t>
  </si>
  <si>
    <t xml:space="preserve">new Offer required </t>
  </si>
  <si>
    <t>LED RED G24-M20</t>
  </si>
  <si>
    <t>Wire 5mm dia -15M incl. Eyebolt</t>
  </si>
  <si>
    <t>320.935257</t>
  </si>
  <si>
    <t xml:space="preserve">Tension Spring  </t>
  </si>
  <si>
    <t>320.935254</t>
  </si>
  <si>
    <t>Eyebolt M8</t>
  </si>
  <si>
    <t>320.935262</t>
  </si>
  <si>
    <t>Wire clamp Duplex, oval dia 3mm</t>
  </si>
  <si>
    <t>320.935260</t>
  </si>
  <si>
    <t>Turnbuckle M6 x 60</t>
  </si>
  <si>
    <t>320.935255</t>
  </si>
  <si>
    <t>Control Stations</t>
  </si>
  <si>
    <t>E-Stop Acknowledgement Lanyard Switch (same Price as JAM St.)</t>
  </si>
  <si>
    <t>CS31</t>
  </si>
  <si>
    <t>CIN20230124132315179631</t>
  </si>
  <si>
    <t>Siemens</t>
  </si>
  <si>
    <t>actual PMD Price</t>
  </si>
  <si>
    <t>PBCI</t>
  </si>
  <si>
    <t>Check In Control Station incl. 5 operating units</t>
  </si>
  <si>
    <t>estimated only</t>
  </si>
  <si>
    <t>04-CC-CI-SJ</t>
  </si>
  <si>
    <t>CS1</t>
  </si>
  <si>
    <t>Control Station JAM (f. PN IO Link)</t>
  </si>
  <si>
    <t>04-CC-I_-SJ</t>
  </si>
  <si>
    <t>CS2</t>
  </si>
  <si>
    <t>Control Station, 2 operating units (f. PN IO Link)</t>
  </si>
  <si>
    <t>CS24</t>
  </si>
  <si>
    <t>CIN20230112132357155205</t>
  </si>
  <si>
    <t>CS3</t>
  </si>
  <si>
    <t>Control Station, 4 operating units (f. PN IO Link)</t>
  </si>
  <si>
    <t>CS64</t>
  </si>
  <si>
    <t>CIN20230112140613152775</t>
  </si>
  <si>
    <t>CS4</t>
  </si>
  <si>
    <t>Control Station, 6 operating units (f. PN IO Link)</t>
  </si>
  <si>
    <t>CS16</t>
  </si>
  <si>
    <t>CIN20230112134157156302</t>
  </si>
  <si>
    <t>CS5</t>
  </si>
  <si>
    <t>Control Station, CS 96 w. Touch panel KTP700</t>
  </si>
  <si>
    <t>81.2707.660-41</t>
  </si>
  <si>
    <t>ICN 3.5</t>
  </si>
  <si>
    <t>Signal Column 1 Lamp</t>
  </si>
  <si>
    <t>TL1</t>
  </si>
  <si>
    <t>Foot for steady Light</t>
  </si>
  <si>
    <t>320.910453</t>
  </si>
  <si>
    <t>8WD4308-0DB</t>
  </si>
  <si>
    <t>04-CC-I_-SP</t>
  </si>
  <si>
    <t>Field Devices: Light Beacons / Tower Lamps (LB)</t>
  </si>
  <si>
    <t>Tube 1000mm</t>
  </si>
  <si>
    <t>320.910455</t>
  </si>
  <si>
    <t>8WD4308-0ED</t>
  </si>
  <si>
    <t>Connection Element</t>
  </si>
  <si>
    <t>320.913243</t>
  </si>
  <si>
    <t>8WD4408-0AD</t>
  </si>
  <si>
    <t>PN Interface Element</t>
  </si>
  <si>
    <t>C-0001-4330</t>
  </si>
  <si>
    <t>8WD4428-0BF</t>
  </si>
  <si>
    <t>Steady Light CLEAR</t>
  </si>
  <si>
    <t>320.912330</t>
  </si>
  <si>
    <t>8WD4420-5AE</t>
  </si>
  <si>
    <t>Signal Column 1 Lamp + Horn</t>
  </si>
  <si>
    <t>TL2</t>
  </si>
  <si>
    <t>Horn 0-100dB 24V DC</t>
  </si>
  <si>
    <t>320.919860</t>
  </si>
  <si>
    <t>8WD4420-0EA2</t>
  </si>
  <si>
    <t>Signal Column  2 Lamps+ Horn</t>
  </si>
  <si>
    <t>TL3</t>
  </si>
  <si>
    <t>Steady Light GREEN</t>
  </si>
  <si>
    <t>320.912332</t>
  </si>
  <si>
    <t>8WD4420-5AC</t>
  </si>
  <si>
    <t>Signal Column  3 Lamps+ Horn</t>
  </si>
  <si>
    <t>TL4</t>
  </si>
  <si>
    <t>Steady Light BLUE</t>
  </si>
  <si>
    <t>320.912334</t>
  </si>
  <si>
    <t>8WD4420-5AF</t>
  </si>
  <si>
    <t>Signal Column  4 Lamps+ Horn</t>
  </si>
  <si>
    <t>TL5</t>
  </si>
  <si>
    <t>Steady Light RED</t>
  </si>
  <si>
    <t>320.912333</t>
  </si>
  <si>
    <t>8WD4420-5AB</t>
  </si>
  <si>
    <t>Sensors</t>
  </si>
  <si>
    <t>GL10</t>
  </si>
  <si>
    <t>Photocell</t>
  </si>
  <si>
    <t>320.937480</t>
  </si>
  <si>
    <t>GL10-F4551</t>
  </si>
  <si>
    <t>Sick</t>
  </si>
  <si>
    <t>Rute Coelho</t>
  </si>
  <si>
    <t>SL - Sick Agreement price</t>
  </si>
  <si>
    <t>04-CC-I_-BG</t>
  </si>
  <si>
    <t>Field Devices: Actors, Sensors</t>
  </si>
  <si>
    <t>Mirror for Photocell</t>
  </si>
  <si>
    <t>320.917513</t>
  </si>
  <si>
    <t>PL40A</t>
  </si>
  <si>
    <t>WTB26P</t>
  </si>
  <si>
    <t>Photoelectric Sensor</t>
  </si>
  <si>
    <t>GSE10-P4111</t>
  </si>
  <si>
    <t>GSE10</t>
  </si>
  <si>
    <t>Send/Receive Photocell</t>
  </si>
  <si>
    <t>C-0000-0445</t>
  </si>
  <si>
    <t>WTB26P-24161120A00</t>
  </si>
  <si>
    <t>ELG3</t>
  </si>
  <si>
    <t xml:space="preserve">Light Curtain </t>
  </si>
  <si>
    <t>320.922009</t>
  </si>
  <si>
    <t>ELG3-1410P521</t>
  </si>
  <si>
    <t>Prox Ø 30</t>
  </si>
  <si>
    <t>Proximity Switch M30</t>
  </si>
  <si>
    <t>Prox Ø 18</t>
  </si>
  <si>
    <t>Proximity Switch M18</t>
  </si>
  <si>
    <t>IM18-12NPO-ZC1</t>
  </si>
  <si>
    <t>LS</t>
  </si>
  <si>
    <t>Limit Switch</t>
  </si>
  <si>
    <t>3SE2200-1G</t>
  </si>
  <si>
    <t>SF</t>
  </si>
  <si>
    <t>Safety Fence Limit Switch</t>
  </si>
  <si>
    <t>???</t>
  </si>
  <si>
    <t>FS</t>
  </si>
  <si>
    <t>Foot Switch</t>
  </si>
  <si>
    <t>67474047</t>
  </si>
  <si>
    <t>3SE3902-4CB20</t>
  </si>
  <si>
    <t>04-CC-CI-SG</t>
  </si>
  <si>
    <t>Field Devices: Foot Switch</t>
  </si>
  <si>
    <t>PG</t>
  </si>
  <si>
    <t>Pulsgenerator</t>
  </si>
  <si>
    <t>320.935982</t>
  </si>
  <si>
    <t>DBS60E-S4EC00S51</t>
  </si>
  <si>
    <t>04-CC-I_-BA</t>
  </si>
  <si>
    <t>I/O PN</t>
  </si>
  <si>
    <t>PN DIO8 IOL8</t>
  </si>
  <si>
    <t>C-0001-4326</t>
  </si>
  <si>
    <t>IMPACT67 Pro PN DIO8 IOL8 M12L 5P</t>
  </si>
  <si>
    <t>Murr Elektronik</t>
  </si>
  <si>
    <t>Field Devices: I/O Devices</t>
  </si>
  <si>
    <t>Conveyor Starter/VFD</t>
  </si>
  <si>
    <t>STm 0,9kW</t>
  </si>
  <si>
    <t>M200D El-mech. Directstarter 0,9KW  PN</t>
  </si>
  <si>
    <t>3RK1315-6NS71-2AA0</t>
  </si>
  <si>
    <t>Field Devices: VFD</t>
  </si>
  <si>
    <t>STmr 0,9kW</t>
  </si>
  <si>
    <t>M200D El-mech. reversible Starter 0,9KW  PN</t>
  </si>
  <si>
    <t>3RK1315-6NS71-3AA0</t>
  </si>
  <si>
    <t>Ste</t>
  </si>
  <si>
    <t>M200D electr. Directstarter 5,5KW PN</t>
  </si>
  <si>
    <t>3RK1325-6LS71-2AA0</t>
  </si>
  <si>
    <t>STrev</t>
  </si>
  <si>
    <t>M200D electr. reversible Starter 5,5KW PN</t>
  </si>
  <si>
    <t xml:space="preserve">3RK1325-6LS71-3AA0 </t>
  </si>
  <si>
    <t>STm</t>
  </si>
  <si>
    <t>M200D El-mech. Directstarter 5,5KW  PN</t>
  </si>
  <si>
    <t>3RK1325-6LS41-2AA0</t>
  </si>
  <si>
    <t>SST</t>
  </si>
  <si>
    <t>M200D El-mech. reversible Starter 5,5KW  PN</t>
  </si>
  <si>
    <t>3RK1325-6LS41-3AA0</t>
  </si>
  <si>
    <t>FC0,75</t>
  </si>
  <si>
    <t>VFD G115D 0,75 kW PN</t>
  </si>
  <si>
    <t>C-0000-7702</t>
  </si>
  <si>
    <t>6SL3520-3XB40-7AF0</t>
  </si>
  <si>
    <t>30.09.2023</t>
  </si>
  <si>
    <t>Total Qty and type of VFD &amp; Brake Resistor should come from Drive List (SPT…...xls)</t>
  </si>
  <si>
    <t>04-CC-I_-QA</t>
  </si>
  <si>
    <t>FC1,1</t>
  </si>
  <si>
    <t>VFD G115D 1,1kW PN</t>
  </si>
  <si>
    <t>C-0000-7703</t>
  </si>
  <si>
    <t>6SL3520-3XB41-1AF0</t>
  </si>
  <si>
    <t>FC1,5</t>
  </si>
  <si>
    <t>VFD G115D 1,5 kW PN</t>
  </si>
  <si>
    <t>C-0000-7704</t>
  </si>
  <si>
    <t>6SL3520-3XB41-5AF0</t>
  </si>
  <si>
    <t>FC2,2</t>
  </si>
  <si>
    <t>VFD G115D 2,2 kW PN</t>
  </si>
  <si>
    <t>C-0000-7705</t>
  </si>
  <si>
    <t>6SL3520-3XB42-2AF0</t>
  </si>
  <si>
    <t>FC3</t>
  </si>
  <si>
    <t>VFD G115D 3 kW PN</t>
  </si>
  <si>
    <t>C-0000-7706</t>
  </si>
  <si>
    <t>6SL3520-3XB43-0AF0</t>
  </si>
  <si>
    <t>FC4</t>
  </si>
  <si>
    <t>VFD G115D 4 kW PN</t>
  </si>
  <si>
    <t>C-0000-7707</t>
  </si>
  <si>
    <t>6SL3520-3XB44-0AF0</t>
  </si>
  <si>
    <t>FC5,5</t>
  </si>
  <si>
    <t>VFD G115D 5,5 kW PN</t>
  </si>
  <si>
    <t>C-0000-7708</t>
  </si>
  <si>
    <t>6SL3520-3XB45-5AF0</t>
  </si>
  <si>
    <t>FC7,5</t>
  </si>
  <si>
    <t>VFD G115D 7,5 kW PN</t>
  </si>
  <si>
    <t>C-0000-7709</t>
  </si>
  <si>
    <t>6SL3520-3XB47-5AF0</t>
  </si>
  <si>
    <t>VFD Brake Resistor FSA 240W f. G115D</t>
  </si>
  <si>
    <t>C-0001-1713</t>
  </si>
  <si>
    <t>6SL3501-1BE32-4AA0</t>
  </si>
  <si>
    <t>VFD Brake Resistor FSA 480W f. G115D</t>
  </si>
  <si>
    <t>C-000X-XXXX</t>
  </si>
  <si>
    <t>6SL3501-1BE34-8AA0</t>
  </si>
  <si>
    <t>VFD Brake Resistor FSB 240W f. G115D</t>
  </si>
  <si>
    <t>C-0001-1714</t>
  </si>
  <si>
    <t>6SL3501-1BE32-4BA0</t>
  </si>
  <si>
    <t>VFD Brake Resistor FSB 600W f. G115D</t>
  </si>
  <si>
    <t>6SL3501-1BE36-0BA0</t>
  </si>
  <si>
    <t>Identification Units</t>
  </si>
  <si>
    <t>Tray - ID - System RF300 --&gt; t.b. checked</t>
  </si>
  <si>
    <t>TrRFID</t>
  </si>
  <si>
    <t>Interface Module for Profinet RF185C</t>
  </si>
  <si>
    <t>320.934346</t>
  </si>
  <si>
    <t>6GT2002-0JE10</t>
  </si>
  <si>
    <t>04-CC-I_-BY</t>
  </si>
  <si>
    <t>Field Devices: Barcode Reader (Moby, BPS…)</t>
  </si>
  <si>
    <t>Reader RF360R</t>
  </si>
  <si>
    <t>320.938801</t>
  </si>
  <si>
    <t xml:space="preserve"> C-0001-7094</t>
  </si>
  <si>
    <t>6GT2801-5BA30</t>
  </si>
  <si>
    <t>Replaced by 6GT2801-3BA10</t>
  </si>
  <si>
    <t>Cable RF180C - RF360R; 1 m</t>
  </si>
  <si>
    <t>320.936519</t>
  </si>
  <si>
    <t>6GT2891-4FH10-0AX0</t>
  </si>
  <si>
    <t>TrTAG</t>
  </si>
  <si>
    <t>TAG MDS D100</t>
  </si>
  <si>
    <t>320.936150</t>
  </si>
  <si>
    <t xml:space="preserve">6GT2600-0AD10 </t>
  </si>
  <si>
    <t>comes with Tray</t>
  </si>
  <si>
    <t>04-CC-IT-BY</t>
  </si>
  <si>
    <t>Spacer for Tag MDS D100</t>
  </si>
  <si>
    <t>95750447</t>
  </si>
  <si>
    <t>6GT2190-0AA00</t>
  </si>
  <si>
    <t>Holder for Tag MDS D100</t>
  </si>
  <si>
    <t>95750547</t>
  </si>
  <si>
    <t>6GT2190-0AB00</t>
  </si>
  <si>
    <t>Hand Scanner</t>
  </si>
  <si>
    <t>HandSc</t>
  </si>
  <si>
    <t>Barcode Scanner</t>
  </si>
  <si>
    <t>320.935569</t>
  </si>
  <si>
    <t>IDM140-300S</t>
  </si>
  <si>
    <t>04-CC-VR-11</t>
  </si>
  <si>
    <t>Bag ID Systems</t>
  </si>
  <si>
    <t>ATR-L1</t>
  </si>
  <si>
    <t>Laser ATR 360°</t>
  </si>
  <si>
    <t>80.1600.051-00</t>
  </si>
  <si>
    <t>LCB750/10</t>
  </si>
  <si>
    <t>offer from Sick req., (default from Sick Agreement)</t>
  </si>
  <si>
    <t>04-CC-VR-02</t>
  </si>
  <si>
    <t>ATR360: LCB750/10 (T &amp; L code 360°)</t>
  </si>
  <si>
    <t>ATR-L2</t>
  </si>
  <si>
    <t>Laser ATR 360° (RFID Ready)</t>
  </si>
  <si>
    <t>80.1600.052-00</t>
  </si>
  <si>
    <t>LCB750/12</t>
  </si>
  <si>
    <t>04-CC-VR-03</t>
  </si>
  <si>
    <t>ATR360: LCB750/10 (T &amp; L code 360°) RFID ready</t>
  </si>
  <si>
    <t>ATR-L3</t>
  </si>
  <si>
    <t>Laser ATR 360° RFID Hybrid compl.</t>
  </si>
  <si>
    <t>80.1600.062-00</t>
  </si>
  <si>
    <t>HYBRID 750/12/4</t>
  </si>
  <si>
    <t>04-CC-VR-04</t>
  </si>
  <si>
    <t>ATR360: ALIS Hybrid System (Complete =&gt;ATR+RFID in a frame)</t>
  </si>
  <si>
    <t>ATR-C1</t>
  </si>
  <si>
    <t>Camera ATR (with bottom Laser Sc.)</t>
  </si>
  <si>
    <t>80.1600.057-00</t>
  </si>
  <si>
    <t xml:space="preserve">ALIS CAM </t>
  </si>
  <si>
    <t>04-CC-VR-09</t>
  </si>
  <si>
    <t>RFID: RFMS pro (Standalone System)</t>
  </si>
  <si>
    <t>ATR-C2</t>
  </si>
  <si>
    <t>Camera ATR w. RFMS ready (no bottom Laser Sc.)</t>
  </si>
  <si>
    <t>80.1600.056-00</t>
  </si>
  <si>
    <t>04-CC-VR-08</t>
  </si>
  <si>
    <t>RFID: Add-on RFMS pro w/o MSC800</t>
  </si>
  <si>
    <t>ATR-C3</t>
  </si>
  <si>
    <t>Camera ATR w. RFMS compl. (no bottom Laser Sc.)</t>
  </si>
  <si>
    <t>ALIS CAM + RFMS</t>
  </si>
  <si>
    <t>1094870 + 1094875</t>
  </si>
  <si>
    <t>04-CC-VR-05</t>
  </si>
  <si>
    <t>VisionSystem: Add-on ATR 360° adding 8 x Matrix cameras Lector 654</t>
  </si>
  <si>
    <t>ATR-D</t>
  </si>
  <si>
    <t>ATR Diagnosic System RDT 400 (24 Clients)</t>
  </si>
  <si>
    <t>04-CC-VR-92</t>
  </si>
  <si>
    <t xml:space="preserve">Remote Diagnostic Tool </t>
  </si>
  <si>
    <t>IP Camera per ATR</t>
  </si>
  <si>
    <t>80.1600.065-00</t>
  </si>
  <si>
    <t>Adding 1x Network Camera AXIS P1364 + Cables</t>
  </si>
  <si>
    <t>04-CC-VR-10</t>
  </si>
  <si>
    <t xml:space="preserve">ATR360: ALIS CAM with cameras only (11 cameras) </t>
  </si>
  <si>
    <t>Bag Dimensioning</t>
  </si>
  <si>
    <t>ALIS DIM</t>
  </si>
  <si>
    <t>Volumen Camera</t>
  </si>
  <si>
    <t>80.1600.059-00</t>
  </si>
  <si>
    <t>04-CC-W_-12</t>
  </si>
  <si>
    <t>ALIS DIM hybrid standard gate - automated volume measuring system</t>
  </si>
  <si>
    <t>Pre-Fabricated Cable</t>
  </si>
  <si>
    <t>Power T-Connector</t>
  </si>
  <si>
    <t>820.015159</t>
  </si>
  <si>
    <t>61 88 201 0181.03</t>
  </si>
  <si>
    <t>HARTING</t>
  </si>
  <si>
    <t>HARTING Pricelist valid until 30.09.2022 plus 10% according PUC information</t>
  </si>
  <si>
    <t>Field Devices: VFD Power T-Connector</t>
  </si>
  <si>
    <t>Servo Cable, 2m</t>
  </si>
  <si>
    <t>320.921026</t>
  </si>
  <si>
    <t>C-0000-9918</t>
  </si>
  <si>
    <t>61 88 202 2901.00</t>
  </si>
  <si>
    <t>Harting offer 17.03.2022  + 10% according to PUC information</t>
  </si>
  <si>
    <t>04-CC-I_-QW</t>
  </si>
  <si>
    <t>Field Devices: VFD Power and Motor cable</t>
  </si>
  <si>
    <t>Servo Cable, 3m</t>
  </si>
  <si>
    <t>320.921027</t>
  </si>
  <si>
    <t>C-0000-9919</t>
  </si>
  <si>
    <t>61 88 202 2902.00</t>
  </si>
  <si>
    <t>Harting offer 12.10.2022  + 10% according to PUC information</t>
  </si>
  <si>
    <t>Servo Cable, 5m</t>
  </si>
  <si>
    <t>320.921029</t>
  </si>
  <si>
    <t>C-0000-9920</t>
  </si>
  <si>
    <t>61 88 202 2903.00</t>
  </si>
  <si>
    <t>Harting offer 11.07.2022  + 10% according to PUC information</t>
  </si>
  <si>
    <t>Power Cable, 1,5m</t>
  </si>
  <si>
    <t>320.931397</t>
  </si>
  <si>
    <t>C-0001-7448</t>
  </si>
  <si>
    <t>61 88 202 2920.00</t>
  </si>
  <si>
    <t>Power Cable, 2m</t>
  </si>
  <si>
    <t>320.934606</t>
  </si>
  <si>
    <t>C-0001-7449</t>
  </si>
  <si>
    <t>61 88 202 2921.00</t>
  </si>
  <si>
    <t>Power Cable, 3m</t>
  </si>
  <si>
    <t>320.934607</t>
  </si>
  <si>
    <t>C-0001-7450</t>
  </si>
  <si>
    <t>61 88 202 2922.00</t>
  </si>
  <si>
    <t>Power Cable, 5m</t>
  </si>
  <si>
    <t>320.939176</t>
  </si>
  <si>
    <t>C-0001-7451</t>
  </si>
  <si>
    <t>61 88 202 2923.00</t>
  </si>
  <si>
    <t>Sensor Cable 3m</t>
  </si>
  <si>
    <t>320.934519</t>
  </si>
  <si>
    <t>7000-12101-6340300</t>
  </si>
  <si>
    <t>MURR offer 20811335 / 07.11.2022</t>
  </si>
  <si>
    <t>04-CC-I_-BW</t>
  </si>
  <si>
    <t>Field Devices: Premanu. Sensor cable</t>
  </si>
  <si>
    <t>Sensor Cable 5m</t>
  </si>
  <si>
    <t>320.929219</t>
  </si>
  <si>
    <t>7000-12101-6340500</t>
  </si>
  <si>
    <t>Sensor Cable 10m</t>
  </si>
  <si>
    <t>320.934520</t>
  </si>
  <si>
    <t>7000-12101-6341000</t>
  </si>
  <si>
    <t>IO-Link Connector Cable 3m</t>
  </si>
  <si>
    <t>IO-Link Connector Cable 5m</t>
  </si>
  <si>
    <t>Connector</t>
  </si>
  <si>
    <t>320.932004</t>
  </si>
  <si>
    <t>7005-12682</t>
  </si>
  <si>
    <t>Conduit</t>
  </si>
  <si>
    <t>320.934660</t>
  </si>
  <si>
    <t>400-010-12</t>
  </si>
  <si>
    <t>Fränkische Rohrwerke</t>
  </si>
  <si>
    <t>AS-i Connector (only for 24VDC supply)</t>
  </si>
  <si>
    <t>95880847</t>
  </si>
  <si>
    <t>E70372</t>
  </si>
  <si>
    <t>IFM</t>
  </si>
  <si>
    <t>14.12.2022</t>
  </si>
  <si>
    <t>Angebots-Nr. 201564463</t>
  </si>
  <si>
    <t>PDv</t>
  </si>
  <si>
    <t>Programming Devices &amp; Licences</t>
  </si>
  <si>
    <t>Field PG M6</t>
  </si>
  <si>
    <t>6ES7718-1CC00-0AC2</t>
  </si>
  <si>
    <t>04-CY-I_-01</t>
  </si>
  <si>
    <t>PLC Software and Licences</t>
  </si>
  <si>
    <t>Belt</t>
  </si>
  <si>
    <t>04-PU-B_-CA</t>
  </si>
  <si>
    <t>04-CR-B_-BC</t>
  </si>
  <si>
    <t>04-PU-B_-CF</t>
  </si>
  <si>
    <t>04-CU-B_-CB</t>
  </si>
  <si>
    <t>04-CU-B_-CC</t>
  </si>
  <si>
    <t>04-EU-B_-CB</t>
  </si>
  <si>
    <t>04-EU-B_-CH</t>
  </si>
  <si>
    <t>04-EC-B_-SJ</t>
  </si>
  <si>
    <t>04-CC-B_-SJ</t>
  </si>
  <si>
    <t>04-CC-B_-SP</t>
  </si>
  <si>
    <t>04-CC-B_-BG</t>
  </si>
  <si>
    <t>04-CC-B_-BA</t>
  </si>
  <si>
    <t>04-CC-B_-QA</t>
  </si>
  <si>
    <t>04-CC-B_-BY</t>
  </si>
  <si>
    <t>04-CC-B_-QW</t>
  </si>
  <si>
    <t>04-CC-B_-BW</t>
  </si>
  <si>
    <t>04-CY-B_-01</t>
  </si>
  <si>
    <t>Trade</t>
  </si>
  <si>
    <t>P</t>
  </si>
  <si>
    <t>T</t>
  </si>
  <si>
    <t>CL</t>
  </si>
  <si>
    <t>GF</t>
  </si>
  <si>
    <t>DE</t>
  </si>
  <si>
    <t>MPS 2.0 (combined)</t>
  </si>
  <si>
    <t>Description</t>
  </si>
  <si>
    <t>Quantity</t>
  </si>
  <si>
    <t>Price</t>
  </si>
  <si>
    <t>IN_04_LLC-HW</t>
  </si>
  <si>
    <t>Low Level Control HW</t>
  </si>
  <si>
    <t>PU</t>
  </si>
  <si>
    <t>B_</t>
  </si>
  <si>
    <t>CA</t>
  </si>
  <si>
    <t/>
  </si>
  <si>
    <t>CR</t>
  </si>
  <si>
    <t>BC</t>
  </si>
  <si>
    <t>CF</t>
  </si>
  <si>
    <t>CU</t>
  </si>
  <si>
    <t>CB</t>
  </si>
  <si>
    <t>CC</t>
  </si>
  <si>
    <t>CV</t>
  </si>
  <si>
    <t>B7</t>
  </si>
  <si>
    <t>01</t>
  </si>
  <si>
    <t>02</t>
  </si>
  <si>
    <t>BD</t>
  </si>
  <si>
    <t>V1</t>
  </si>
  <si>
    <t>BS</t>
  </si>
  <si>
    <t>H1</t>
  </si>
  <si>
    <t>03</t>
  </si>
  <si>
    <t>EU</t>
  </si>
  <si>
    <t>CH</t>
  </si>
  <si>
    <t>CI</t>
  </si>
  <si>
    <t>CP</t>
  </si>
  <si>
    <t>CO</t>
  </si>
  <si>
    <t>EC</t>
  </si>
  <si>
    <t>SJ</t>
  </si>
  <si>
    <t>SP</t>
  </si>
  <si>
    <t>BG</t>
  </si>
  <si>
    <t>SG</t>
  </si>
  <si>
    <t>BA</t>
  </si>
  <si>
    <t>QA</t>
  </si>
  <si>
    <t>VR</t>
  </si>
  <si>
    <t>05</t>
  </si>
  <si>
    <t>92</t>
  </si>
  <si>
    <t>12</t>
  </si>
  <si>
    <t>QW</t>
  </si>
  <si>
    <t>BW</t>
  </si>
  <si>
    <t>CY</t>
  </si>
  <si>
    <t>I_</t>
  </si>
  <si>
    <t>IS</t>
  </si>
  <si>
    <t>06</t>
  </si>
  <si>
    <t>xx</t>
  </si>
  <si>
    <t>I7</t>
  </si>
  <si>
    <t>CE</t>
  </si>
  <si>
    <t>BY</t>
  </si>
  <si>
    <t>IT</t>
  </si>
  <si>
    <t>MPS-Number in every group</t>
  </si>
  <si>
    <t>Device</t>
  </si>
  <si>
    <t>Control Panel from EE
yes/no</t>
  </si>
  <si>
    <t>Qty</t>
  </si>
  <si>
    <t>Belt S/C - Lift</t>
  </si>
  <si>
    <t>Verti-Sorter  -1200</t>
  </si>
  <si>
    <t>High Speed Diverter</t>
  </si>
  <si>
    <t xml:space="preserve">Plough Divert </t>
  </si>
  <si>
    <t>Belt Tilter</t>
  </si>
  <si>
    <t>Tray Tilter / Tilter plus</t>
  </si>
  <si>
    <t>Tray Stacker</t>
  </si>
  <si>
    <t>Tray S/C - Lift</t>
  </si>
  <si>
    <t>Unit</t>
  </si>
  <si>
    <t>Pcs</t>
  </si>
  <si>
    <t>Lot</t>
  </si>
  <si>
    <t>Field Devices: Barcode Reader (Moby, BPS…) - Interface Module for Profinet RF185C</t>
  </si>
  <si>
    <t>Field Devices: Barcode Reader (Moby, BPS…) - Reader RF380R</t>
  </si>
  <si>
    <t>Field Devices: Barcode Reader (Moby, BPS…) - Cable RF180C - RF380R; 1 m</t>
  </si>
  <si>
    <t>VFD: G115D WM FSA PN CON 0,75kW</t>
  </si>
  <si>
    <t>VFD: G115D WM FSA PN CON 1,1kW</t>
  </si>
  <si>
    <t>VFD: G115D WM FSA PN CON 1,5kW</t>
  </si>
  <si>
    <t>VFD: G115D WM FSB PN CON 2,2kW</t>
  </si>
  <si>
    <t>VFD: G115D WM FSB PN CON 3,0kW</t>
  </si>
  <si>
    <t>VFD: G115D WM FSB PN CON 4,0kW</t>
  </si>
  <si>
    <t>VFD: Power T-Connector</t>
  </si>
  <si>
    <t>VFD: G115D WM FSB PN CON 5,5kW</t>
  </si>
  <si>
    <t>VFD: G115D WM FSB PN CON 7,5kW</t>
  </si>
  <si>
    <t>Cabels</t>
  </si>
  <si>
    <t>04-CW-B_-GB</t>
  </si>
  <si>
    <t>04-CW-B_-GA</t>
  </si>
  <si>
    <t>04-CW-B_-EB</t>
  </si>
  <si>
    <t>04-CW-B_-DB</t>
  </si>
  <si>
    <t>04-CW-B_-HA</t>
  </si>
  <si>
    <t>CW</t>
  </si>
  <si>
    <t>GB</t>
  </si>
  <si>
    <t>GA</t>
  </si>
  <si>
    <t>EB</t>
  </si>
  <si>
    <t>DB</t>
  </si>
  <si>
    <t>HA</t>
  </si>
  <si>
    <t>0.34 x (2x2) Copper</t>
  </si>
  <si>
    <t>18x1.5</t>
  </si>
  <si>
    <t>1x120E</t>
  </si>
  <si>
    <t>1x25E</t>
  </si>
  <si>
    <t>1x95</t>
  </si>
  <si>
    <t>1x95E</t>
  </si>
  <si>
    <t>2x1.5</t>
  </si>
  <si>
    <t>2x1.5 AS-i (BLACK)</t>
  </si>
  <si>
    <t>3x2.5</t>
  </si>
  <si>
    <t>3x4</t>
  </si>
  <si>
    <t>4x1.5</t>
  </si>
  <si>
    <t>4x185</t>
  </si>
  <si>
    <t>4x25</t>
  </si>
  <si>
    <t>5x1.5</t>
  </si>
  <si>
    <t>5x10</t>
  </si>
  <si>
    <t>5x16</t>
  </si>
  <si>
    <t>5x25</t>
  </si>
  <si>
    <t>5x6</t>
  </si>
  <si>
    <t>7x1.5</t>
  </si>
  <si>
    <t xml:space="preserve">FO FRNC Cable (50/125/OM2) </t>
  </si>
  <si>
    <t>04-CW-I_-GB</t>
  </si>
  <si>
    <t>04-CW-I_-GA</t>
  </si>
  <si>
    <t>04-CW-I_-EB</t>
  </si>
  <si>
    <t>04-CW-I_-DB</t>
  </si>
  <si>
    <t>04-CW-I_-HA</t>
  </si>
  <si>
    <t>Cost Material</t>
  </si>
  <si>
    <t>m</t>
  </si>
  <si>
    <t>Total Connection Price</t>
  </si>
  <si>
    <t>PC2</t>
  </si>
  <si>
    <t>PC3</t>
  </si>
  <si>
    <t>PC5</t>
  </si>
  <si>
    <t>SrC2</t>
  </si>
  <si>
    <t>SrC3</t>
  </si>
  <si>
    <t>SrC5</t>
  </si>
  <si>
    <t>SnsC3</t>
  </si>
  <si>
    <t>SnsC5</t>
  </si>
  <si>
    <t>SnsC10</t>
  </si>
  <si>
    <t>Cables Containment - Trunking</t>
  </si>
  <si>
    <t>Cables</t>
  </si>
  <si>
    <t>ADJUSTABLE SPLICE PLATE 85</t>
  </si>
  <si>
    <t>BEAM CLAMP</t>
  </si>
  <si>
    <t>Blind End 85.200</t>
  </si>
  <si>
    <t>Blind End 85.300</t>
  </si>
  <si>
    <t>BARRIER STRIP 85</t>
  </si>
  <si>
    <t>200 Cover for Adjustable Vertical Elbow</t>
  </si>
  <si>
    <t>300 Cover for Adjustable Vertical Elbow</t>
  </si>
  <si>
    <t>400 Cover for Adjustable Vertical Elbow</t>
  </si>
  <si>
    <t>600 Cover for Adjustable Vertical Elbow</t>
  </si>
  <si>
    <t>C-RAIL (200mm LENGTH)</t>
  </si>
  <si>
    <t>C-RAIL (400mm LENGTH)</t>
  </si>
  <si>
    <t>C-RAIL (600mm LENGTH)</t>
  </si>
  <si>
    <t>200x85 EXTENSION HORIZONTAL T-PIECE</t>
  </si>
  <si>
    <t>300x85 EXTENSION HORIZONTAL T-PIECE</t>
  </si>
  <si>
    <t>400x85 EXTENSION HORIZONTAL T-PIECE</t>
  </si>
  <si>
    <t>600x85 EXTENSION HORIZONTAL T-PIECE</t>
  </si>
  <si>
    <t>200 EXTENSION HORIZONTAL T-PIECE COVER</t>
  </si>
  <si>
    <t>300 EXTENSION HORIZONTAL T-PIECE COVER</t>
  </si>
  <si>
    <t>400 EXTENSION HORIZONTAL T-PIECE COVER</t>
  </si>
  <si>
    <t>600 EXTENSION HORIZONTAL T-PIECE COVER</t>
  </si>
  <si>
    <t>200x85 Flexible Adjustable Vertical Elbow</t>
  </si>
  <si>
    <t>300x85 Flexible Adjustable Vertical Elbow</t>
  </si>
  <si>
    <t>400x85 Flexible Adjustable Vertical Elbow</t>
  </si>
  <si>
    <t>600x85 Flexible Adjustable Vertical Elbow</t>
  </si>
  <si>
    <t>FDB FUNNEL</t>
  </si>
  <si>
    <t>200x85 FLEXIBLE HORIZONTAL ELBOW</t>
  </si>
  <si>
    <t>300x85 FLEXIBLE HORIZONTAL ELBOW</t>
  </si>
  <si>
    <t>400x85 FLEXIBLE HORIZONTAL ELBOW</t>
  </si>
  <si>
    <t>600x85 FLEXIBLE HORIZONTAL ELBOW</t>
  </si>
  <si>
    <t>200 FLEXIBLE HORIZONTAL ELBOW COVER</t>
  </si>
  <si>
    <t>300 FLEXIBLE HORIZONTAL ELBOW COVER</t>
  </si>
  <si>
    <t>400 FLEXIBLE HORIZONTAL ELBOW COVER</t>
  </si>
  <si>
    <t>600 FLEXIBLE HORIZONTAL ELBOW COVER</t>
  </si>
  <si>
    <t>200x85 HEAVY DUTY CABLE TRAY</t>
  </si>
  <si>
    <t>300x85 HEAVY DUTY CABLE TRAY</t>
  </si>
  <si>
    <t>400x85 HEAVY DUTY CABLE TRAY</t>
  </si>
  <si>
    <t>600x85 HEAVY DUTY CABLE TRAY</t>
  </si>
  <si>
    <t>200 HEAVY DUTY CABLE TRAY COVER</t>
  </si>
  <si>
    <t>300 HEAVY DUTY CABLE TRAY COVER</t>
  </si>
  <si>
    <t>400 HEAVY DUTY CABLE TRAY COVER</t>
  </si>
  <si>
    <t>600 HEAVY DUTY CABLE TRAY COVER</t>
  </si>
  <si>
    <t>Mushroom Head Bolt M8</t>
  </si>
  <si>
    <t>200 mm MOUNTING PLATE FOR BARRIER STRIP</t>
  </si>
  <si>
    <t>300 mm MOUNTING PLATE FOR BARRIER STRIP</t>
  </si>
  <si>
    <t>400 mm MOUNTING PLATE FOR BARRIER STRIP</t>
  </si>
  <si>
    <t>600 mm MOUNTING PLATE FOR BARRIER STRIP</t>
  </si>
  <si>
    <t>Round Head Bolt</t>
  </si>
  <si>
    <t>SPLICE PLATE FOR BARRIER STRIP</t>
  </si>
  <si>
    <t>Sloped Sliding Nut M8</t>
  </si>
  <si>
    <t>U shaped single splice plate 200 with nuts and bolts</t>
  </si>
  <si>
    <t>U shaped single splice plate 300 with nuts and bolts</t>
  </si>
  <si>
    <t>200x85 VERTICAL INSIDE ELBOW 45°</t>
  </si>
  <si>
    <t>300x85 VERTICAL INSIDE ELBOW 45°</t>
  </si>
  <si>
    <t>200 VERTICAL INSIDE ELBOW 45° COVER</t>
  </si>
  <si>
    <t>300 VERTICAL INSIDE ELBOW 45° COVER</t>
  </si>
  <si>
    <t>200 VERTICAL OUTSIDE ELBOW 45° COVER</t>
  </si>
  <si>
    <t>200x85 VERTICAL OUTSIDE ELBOW 45°</t>
  </si>
  <si>
    <t>300x85 VERTICAL OUTSIDE ELBOW 45°</t>
  </si>
  <si>
    <t>300 VERTICAL OUTSIDE ELBOW 45° COVER</t>
  </si>
  <si>
    <t>Cables Containment - Ladder</t>
  </si>
  <si>
    <t>Bracket 1000mm,heavy duty,f.overhead hangers HT/HI,HDGAF</t>
  </si>
  <si>
    <t>Bracket 500mm,heavy duty,f.overhead hangers HT/HI,HDGAF</t>
  </si>
  <si>
    <t>Bracket 700mm,heavy duty,f.overhead hangers HT/HI,HDGAF</t>
  </si>
  <si>
    <t>Cable Ladder, 100x400mm, t=2mm, L=3m, HDGAF</t>
  </si>
  <si>
    <t>Cable Ladder, 100x600mm, t=2mm, L=3m, HDGAF</t>
  </si>
  <si>
    <t>Cable Ladder, 100x900mm, t=2mm, L=3m, HDGAF</t>
  </si>
  <si>
    <t>Hold down clamp, HDGAF</t>
  </si>
  <si>
    <t>Horizontal elbow 45°, 100x400mm, HDGAF</t>
  </si>
  <si>
    <t>Horizontal elbow 45°,100x600mm, HDGAF</t>
  </si>
  <si>
    <t>Horizontal elbow 45°, 100x900mm, HDGAF</t>
  </si>
  <si>
    <t>Horizontal Tee, 100x400mm, HDGAF</t>
  </si>
  <si>
    <t>Horizontal Tee,100x600mm, HDGAF</t>
  </si>
  <si>
    <t>Horizontal Tee, 100x900mm, HDGAF</t>
  </si>
  <si>
    <t>Overhead hanger I-profile, HDGAF</t>
  </si>
  <si>
    <t>Straight section connector U 100, 2 pieces required per joint, HDGAF</t>
  </si>
  <si>
    <t>Unequal Tee 600 x 400 x 600 mm</t>
  </si>
  <si>
    <t>Unequal Tee 600 x 900 x 600 mm</t>
  </si>
  <si>
    <t>Unequal Tee 900 x 400 x 900 mm</t>
  </si>
  <si>
    <t>Unequal Tee 900 x 600 x 900 mm</t>
  </si>
  <si>
    <t>Vertical elbow 45°, HDGAF</t>
  </si>
  <si>
    <t>Vertical outside elbow 45°,100x400mm, HDGAF</t>
  </si>
  <si>
    <t>Vertical outside elbow 45°, 100x600mm, HDGAF</t>
  </si>
  <si>
    <t>Vertical outside elbow 45°, 100x900mm, HDGAF</t>
  </si>
  <si>
    <t xml:space="preserve">300 Cover for Adjustable Vertical Elbow </t>
  </si>
  <si>
    <t xml:space="preserve">Round Head Bolt </t>
  </si>
  <si>
    <t>Total Cost Material for Belt</t>
  </si>
  <si>
    <t>Total Cost Material for ICS</t>
  </si>
  <si>
    <t>LB2114_V1.00</t>
  </si>
  <si>
    <t>Hybrid Cabinet LP (LM) S7-15xxF</t>
  </si>
  <si>
    <t>Hybrid Cabinet LP (LM) S7-15xxH/F</t>
  </si>
  <si>
    <t>Laser 360° LCB750/10</t>
  </si>
  <si>
    <t>Laser 360° LCB750/12</t>
  </si>
  <si>
    <t>Laser 360° LCB750/14</t>
  </si>
  <si>
    <t>RFID Add-on</t>
  </si>
  <si>
    <t>RFID Standalone System</t>
  </si>
  <si>
    <t>ALIS Hybrid System ATR+RFID</t>
  </si>
  <si>
    <t>ALIS CAM: Add-on  8 x cameras</t>
  </si>
  <si>
    <t>ATR Diagnostic RTD 400</t>
  </si>
  <si>
    <t>ATR-R1</t>
  </si>
  <si>
    <t>ATR-R2</t>
  </si>
  <si>
    <t>LCB750/14</t>
  </si>
  <si>
    <t>02-GC-VR-13</t>
  </si>
  <si>
    <t>02-GC-VR-14</t>
  </si>
  <si>
    <t>02-GC-VR-15</t>
  </si>
  <si>
    <t>02-GC-VR-21</t>
  </si>
  <si>
    <t>02-GC-VR-22</t>
  </si>
  <si>
    <t>02-GC-VR-23</t>
  </si>
  <si>
    <t>02-GC-VR-32</t>
  </si>
  <si>
    <t>360° configuration LCB750/10 (T &amp; L code 360°)</t>
  </si>
  <si>
    <t>360° configuration LCB750/12 (T &amp; L code 360°)</t>
  </si>
  <si>
    <t>360° configuration LCB750/14 (T &amp; L code 360°)</t>
  </si>
  <si>
    <t xml:space="preserve">RFID: Add-on RFMS pro w/o MSC800 </t>
  </si>
  <si>
    <t>RFID: RFMS pro (Standalone System</t>
  </si>
  <si>
    <t xml:space="preserve">RFID: ALIS Hybrid System (Complete =&gt;ATR+RFID in a frame) </t>
  </si>
  <si>
    <t>ALIS CAM: Add-on ATR 360° adding 8 x Matrix cameras Lector 654</t>
  </si>
  <si>
    <t>GC</t>
  </si>
  <si>
    <t>13</t>
  </si>
  <si>
    <t>14</t>
  </si>
  <si>
    <t>15</t>
  </si>
  <si>
    <t>21</t>
  </si>
  <si>
    <t>22</t>
  </si>
  <si>
    <t>23</t>
  </si>
  <si>
    <t>32</t>
  </si>
  <si>
    <t>W_</t>
  </si>
  <si>
    <t>BDD Volumetric Scanner 3rd Party</t>
  </si>
  <si>
    <t>Volumen Scanner ALIS DIM</t>
  </si>
  <si>
    <t>Reference ID to Cables Containment</t>
  </si>
  <si>
    <t>ASP85</t>
  </si>
  <si>
    <t>BE85200</t>
  </si>
  <si>
    <t>BE85300</t>
  </si>
  <si>
    <t>BS85</t>
  </si>
  <si>
    <t>CAVE200</t>
  </si>
  <si>
    <t>CAVE300</t>
  </si>
  <si>
    <t>CAVE400</t>
  </si>
  <si>
    <t>CAVE600</t>
  </si>
  <si>
    <t>CR200</t>
  </si>
  <si>
    <t>CR400</t>
  </si>
  <si>
    <t>CR600</t>
  </si>
  <si>
    <t>EHTP200x85</t>
  </si>
  <si>
    <t>EHTP300x85</t>
  </si>
  <si>
    <t>EHTP400x85</t>
  </si>
  <si>
    <t>EHTP600x85</t>
  </si>
  <si>
    <t>EHTPC200</t>
  </si>
  <si>
    <t>EHTPC300</t>
  </si>
  <si>
    <t>EHTPC400</t>
  </si>
  <si>
    <t>EHTPC600</t>
  </si>
  <si>
    <t>FAVE200x85</t>
  </si>
  <si>
    <t>FAVE300x85</t>
  </si>
  <si>
    <t>FAVE400x85</t>
  </si>
  <si>
    <t>FAVE600x85</t>
  </si>
  <si>
    <t>FDBF</t>
  </si>
  <si>
    <t>FHE200x85</t>
  </si>
  <si>
    <t>FHE300x85</t>
  </si>
  <si>
    <t>FHE400x85</t>
  </si>
  <si>
    <t>FHE600x85</t>
  </si>
  <si>
    <t>FHEC200</t>
  </si>
  <si>
    <t>FHEC300</t>
  </si>
  <si>
    <t>FHEC400</t>
  </si>
  <si>
    <t>FHEC600</t>
  </si>
  <si>
    <t>HDCT200x85</t>
  </si>
  <si>
    <t>HDCT300x85</t>
  </si>
  <si>
    <t>HDCT400x85</t>
  </si>
  <si>
    <t>HDCT600x85</t>
  </si>
  <si>
    <t>HDCTC200</t>
  </si>
  <si>
    <t>HDCTC300</t>
  </si>
  <si>
    <t>HDCTC400</t>
  </si>
  <si>
    <t>HDCTC600</t>
  </si>
  <si>
    <t>MHBM8</t>
  </si>
  <si>
    <t>MPBS200</t>
  </si>
  <si>
    <t>MPBS300</t>
  </si>
  <si>
    <t>MPBS400</t>
  </si>
  <si>
    <t>MPBS600</t>
  </si>
  <si>
    <t>RHB</t>
  </si>
  <si>
    <t>SPBS</t>
  </si>
  <si>
    <t>SSNM8</t>
  </si>
  <si>
    <t>USSSP200</t>
  </si>
  <si>
    <t>USSSP300</t>
  </si>
  <si>
    <t>VIE45200x85</t>
  </si>
  <si>
    <t>VIE45300x85</t>
  </si>
  <si>
    <t>VIE45C200</t>
  </si>
  <si>
    <t>VIE45C300</t>
  </si>
  <si>
    <t>VOE45200</t>
  </si>
  <si>
    <t>VOE45200x85</t>
  </si>
  <si>
    <t>VOE45300x85</t>
  </si>
  <si>
    <t>VOE45C300</t>
  </si>
  <si>
    <t>Br1000</t>
  </si>
  <si>
    <t>Br500</t>
  </si>
  <si>
    <t>Br700</t>
  </si>
  <si>
    <t>CL100x400</t>
  </si>
  <si>
    <t>CL100x600</t>
  </si>
  <si>
    <t>CL100x900</t>
  </si>
  <si>
    <t>HDC</t>
  </si>
  <si>
    <t>HE45100x400</t>
  </si>
  <si>
    <t>HE45100x600</t>
  </si>
  <si>
    <t>HE45100x900</t>
  </si>
  <si>
    <t>HT100x400</t>
  </si>
  <si>
    <t>HT100x600</t>
  </si>
  <si>
    <t>HT100x900</t>
  </si>
  <si>
    <t>OHIP</t>
  </si>
  <si>
    <t>SSCU100</t>
  </si>
  <si>
    <t>UT600x400x600</t>
  </si>
  <si>
    <t>UT600x900x600</t>
  </si>
  <si>
    <t>UT900x400x900</t>
  </si>
  <si>
    <t>UT900x600x900</t>
  </si>
  <si>
    <t>VE45</t>
  </si>
  <si>
    <t>VOE45100x400</t>
  </si>
  <si>
    <t>VOE45100x600</t>
  </si>
  <si>
    <t>VOE45100x900</t>
  </si>
  <si>
    <t>Total Cable Price</t>
  </si>
  <si>
    <t>Total Installation Cost for ICS</t>
  </si>
  <si>
    <t>Total Installation Cost for Belt</t>
  </si>
  <si>
    <t>Total
Cable Price</t>
  </si>
  <si>
    <t>Total
Connection Price</t>
  </si>
  <si>
    <t>Total Cable Containment Price</t>
  </si>
  <si>
    <t>Tray Tilter</t>
  </si>
  <si>
    <t>TrSTp</t>
  </si>
  <si>
    <t>04-CV-IS-04</t>
  </si>
  <si>
    <t>04</t>
  </si>
  <si>
    <t>Smart Units: Tilter plus (Panel, Field Devices, …)</t>
  </si>
  <si>
    <t>BtPush</t>
  </si>
  <si>
    <t>BtVarioFlip</t>
  </si>
  <si>
    <t>VM1A</t>
  </si>
  <si>
    <t>VM3A</t>
  </si>
  <si>
    <t>Verti-Sorter - one Arm</t>
  </si>
  <si>
    <t>High Speed Diverter (HSD/HDU)</t>
  </si>
  <si>
    <t>Plough (Single Arm) Divert</t>
  </si>
  <si>
    <t>Belt Tilter Plus</t>
  </si>
  <si>
    <t>Belt Pusher</t>
  </si>
  <si>
    <t>Belt Vario Flip</t>
  </si>
  <si>
    <t>Verti-Merge - one Arm</t>
  </si>
  <si>
    <t>Verti-Sorter - three Arm</t>
  </si>
  <si>
    <t>Tray Tilter Plus</t>
  </si>
  <si>
    <t>Tray Verti-Sorter - one 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</si>
</sst>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&quot;$&quot;#,##0_);[Red]\(&quot;$&quot;#,##0\)"/>
    <numFmt numFmtId="167" formatCode="#,##0.00\ &quot;€&quot;"/>
    <numFmt numFmtId="168" formatCode="#,##0\ &quot;€&quot;"/>
    <numFmt numFmtId="169" formatCode="#,##0.00\ _€"/>
    <numFmt numFmtId="170" formatCode="#,##0&quot; drives&quot;"/>
    <numFmt numFmtId="171" formatCode="&quot;Total without VFD's: &quot;#,##0\ &quot;€&quot;"/>
    <numFmt numFmtId="172" formatCode="_-* #,##0.00\ _€_-;\-* #,##0.00\ _€_-;_-* &quot;-&quot;??\ _€_-;_-@_-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0"/>
      <name val="MS Sans Serif"/>
    </font>
    <font>
      <sz val="10"/>
      <color rgb="FFFF00FF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0"/>
      <color rgb="FFFF00FF"/>
      <name val="Arial"/>
      <family val="2"/>
    </font>
    <font>
      <b/>
      <sz val="10"/>
      <color rgb="FFFF0000"/>
      <name val="Arial"/>
      <family val="2"/>
    </font>
    <font>
      <strike/>
      <sz val="10"/>
      <name val="Arial"/>
      <family val="2"/>
    </font>
    <font>
      <b/>
      <sz val="14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name val="Arial"/>
      <family val="2"/>
    </font>
    <font>
      <strike/>
      <sz val="9"/>
      <name val="Arial"/>
      <family val="2"/>
    </font>
    <font>
      <sz val="11"/>
      <color theme="1"/>
      <name val="Arial"/>
      <family val="2"/>
    </font>
    <font>
      <strike/>
      <sz val="10"/>
      <color rgb="FFFF00FF"/>
      <name val="Arial"/>
      <family val="2"/>
    </font>
    <font>
      <sz val="11"/>
      <name val="Arial"/>
      <family val="2"/>
    </font>
    <font>
      <b/>
      <sz val="16"/>
      <color theme="1"/>
      <name val="Calibri"/>
      <family val="2"/>
      <scheme val="minor"/>
    </font>
    <font>
      <b/>
      <sz val="9"/>
      <name val="Arial"/>
      <family val="2"/>
    </font>
    <font>
      <sz val="11"/>
      <color indexed="8"/>
      <name val="Calibri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8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8"/>
      <color rgb="FFFF0000"/>
      <name val="Arial"/>
      <family val="2"/>
    </font>
    <font>
      <b/>
      <strike/>
      <sz val="10"/>
      <name val="Arial"/>
      <family val="2"/>
    </font>
    <font>
      <b/>
      <sz val="10"/>
      <color theme="0"/>
      <name val="Arial"/>
      <family val="2"/>
    </font>
    <font>
      <b/>
      <u/>
      <sz val="10"/>
      <color theme="1"/>
      <name val="Arial"/>
      <family val="2"/>
    </font>
    <font>
      <b/>
      <sz val="12"/>
      <color theme="1"/>
      <name val="Arial"/>
      <family val="2"/>
    </font>
    <font>
      <b/>
      <strike/>
      <sz val="10"/>
      <color rgb="FFFF00FF"/>
      <name val="Arial"/>
      <family val="2"/>
    </font>
    <font>
      <b/>
      <strike/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/>
    <xf numFmtId="0" fontId="2" fillId="0" borderId="0"/>
    <xf numFmtId="0" fontId="1" fillId="0" borderId="0"/>
    <xf numFmtId="0" fontId="5" fillId="0" borderId="0"/>
    <xf numFmtId="166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24" fillId="0" borderId="0" applyFont="0" applyFill="0" applyBorder="0" applyAlignment="0" applyProtection="0"/>
    <xf numFmtId="0" fontId="5" fillId="0" borderId="0"/>
    <xf numFmtId="0" fontId="27" fillId="0" borderId="0"/>
  </cellStyleXfs>
  <cellXfs count="355">
    <xf numFmtId="0" fontId="0" fillId="0" borderId="0" xfId="0"/>
    <xf numFmtId="0" fontId="3" fillId="0" borderId="1" xfId="1" applyFont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1" fillId="0" borderId="0" xfId="2"/>
    <xf numFmtId="0" fontId="2" fillId="0" borderId="1" xfId="1" applyBorder="1"/>
    <xf numFmtId="167" fontId="2" fillId="2" borderId="1" xfId="1" applyNumberFormat="1" applyFill="1" applyBorder="1"/>
    <xf numFmtId="1" fontId="2" fillId="0" borderId="1" xfId="1" applyNumberFormat="1" applyBorder="1" applyAlignment="1">
      <alignment horizontal="center"/>
    </xf>
    <xf numFmtId="0" fontId="1" fillId="0" borderId="0" xfId="2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4" borderId="1" xfId="1" applyFont="1" applyFill="1" applyBorder="1" applyAlignment="1">
      <alignment horizontal="left" vertical="top"/>
    </xf>
    <xf numFmtId="168" fontId="7" fillId="4" borderId="1" xfId="1" applyNumberFormat="1" applyFont="1" applyFill="1" applyBorder="1"/>
    <xf numFmtId="168" fontId="5" fillId="0" borderId="1" xfId="1" applyNumberFormat="1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4" fillId="0" borderId="1" xfId="0" applyFont="1" applyBorder="1"/>
    <xf numFmtId="0" fontId="8" fillId="0" borderId="1" xfId="0" applyFont="1" applyBorder="1"/>
    <xf numFmtId="0" fontId="4" fillId="0" borderId="1" xfId="0" applyFont="1" applyBorder="1" applyAlignment="1">
      <alignment horizontal="center" vertical="center"/>
    </xf>
    <xf numFmtId="49" fontId="4" fillId="0" borderId="1" xfId="0" applyNumberFormat="1" applyFont="1" applyBorder="1"/>
    <xf numFmtId="0" fontId="4" fillId="0" borderId="1" xfId="0" applyFont="1" applyBorder="1" applyAlignment="1">
      <alignment horizontal="center"/>
    </xf>
    <xf numFmtId="167" fontId="5" fillId="0" borderId="0" xfId="0" applyNumberFormat="1" applyFont="1"/>
    <xf numFmtId="0" fontId="12" fillId="3" borderId="1" xfId="0" applyFont="1" applyFill="1" applyBorder="1"/>
    <xf numFmtId="0" fontId="12" fillId="2" borderId="1" xfId="0" applyFont="1" applyFill="1" applyBorder="1"/>
    <xf numFmtId="0" fontId="12" fillId="0" borderId="0" xfId="0" applyFont="1"/>
    <xf numFmtId="0" fontId="8" fillId="0" borderId="0" xfId="0" applyFont="1"/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left" wrapText="1"/>
    </xf>
    <xf numFmtId="168" fontId="12" fillId="0" borderId="0" xfId="0" applyNumberFormat="1" applyFont="1"/>
    <xf numFmtId="0" fontId="7" fillId="4" borderId="1" xfId="1" applyFont="1" applyFill="1" applyBorder="1" applyAlignment="1">
      <alignment horizontal="left" vertical="top" wrapText="1"/>
    </xf>
    <xf numFmtId="0" fontId="7" fillId="2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wrapText="1"/>
    </xf>
    <xf numFmtId="0" fontId="7" fillId="4" borderId="1" xfId="1" applyFont="1" applyFill="1" applyBorder="1" applyAlignment="1">
      <alignment horizontal="left" wrapText="1"/>
    </xf>
    <xf numFmtId="0" fontId="8" fillId="4" borderId="1" xfId="1" applyFont="1" applyFill="1" applyBorder="1" applyAlignment="1">
      <alignment wrapText="1"/>
    </xf>
    <xf numFmtId="0" fontId="7" fillId="0" borderId="1" xfId="1" applyFont="1" applyBorder="1"/>
    <xf numFmtId="49" fontId="14" fillId="0" borderId="1" xfId="1" applyNumberFormat="1" applyFont="1" applyBorder="1"/>
    <xf numFmtId="0" fontId="7" fillId="0" borderId="1" xfId="1" applyFont="1" applyBorder="1" applyAlignment="1">
      <alignment horizontal="left" wrapText="1"/>
    </xf>
    <xf numFmtId="167" fontId="7" fillId="5" borderId="1" xfId="1" applyNumberFormat="1" applyFont="1" applyFill="1" applyBorder="1"/>
    <xf numFmtId="1" fontId="7" fillId="0" borderId="1" xfId="1" applyNumberFormat="1" applyFont="1" applyBorder="1"/>
    <xf numFmtId="169" fontId="7" fillId="0" borderId="1" xfId="1" applyNumberFormat="1" applyFont="1" applyBorder="1"/>
    <xf numFmtId="0" fontId="5" fillId="0" borderId="1" xfId="1" applyFont="1" applyBorder="1"/>
    <xf numFmtId="49" fontId="12" fillId="0" borderId="1" xfId="1" applyNumberFormat="1" applyFont="1" applyBorder="1" applyAlignment="1">
      <alignment horizontal="right"/>
    </xf>
    <xf numFmtId="0" fontId="5" fillId="0" borderId="1" xfId="1" applyFont="1" applyBorder="1" applyAlignment="1">
      <alignment horizontal="left" wrapText="1"/>
    </xf>
    <xf numFmtId="167" fontId="5" fillId="2" borderId="1" xfId="1" applyNumberFormat="1" applyFont="1" applyFill="1" applyBorder="1"/>
    <xf numFmtId="1" fontId="5" fillId="0" borderId="1" xfId="1" applyNumberFormat="1" applyFont="1" applyBorder="1"/>
    <xf numFmtId="167" fontId="5" fillId="0" borderId="1" xfId="1" applyNumberFormat="1" applyFont="1" applyBorder="1"/>
    <xf numFmtId="0" fontId="5" fillId="3" borderId="1" xfId="1" applyFont="1" applyFill="1" applyBorder="1" applyAlignment="1">
      <alignment horizontal="left" wrapText="1"/>
    </xf>
    <xf numFmtId="167" fontId="5" fillId="3" borderId="1" xfId="1" applyNumberFormat="1" applyFont="1" applyFill="1" applyBorder="1"/>
    <xf numFmtId="49" fontId="4" fillId="0" borderId="1" xfId="1" applyNumberFormat="1" applyFont="1" applyBorder="1"/>
    <xf numFmtId="167" fontId="5" fillId="5" borderId="1" xfId="1" applyNumberFormat="1" applyFont="1" applyFill="1" applyBorder="1"/>
    <xf numFmtId="0" fontId="12" fillId="0" borderId="1" xfId="0" applyFont="1" applyBorder="1"/>
    <xf numFmtId="0" fontId="12" fillId="0" borderId="1" xfId="1" applyFont="1" applyBorder="1"/>
    <xf numFmtId="49" fontId="8" fillId="3" borderId="1" xfId="1" applyNumberFormat="1" applyFont="1" applyFill="1" applyBorder="1"/>
    <xf numFmtId="0" fontId="12" fillId="0" borderId="1" xfId="1" applyFont="1" applyBorder="1" applyAlignment="1">
      <alignment horizontal="left" wrapText="1"/>
    </xf>
    <xf numFmtId="49" fontId="12" fillId="0" borderId="1" xfId="1" applyNumberFormat="1" applyFont="1" applyBorder="1" applyAlignment="1">
      <alignment horizontal="left"/>
    </xf>
    <xf numFmtId="49" fontId="12" fillId="0" borderId="1" xfId="0" applyNumberFormat="1" applyFont="1" applyBorder="1" applyAlignment="1">
      <alignment vertical="top" wrapText="1"/>
    </xf>
    <xf numFmtId="49" fontId="8" fillId="3" borderId="1" xfId="1" applyNumberFormat="1" applyFont="1" applyFill="1" applyBorder="1" applyAlignment="1">
      <alignment horizontal="left"/>
    </xf>
    <xf numFmtId="167" fontId="8" fillId="3" borderId="1" xfId="0" applyNumberFormat="1" applyFont="1" applyFill="1" applyBorder="1"/>
    <xf numFmtId="49" fontId="5" fillId="0" borderId="1" xfId="1" applyNumberFormat="1" applyFont="1" applyBorder="1"/>
    <xf numFmtId="0" fontId="5" fillId="0" borderId="1" xfId="1" applyFont="1" applyBorder="1" applyAlignment="1">
      <alignment horizontal="left" indent="1"/>
    </xf>
    <xf numFmtId="49" fontId="4" fillId="0" borderId="1" xfId="1" applyNumberFormat="1" applyFont="1" applyBorder="1" applyAlignment="1">
      <alignment horizontal="left" indent="1"/>
    </xf>
    <xf numFmtId="49" fontId="5" fillId="0" borderId="1" xfId="1" applyNumberFormat="1" applyFont="1" applyBorder="1" applyAlignment="1">
      <alignment horizontal="left" indent="1"/>
    </xf>
    <xf numFmtId="167" fontId="5" fillId="6" borderId="1" xfId="0" applyNumberFormat="1" applyFont="1" applyFill="1" applyBorder="1"/>
    <xf numFmtId="49" fontId="5" fillId="0" borderId="1" xfId="1" applyNumberFormat="1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67" fontId="5" fillId="2" borderId="1" xfId="0" applyNumberFormat="1" applyFont="1" applyFill="1" applyBorder="1"/>
    <xf numFmtId="0" fontId="5" fillId="0" borderId="1" xfId="1" applyFont="1" applyBorder="1" applyAlignment="1">
      <alignment vertical="center" wrapText="1"/>
    </xf>
    <xf numFmtId="0" fontId="5" fillId="3" borderId="4" xfId="1" applyFont="1" applyFill="1" applyBorder="1" applyAlignment="1">
      <alignment horizontal="left" wrapText="1"/>
    </xf>
    <xf numFmtId="1" fontId="5" fillId="0" borderId="1" xfId="1" applyNumberFormat="1" applyFont="1" applyBorder="1" applyAlignment="1">
      <alignment vertical="center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1" fontId="5" fillId="6" borderId="1" xfId="1" applyNumberFormat="1" applyFont="1" applyFill="1" applyBorder="1"/>
    <xf numFmtId="0" fontId="4" fillId="0" borderId="1" xfId="1" applyFont="1" applyBorder="1" applyAlignment="1">
      <alignment horizontal="left" wrapText="1"/>
    </xf>
    <xf numFmtId="49" fontId="7" fillId="0" borderId="1" xfId="1" applyNumberFormat="1" applyFont="1" applyBorder="1"/>
    <xf numFmtId="49" fontId="16" fillId="0" borderId="1" xfId="1" applyNumberFormat="1" applyFont="1" applyBorder="1"/>
    <xf numFmtId="49" fontId="12" fillId="0" borderId="1" xfId="1" applyNumberFormat="1" applyFont="1" applyBorder="1"/>
    <xf numFmtId="49" fontId="13" fillId="0" borderId="1" xfId="1" applyNumberFormat="1" applyFont="1" applyBorder="1"/>
    <xf numFmtId="0" fontId="12" fillId="0" borderId="1" xfId="0" applyFont="1" applyBorder="1" applyAlignment="1">
      <alignment horizontal="left"/>
    </xf>
    <xf numFmtId="0" fontId="12" fillId="7" borderId="1" xfId="1" applyFont="1" applyFill="1" applyBorder="1"/>
    <xf numFmtId="0" fontId="5" fillId="7" borderId="1" xfId="1" applyFont="1" applyFill="1" applyBorder="1"/>
    <xf numFmtId="1" fontId="5" fillId="3" borderId="1" xfId="1" applyNumberFormat="1" applyFont="1" applyFill="1" applyBorder="1"/>
    <xf numFmtId="0" fontId="5" fillId="0" borderId="1" xfId="1" applyFont="1" applyBorder="1" applyAlignment="1">
      <alignment wrapText="1"/>
    </xf>
    <xf numFmtId="0" fontId="16" fillId="0" borderId="1" xfId="1" applyFont="1" applyBorder="1" applyAlignment="1">
      <alignment horizontal="left" wrapText="1"/>
    </xf>
    <xf numFmtId="0" fontId="12" fillId="0" borderId="1" xfId="0" applyFont="1" applyBorder="1" applyAlignment="1">
      <alignment horizontal="left" wrapText="1"/>
    </xf>
    <xf numFmtId="168" fontId="7" fillId="4" borderId="1" xfId="1" applyNumberFormat="1" applyFont="1" applyFill="1" applyBorder="1" applyAlignment="1">
      <alignment horizontal="center"/>
    </xf>
    <xf numFmtId="167" fontId="12" fillId="0" borderId="0" xfId="0" applyNumberFormat="1" applyFont="1"/>
    <xf numFmtId="0" fontId="12" fillId="3" borderId="1" xfId="0" applyFont="1" applyFill="1" applyBorder="1" applyAlignment="1">
      <alignment vertical="center" wrapText="1"/>
    </xf>
    <xf numFmtId="0" fontId="5" fillId="7" borderId="1" xfId="1" applyFont="1" applyFill="1" applyBorder="1" applyAlignment="1">
      <alignment horizontal="left" indent="1"/>
    </xf>
    <xf numFmtId="0" fontId="17" fillId="4" borderId="1" xfId="1" applyFont="1" applyFill="1" applyBorder="1"/>
    <xf numFmtId="0" fontId="12" fillId="0" borderId="0" xfId="0" applyFont="1" applyAlignment="1">
      <alignment horizontal="center"/>
    </xf>
    <xf numFmtId="0" fontId="8" fillId="8" borderId="0" xfId="0" applyFont="1" applyFill="1" applyAlignment="1">
      <alignment horizontal="left" vertical="top"/>
    </xf>
    <xf numFmtId="0" fontId="20" fillId="9" borderId="5" xfId="4" applyNumberFormat="1" applyFont="1" applyFill="1" applyBorder="1" applyProtection="1">
      <protection locked="0"/>
    </xf>
    <xf numFmtId="49" fontId="12" fillId="3" borderId="1" xfId="1" applyNumberFormat="1" applyFont="1" applyFill="1" applyBorder="1" applyAlignment="1">
      <alignment horizontal="right"/>
    </xf>
    <xf numFmtId="49" fontId="12" fillId="3" borderId="1" xfId="0" applyNumberFormat="1" applyFont="1" applyFill="1" applyBorder="1" applyAlignment="1">
      <alignment horizontal="right" vertical="top" wrapText="1"/>
    </xf>
    <xf numFmtId="49" fontId="12" fillId="0" borderId="6" xfId="1" applyNumberFormat="1" applyFont="1" applyBorder="1" applyAlignment="1">
      <alignment horizontal="right"/>
    </xf>
    <xf numFmtId="0" fontId="7" fillId="3" borderId="1" xfId="3" applyFont="1" applyFill="1" applyBorder="1" applyAlignment="1">
      <alignment horizontal="left"/>
    </xf>
    <xf numFmtId="0" fontId="7" fillId="3" borderId="3" xfId="3" applyFont="1" applyFill="1" applyBorder="1" applyAlignment="1">
      <alignment horizontal="left"/>
    </xf>
    <xf numFmtId="49" fontId="12" fillId="3" borderId="1" xfId="1" applyNumberFormat="1" applyFont="1" applyFill="1" applyBorder="1" applyAlignment="1">
      <alignment horizontal="left"/>
    </xf>
    <xf numFmtId="167" fontId="5" fillId="3" borderId="1" xfId="0" applyNumberFormat="1" applyFont="1" applyFill="1" applyBorder="1"/>
    <xf numFmtId="167" fontId="5" fillId="10" borderId="1" xfId="1" applyNumberFormat="1" applyFont="1" applyFill="1" applyBorder="1"/>
    <xf numFmtId="0" fontId="7" fillId="4" borderId="1" xfId="1" applyFont="1" applyFill="1" applyBorder="1" applyAlignment="1">
      <alignment horizontal="center" wrapText="1"/>
    </xf>
    <xf numFmtId="0" fontId="7" fillId="5" borderId="1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/>
    </xf>
    <xf numFmtId="0" fontId="5" fillId="5" borderId="1" xfId="1" applyFont="1" applyFill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3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12" fillId="0" borderId="1" xfId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/>
    </xf>
    <xf numFmtId="1" fontId="5" fillId="2" borderId="1" xfId="1" applyNumberFormat="1" applyFont="1" applyFill="1" applyBorder="1" applyAlignment="1">
      <alignment horizontal="center"/>
    </xf>
    <xf numFmtId="167" fontId="12" fillId="2" borderId="1" xfId="1" applyNumberFormat="1" applyFont="1" applyFill="1" applyBorder="1"/>
    <xf numFmtId="0" fontId="12" fillId="2" borderId="1" xfId="1" applyFont="1" applyFill="1" applyBorder="1" applyAlignment="1">
      <alignment horizontal="center"/>
    </xf>
    <xf numFmtId="0" fontId="8" fillId="2" borderId="3" xfId="1" applyFont="1" applyFill="1" applyBorder="1" applyAlignment="1">
      <alignment horizontal="center" vertical="top" wrapText="1"/>
    </xf>
    <xf numFmtId="0" fontId="20" fillId="3" borderId="5" xfId="4" applyNumberFormat="1" applyFont="1" applyFill="1" applyBorder="1" applyProtection="1">
      <protection locked="0"/>
    </xf>
    <xf numFmtId="0" fontId="21" fillId="3" borderId="5" xfId="4" applyNumberFormat="1" applyFont="1" applyFill="1" applyBorder="1" applyProtection="1">
      <protection locked="0"/>
    </xf>
    <xf numFmtId="1" fontId="1" fillId="0" borderId="0" xfId="2" applyNumberFormat="1" applyAlignment="1">
      <alignment horizontal="center"/>
    </xf>
    <xf numFmtId="167" fontId="7" fillId="10" borderId="1" xfId="1" applyNumberFormat="1" applyFont="1" applyFill="1" applyBorder="1"/>
    <xf numFmtId="0" fontId="5" fillId="10" borderId="1" xfId="1" applyFont="1" applyFill="1" applyBorder="1"/>
    <xf numFmtId="49" fontId="8" fillId="10" borderId="1" xfId="1" applyNumberFormat="1" applyFont="1" applyFill="1" applyBorder="1"/>
    <xf numFmtId="167" fontId="7" fillId="0" borderId="1" xfId="1" applyNumberFormat="1" applyFont="1" applyBorder="1"/>
    <xf numFmtId="49" fontId="8" fillId="0" borderId="1" xfId="1" applyNumberFormat="1" applyFont="1" applyBorder="1" applyAlignment="1">
      <alignment horizontal="left"/>
    </xf>
    <xf numFmtId="49" fontId="4" fillId="0" borderId="1" xfId="1" applyNumberFormat="1" applyFont="1" applyBorder="1" applyAlignment="1">
      <alignment horizontal="right"/>
    </xf>
    <xf numFmtId="49" fontId="14" fillId="0" borderId="1" xfId="1" applyNumberFormat="1" applyFont="1" applyBorder="1" applyAlignment="1">
      <alignment horizontal="right"/>
    </xf>
    <xf numFmtId="0" fontId="4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8" fillId="4" borderId="1" xfId="1" applyFont="1" applyFill="1" applyBorder="1" applyAlignment="1">
      <alignment horizontal="right" vertical="top" wrapText="1"/>
    </xf>
    <xf numFmtId="0" fontId="14" fillId="4" borderId="1" xfId="1" applyFont="1" applyFill="1" applyBorder="1" applyAlignment="1">
      <alignment horizontal="right" wrapText="1"/>
    </xf>
    <xf numFmtId="49" fontId="12" fillId="0" borderId="1" xfId="0" applyNumberFormat="1" applyFont="1" applyBorder="1" applyAlignment="1">
      <alignment horizontal="right" vertical="top" wrapText="1"/>
    </xf>
    <xf numFmtId="49" fontId="5" fillId="0" borderId="1" xfId="1" applyNumberFormat="1" applyFont="1" applyBorder="1" applyAlignment="1">
      <alignment horizontal="right"/>
    </xf>
    <xf numFmtId="49" fontId="4" fillId="0" borderId="1" xfId="1" applyNumberFormat="1" applyFont="1" applyBorder="1" applyAlignment="1">
      <alignment horizontal="right" indent="1"/>
    </xf>
    <xf numFmtId="0" fontId="15" fillId="0" borderId="1" xfId="1" applyFont="1" applyBorder="1" applyAlignment="1">
      <alignment horizontal="right" wrapText="1"/>
    </xf>
    <xf numFmtId="49" fontId="5" fillId="0" borderId="1" xfId="1" applyNumberFormat="1" applyFont="1" applyBorder="1" applyAlignment="1">
      <alignment horizontal="right" vertical="center" wrapText="1"/>
    </xf>
    <xf numFmtId="49" fontId="12" fillId="0" borderId="1" xfId="0" applyNumberFormat="1" applyFont="1" applyBorder="1" applyAlignment="1">
      <alignment horizontal="right"/>
    </xf>
    <xf numFmtId="49" fontId="4" fillId="0" borderId="1" xfId="0" applyNumberFormat="1" applyFont="1" applyBorder="1" applyAlignment="1">
      <alignment horizontal="right"/>
    </xf>
    <xf numFmtId="49" fontId="7" fillId="0" borderId="1" xfId="1" applyNumberFormat="1" applyFont="1" applyBorder="1" applyAlignment="1">
      <alignment horizontal="right"/>
    </xf>
    <xf numFmtId="49" fontId="5" fillId="3" borderId="1" xfId="1" applyNumberFormat="1" applyFont="1" applyFill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1" xfId="1" applyFont="1" applyBorder="1" applyAlignment="1">
      <alignment horizontal="right"/>
    </xf>
    <xf numFmtId="49" fontId="16" fillId="3" borderId="1" xfId="1" applyNumberFormat="1" applyFont="1" applyFill="1" applyBorder="1" applyAlignment="1">
      <alignment horizontal="right"/>
    </xf>
    <xf numFmtId="1" fontId="12" fillId="0" borderId="11" xfId="0" applyNumberFormat="1" applyFont="1" applyBorder="1"/>
    <xf numFmtId="49" fontId="8" fillId="10" borderId="1" xfId="1" applyNumberFormat="1" applyFont="1" applyFill="1" applyBorder="1" applyAlignment="1">
      <alignment horizontal="left"/>
    </xf>
    <xf numFmtId="1" fontId="5" fillId="3" borderId="1" xfId="1" applyNumberFormat="1" applyFont="1" applyFill="1" applyBorder="1" applyAlignment="1">
      <alignment horizontal="right"/>
    </xf>
    <xf numFmtId="0" fontId="12" fillId="2" borderId="0" xfId="0" applyFont="1" applyFill="1"/>
    <xf numFmtId="0" fontId="22" fillId="2" borderId="0" xfId="0" applyFont="1" applyFill="1"/>
    <xf numFmtId="1" fontId="5" fillId="8" borderId="1" xfId="1" applyNumberFormat="1" applyFont="1" applyFill="1" applyBorder="1"/>
    <xf numFmtId="0" fontId="12" fillId="2" borderId="12" xfId="0" applyFont="1" applyFill="1" applyBorder="1"/>
    <xf numFmtId="0" fontId="12" fillId="2" borderId="2" xfId="0" applyFont="1" applyFill="1" applyBorder="1"/>
    <xf numFmtId="0" fontId="12" fillId="2" borderId="0" xfId="0" applyFont="1" applyFill="1" applyAlignment="1">
      <alignment horizontal="left"/>
    </xf>
    <xf numFmtId="0" fontId="12" fillId="2" borderId="12" xfId="0" applyFont="1" applyFill="1" applyBorder="1" applyAlignment="1">
      <alignment horizontal="left"/>
    </xf>
    <xf numFmtId="0" fontId="5" fillId="3" borderId="1" xfId="1" applyFont="1" applyFill="1" applyBorder="1" applyAlignment="1">
      <alignment horizontal="left" indent="1"/>
    </xf>
    <xf numFmtId="0" fontId="7" fillId="3" borderId="1" xfId="1" applyFont="1" applyFill="1" applyBorder="1"/>
    <xf numFmtId="168" fontId="7" fillId="4" borderId="15" xfId="1" applyNumberFormat="1" applyFont="1" applyFill="1" applyBorder="1" applyAlignment="1">
      <alignment horizontal="center" vertical="center"/>
    </xf>
    <xf numFmtId="171" fontId="8" fillId="0" borderId="14" xfId="0" applyNumberFormat="1" applyFont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 wrapText="1"/>
    </xf>
    <xf numFmtId="1" fontId="8" fillId="0" borderId="7" xfId="0" applyNumberFormat="1" applyFont="1" applyBorder="1" applyAlignment="1">
      <alignment horizontal="center" vertical="center" wrapText="1"/>
    </xf>
    <xf numFmtId="165" fontId="8" fillId="0" borderId="14" xfId="5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13" borderId="0" xfId="0" applyFont="1" applyFill="1" applyAlignment="1">
      <alignment horizontal="center" vertical="top" wrapText="1"/>
    </xf>
    <xf numFmtId="0" fontId="7" fillId="3" borderId="6" xfId="0" applyFont="1" applyFill="1" applyBorder="1" applyAlignment="1">
      <alignment horizontal="center" wrapText="1"/>
    </xf>
    <xf numFmtId="0" fontId="7" fillId="3" borderId="12" xfId="0" applyFont="1" applyFill="1" applyBorder="1" applyAlignment="1">
      <alignment horizontal="center" wrapText="1"/>
    </xf>
    <xf numFmtId="0" fontId="5" fillId="0" borderId="4" xfId="1" applyFont="1" applyBorder="1"/>
    <xf numFmtId="0" fontId="7" fillId="0" borderId="4" xfId="1" applyFont="1" applyBorder="1"/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5" fillId="2" borderId="6" xfId="1" applyFont="1" applyFill="1" applyBorder="1"/>
    <xf numFmtId="0" fontId="5" fillId="10" borderId="4" xfId="1" applyFont="1" applyFill="1" applyBorder="1"/>
    <xf numFmtId="0" fontId="12" fillId="0" borderId="13" xfId="0" applyFont="1" applyBorder="1" applyAlignment="1">
      <alignment horizontal="center"/>
    </xf>
    <xf numFmtId="0" fontId="12" fillId="2" borderId="2" xfId="0" applyFont="1" applyFill="1" applyBorder="1" applyAlignment="1">
      <alignment horizontal="left"/>
    </xf>
    <xf numFmtId="0" fontId="12" fillId="3" borderId="1" xfId="1" applyFont="1" applyFill="1" applyBorder="1" applyAlignment="1">
      <alignment horizontal="left" wrapText="1"/>
    </xf>
    <xf numFmtId="49" fontId="12" fillId="3" borderId="1" xfId="1" applyNumberFormat="1" applyFont="1" applyFill="1" applyBorder="1"/>
    <xf numFmtId="0" fontId="5" fillId="3" borderId="1" xfId="1" applyFont="1" applyFill="1" applyBorder="1"/>
    <xf numFmtId="0" fontId="5" fillId="3" borderId="1" xfId="1" applyFont="1" applyFill="1" applyBorder="1" applyAlignment="1">
      <alignment horizontal="left" vertical="center" wrapText="1"/>
    </xf>
    <xf numFmtId="49" fontId="5" fillId="3" borderId="1" xfId="1" applyNumberFormat="1" applyFont="1" applyFill="1" applyBorder="1"/>
    <xf numFmtId="0" fontId="12" fillId="3" borderId="1" xfId="1" quotePrefix="1" applyFont="1" applyFill="1" applyBorder="1" applyAlignment="1">
      <alignment horizontal="left" wrapText="1"/>
    </xf>
    <xf numFmtId="49" fontId="13" fillId="3" borderId="1" xfId="1" applyNumberFormat="1" applyFont="1" applyFill="1" applyBorder="1" applyAlignment="1">
      <alignment horizontal="right"/>
    </xf>
    <xf numFmtId="49" fontId="23" fillId="0" borderId="1" xfId="1" applyNumberFormat="1" applyFont="1" applyBorder="1"/>
    <xf numFmtId="49" fontId="12" fillId="3" borderId="1" xfId="1" applyNumberFormat="1" applyFont="1" applyFill="1" applyBorder="1" applyAlignment="1">
      <alignment horizontal="left" wrapText="1"/>
    </xf>
    <xf numFmtId="49" fontId="12" fillId="3" borderId="1" xfId="1" quotePrefix="1" applyNumberFormat="1" applyFont="1" applyFill="1" applyBorder="1" applyAlignment="1">
      <alignment horizontal="left" wrapText="1"/>
    </xf>
    <xf numFmtId="0" fontId="6" fillId="12" borderId="3" xfId="0" applyFont="1" applyFill="1" applyBorder="1" applyAlignment="1">
      <alignment horizontal="left" vertical="center"/>
    </xf>
    <xf numFmtId="0" fontId="6" fillId="3" borderId="1" xfId="0" applyFont="1" applyFill="1" applyBorder="1"/>
    <xf numFmtId="0" fontId="12" fillId="3" borderId="1" xfId="0" applyFont="1" applyFill="1" applyBorder="1" applyAlignment="1">
      <alignment horizontal="center"/>
    </xf>
    <xf numFmtId="170" fontId="8" fillId="0" borderId="14" xfId="0" applyNumberFormat="1" applyFont="1" applyBorder="1" applyAlignment="1">
      <alignment horizontal="center" vertical="center"/>
    </xf>
    <xf numFmtId="0" fontId="5" fillId="14" borderId="1" xfId="1" applyFont="1" applyFill="1" applyBorder="1"/>
    <xf numFmtId="49" fontId="5" fillId="14" borderId="1" xfId="1" applyNumberFormat="1" applyFont="1" applyFill="1" applyBorder="1" applyAlignment="1">
      <alignment horizontal="right"/>
    </xf>
    <xf numFmtId="49" fontId="5" fillId="14" borderId="1" xfId="1" applyNumberFormat="1" applyFont="1" applyFill="1" applyBorder="1"/>
    <xf numFmtId="0" fontId="5" fillId="14" borderId="1" xfId="1" applyFont="1" applyFill="1" applyBorder="1" applyAlignment="1">
      <alignment horizontal="left" wrapText="1"/>
    </xf>
    <xf numFmtId="167" fontId="5" fillId="14" borderId="1" xfId="0" applyNumberFormat="1" applyFont="1" applyFill="1" applyBorder="1"/>
    <xf numFmtId="0" fontId="5" fillId="14" borderId="1" xfId="0" applyFont="1" applyFill="1" applyBorder="1" applyAlignment="1">
      <alignment horizontal="center"/>
    </xf>
    <xf numFmtId="1" fontId="5" fillId="14" borderId="1" xfId="1" applyNumberFormat="1" applyFont="1" applyFill="1" applyBorder="1"/>
    <xf numFmtId="167" fontId="5" fillId="14" borderId="1" xfId="1" applyNumberFormat="1" applyFont="1" applyFill="1" applyBorder="1"/>
    <xf numFmtId="0" fontId="12" fillId="14" borderId="1" xfId="0" applyFont="1" applyFill="1" applyBorder="1"/>
    <xf numFmtId="0" fontId="5" fillId="15" borderId="1" xfId="1" applyFont="1" applyFill="1" applyBorder="1"/>
    <xf numFmtId="49" fontId="5" fillId="15" borderId="1" xfId="1" applyNumberFormat="1" applyFont="1" applyFill="1" applyBorder="1" applyAlignment="1">
      <alignment horizontal="right"/>
    </xf>
    <xf numFmtId="49" fontId="5" fillId="15" borderId="1" xfId="1" applyNumberFormat="1" applyFont="1" applyFill="1" applyBorder="1"/>
    <xf numFmtId="0" fontId="5" fillId="15" borderId="1" xfId="1" applyFont="1" applyFill="1" applyBorder="1" applyAlignment="1">
      <alignment horizontal="left" wrapText="1"/>
    </xf>
    <xf numFmtId="167" fontId="5" fillId="15" borderId="1" xfId="1" applyNumberFormat="1" applyFont="1" applyFill="1" applyBorder="1"/>
    <xf numFmtId="0" fontId="5" fillId="15" borderId="1" xfId="1" applyFont="1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1" fontId="5" fillId="15" borderId="1" xfId="1" applyNumberFormat="1" applyFont="1" applyFill="1" applyBorder="1"/>
    <xf numFmtId="0" fontId="12" fillId="15" borderId="1" xfId="0" applyFont="1" applyFill="1" applyBorder="1"/>
    <xf numFmtId="0" fontId="12" fillId="15" borderId="1" xfId="1" applyFont="1" applyFill="1" applyBorder="1"/>
    <xf numFmtId="49" fontId="12" fillId="15" borderId="1" xfId="1" applyNumberFormat="1" applyFont="1" applyFill="1" applyBorder="1" applyAlignment="1">
      <alignment horizontal="right"/>
    </xf>
    <xf numFmtId="0" fontId="12" fillId="15" borderId="1" xfId="1" applyFont="1" applyFill="1" applyBorder="1" applyAlignment="1">
      <alignment horizontal="left" wrapText="1"/>
    </xf>
    <xf numFmtId="0" fontId="8" fillId="15" borderId="1" xfId="0" applyFont="1" applyFill="1" applyBorder="1"/>
    <xf numFmtId="0" fontId="12" fillId="12" borderId="0" xfId="0" applyFont="1" applyFill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8" fillId="0" borderId="0" xfId="0" quotePrefix="1" applyFont="1"/>
    <xf numFmtId="0" fontId="0" fillId="16" borderId="0" xfId="0" applyFill="1"/>
    <xf numFmtId="170" fontId="8" fillId="17" borderId="14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0" xfId="0" applyAlignment="1">
      <alignment horizontal="center"/>
    </xf>
    <xf numFmtId="1" fontId="5" fillId="0" borderId="0" xfId="0" applyNumberFormat="1" applyFont="1"/>
    <xf numFmtId="0" fontId="7" fillId="12" borderId="20" xfId="7" applyFont="1" applyFill="1" applyBorder="1" applyAlignment="1">
      <alignment horizontal="center" vertical="center" wrapText="1"/>
    </xf>
    <xf numFmtId="0" fontId="7" fillId="12" borderId="21" xfId="7" applyFont="1" applyFill="1" applyBorder="1" applyAlignment="1">
      <alignment horizontal="center" vertical="center" wrapText="1"/>
    </xf>
    <xf numFmtId="0" fontId="28" fillId="18" borderId="19" xfId="8" applyFont="1" applyFill="1" applyBorder="1" applyAlignment="1">
      <alignment horizontal="center"/>
    </xf>
    <xf numFmtId="0" fontId="0" fillId="0" borderId="0" xfId="0" applyAlignment="1">
      <alignment horizontal="left"/>
    </xf>
    <xf numFmtId="0" fontId="32" fillId="0" borderId="0" xfId="0" applyFont="1"/>
    <xf numFmtId="0" fontId="33" fillId="3" borderId="1" xfId="0" applyFont="1" applyFill="1" applyBorder="1"/>
    <xf numFmtId="0" fontId="20" fillId="0" borderId="5" xfId="4" applyNumberFormat="1" applyFont="1" applyFill="1" applyBorder="1" applyProtection="1">
      <protection locked="0"/>
    </xf>
    <xf numFmtId="0" fontId="5" fillId="0" borderId="1" xfId="6" applyNumberFormat="1" applyFont="1" applyFill="1" applyBorder="1" applyAlignment="1" applyProtection="1">
      <alignment horizontal="center"/>
    </xf>
    <xf numFmtId="0" fontId="5" fillId="0" borderId="1" xfId="6" applyNumberFormat="1" applyFont="1" applyFill="1" applyBorder="1" applyAlignment="1" applyProtection="1">
      <alignment horizontal="left" vertical="center"/>
    </xf>
    <xf numFmtId="0" fontId="28" fillId="18" borderId="1" xfId="8" applyFont="1" applyFill="1" applyBorder="1" applyAlignment="1">
      <alignment horizontal="center"/>
    </xf>
    <xf numFmtId="0" fontId="28" fillId="18" borderId="1" xfId="8" applyFont="1" applyFill="1" applyBorder="1" applyAlignment="1">
      <alignment horizontal="left"/>
    </xf>
    <xf numFmtId="0" fontId="28" fillId="18" borderId="1" xfId="8" applyFont="1" applyFill="1" applyBorder="1" applyAlignment="1">
      <alignment horizontal="left" vertical="center"/>
    </xf>
    <xf numFmtId="49" fontId="5" fillId="0" borderId="1" xfId="6" applyNumberFormat="1" applyFont="1" applyFill="1" applyBorder="1" applyAlignment="1" applyProtection="1">
      <alignment horizontal="center"/>
    </xf>
    <xf numFmtId="0" fontId="5" fillId="0" borderId="1" xfId="6" applyNumberFormat="1" applyFont="1" applyFill="1" applyBorder="1" applyAlignment="1" applyProtection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12" borderId="1" xfId="0" applyFont="1" applyFill="1" applyBorder="1"/>
    <xf numFmtId="164" fontId="0" fillId="0" borderId="0" xfId="0" applyNumberFormat="1"/>
    <xf numFmtId="0" fontId="12" fillId="0" borderId="8" xfId="0" applyFont="1" applyBorder="1" applyAlignment="1">
      <alignment horizontal="center"/>
    </xf>
    <xf numFmtId="49" fontId="8" fillId="0" borderId="1" xfId="1" applyNumberFormat="1" applyFont="1" applyBorder="1"/>
    <xf numFmtId="49" fontId="4" fillId="3" borderId="1" xfId="1" applyNumberFormat="1" applyFont="1" applyFill="1" applyBorder="1"/>
    <xf numFmtId="0" fontId="12" fillId="3" borderId="0" xfId="0" applyFont="1" applyFill="1" applyAlignment="1">
      <alignment horizontal="right"/>
    </xf>
    <xf numFmtId="0" fontId="12" fillId="10" borderId="0" xfId="0" applyFont="1" applyFill="1"/>
    <xf numFmtId="0" fontId="20" fillId="10" borderId="5" xfId="4" applyNumberFormat="1" applyFont="1" applyFill="1" applyBorder="1" applyProtection="1">
      <protection locked="0"/>
    </xf>
    <xf numFmtId="0" fontId="12" fillId="17" borderId="0" xfId="0" applyFont="1" applyFill="1" applyAlignment="1">
      <alignment horizontal="center"/>
    </xf>
    <xf numFmtId="1" fontId="5" fillId="17" borderId="1" xfId="1" applyNumberFormat="1" applyFont="1" applyFill="1" applyBorder="1"/>
    <xf numFmtId="49" fontId="13" fillId="0" borderId="1" xfId="1" applyNumberFormat="1" applyFont="1" applyBorder="1" applyAlignment="1">
      <alignment horizontal="right"/>
    </xf>
    <xf numFmtId="49" fontId="16" fillId="0" borderId="1" xfId="1" applyNumberFormat="1" applyFont="1" applyBorder="1" applyAlignment="1">
      <alignment horizontal="right"/>
    </xf>
    <xf numFmtId="49" fontId="12" fillId="0" borderId="1" xfId="1" applyNumberFormat="1" applyFont="1" applyBorder="1" applyAlignment="1">
      <alignment horizontal="left" wrapText="1"/>
    </xf>
    <xf numFmtId="49" fontId="12" fillId="0" borderId="1" xfId="1" quotePrefix="1" applyNumberFormat="1" applyFont="1" applyBorder="1" applyAlignment="1">
      <alignment horizontal="left" wrapText="1"/>
    </xf>
    <xf numFmtId="0" fontId="12" fillId="0" borderId="1" xfId="1" quotePrefix="1" applyFont="1" applyBorder="1" applyAlignment="1">
      <alignment horizontal="left" wrapText="1"/>
    </xf>
    <xf numFmtId="0" fontId="12" fillId="0" borderId="14" xfId="0" applyFont="1" applyBorder="1" applyAlignment="1">
      <alignment horizontal="center"/>
    </xf>
    <xf numFmtId="0" fontId="34" fillId="0" borderId="1" xfId="1" applyFont="1" applyBorder="1"/>
    <xf numFmtId="49" fontId="23" fillId="0" borderId="1" xfId="1" applyNumberFormat="1" applyFont="1" applyBorder="1" applyAlignment="1">
      <alignment horizontal="right"/>
    </xf>
    <xf numFmtId="167" fontId="16" fillId="0" borderId="1" xfId="1" applyNumberFormat="1" applyFont="1" applyBorder="1"/>
    <xf numFmtId="0" fontId="16" fillId="0" borderId="1" xfId="1" applyFont="1" applyBorder="1" applyAlignment="1">
      <alignment horizontal="center"/>
    </xf>
    <xf numFmtId="1" fontId="16" fillId="0" borderId="1" xfId="1" applyNumberFormat="1" applyFont="1" applyBorder="1"/>
    <xf numFmtId="168" fontId="16" fillId="0" borderId="1" xfId="1" applyNumberFormat="1" applyFont="1" applyBorder="1"/>
    <xf numFmtId="0" fontId="5" fillId="9" borderId="1" xfId="4" applyNumberFormat="1" applyFont="1" applyFill="1" applyBorder="1" applyAlignment="1" applyProtection="1">
      <alignment horizontal="left"/>
      <protection locked="0"/>
    </xf>
    <xf numFmtId="1" fontId="12" fillId="0" borderId="1" xfId="0" applyNumberFormat="1" applyFont="1" applyBorder="1"/>
    <xf numFmtId="1" fontId="12" fillId="0" borderId="1" xfId="0" applyNumberFormat="1" applyFont="1" applyBorder="1" applyAlignment="1">
      <alignment horizontal="center"/>
    </xf>
    <xf numFmtId="167" fontId="12" fillId="0" borderId="1" xfId="0" applyNumberFormat="1" applyFont="1" applyBorder="1"/>
    <xf numFmtId="0" fontId="5" fillId="9" borderId="1" xfId="4" applyNumberFormat="1" applyFont="1" applyFill="1" applyBorder="1" applyProtection="1">
      <protection locked="0"/>
    </xf>
    <xf numFmtId="0" fontId="12" fillId="0" borderId="1" xfId="0" applyFont="1" applyBorder="1" applyAlignment="1">
      <alignment horizontal="left" indent="1"/>
    </xf>
    <xf numFmtId="0" fontId="12" fillId="9" borderId="1" xfId="0" applyFont="1" applyFill="1" applyBorder="1"/>
    <xf numFmtId="168" fontId="12" fillId="0" borderId="1" xfId="0" applyNumberFormat="1" applyFont="1" applyBorder="1"/>
    <xf numFmtId="0" fontId="12" fillId="9" borderId="1" xfId="0" applyFont="1" applyFill="1" applyBorder="1" applyAlignment="1">
      <alignment horizontal="left"/>
    </xf>
    <xf numFmtId="0" fontId="7" fillId="0" borderId="1" xfId="7" applyFont="1" applyBorder="1" applyAlignment="1">
      <alignment horizontal="center" wrapText="1"/>
    </xf>
    <xf numFmtId="0" fontId="7" fillId="3" borderId="1" xfId="7" applyFont="1" applyFill="1" applyBorder="1" applyAlignment="1">
      <alignment horizontal="center" vertical="center" wrapText="1"/>
    </xf>
    <xf numFmtId="0" fontId="7" fillId="0" borderId="1" xfId="7" applyFont="1" applyBorder="1" applyAlignment="1">
      <alignment horizontal="center" vertical="center" wrapText="1"/>
    </xf>
    <xf numFmtId="0" fontId="35" fillId="18" borderId="1" xfId="8" applyFont="1" applyFill="1" applyBorder="1" applyAlignment="1">
      <alignment horizontal="center"/>
    </xf>
    <xf numFmtId="168" fontId="37" fillId="12" borderId="23" xfId="0" applyNumberFormat="1" applyFont="1" applyFill="1" applyBorder="1"/>
    <xf numFmtId="0" fontId="7" fillId="0" borderId="24" xfId="7" applyFont="1" applyBorder="1" applyAlignment="1">
      <alignment horizontal="center" wrapText="1"/>
    </xf>
    <xf numFmtId="0" fontId="5" fillId="9" borderId="1" xfId="4" applyNumberFormat="1" applyFont="1" applyFill="1" applyBorder="1" applyAlignment="1" applyProtection="1">
      <alignment horizontal="left" vertical="center"/>
      <protection locked="0"/>
    </xf>
    <xf numFmtId="0" fontId="12" fillId="9" borderId="0" xfId="0" applyFont="1" applyFill="1"/>
    <xf numFmtId="0" fontId="12" fillId="2" borderId="27" xfId="0" applyFont="1" applyFill="1" applyBorder="1"/>
    <xf numFmtId="0" fontId="36" fillId="12" borderId="0" xfId="0" applyFont="1" applyFill="1" applyAlignment="1">
      <alignment wrapText="1"/>
    </xf>
    <xf numFmtId="0" fontId="36" fillId="10" borderId="0" xfId="0" applyFont="1" applyFill="1" applyAlignment="1">
      <alignment wrapText="1"/>
    </xf>
    <xf numFmtId="0" fontId="12" fillId="9" borderId="3" xfId="0" applyFont="1" applyFill="1" applyBorder="1"/>
    <xf numFmtId="0" fontId="5" fillId="0" borderId="3" xfId="6" applyNumberFormat="1" applyFont="1" applyFill="1" applyBorder="1" applyAlignment="1" applyProtection="1">
      <alignment horizontal="center"/>
    </xf>
    <xf numFmtId="0" fontId="12" fillId="0" borderId="3" xfId="0" applyFont="1" applyBorder="1" applyAlignment="1">
      <alignment horizontal="center"/>
    </xf>
    <xf numFmtId="0" fontId="12" fillId="0" borderId="3" xfId="0" applyFont="1" applyBorder="1"/>
    <xf numFmtId="1" fontId="12" fillId="0" borderId="3" xfId="0" applyNumberFormat="1" applyFont="1" applyBorder="1" applyAlignment="1">
      <alignment horizontal="center"/>
    </xf>
    <xf numFmtId="168" fontId="12" fillId="0" borderId="3" xfId="0" applyNumberFormat="1" applyFont="1" applyBorder="1"/>
    <xf numFmtId="0" fontId="12" fillId="19" borderId="28" xfId="0" applyFont="1" applyFill="1" applyBorder="1" applyAlignment="1">
      <alignment horizontal="center"/>
    </xf>
    <xf numFmtId="0" fontId="12" fillId="19" borderId="29" xfId="0" applyFont="1" applyFill="1" applyBorder="1" applyAlignment="1">
      <alignment horizontal="center"/>
    </xf>
    <xf numFmtId="0" fontId="12" fillId="19" borderId="29" xfId="0" applyFont="1" applyFill="1" applyBorder="1" applyAlignment="1">
      <alignment horizontal="left"/>
    </xf>
    <xf numFmtId="0" fontId="12" fillId="19" borderId="29" xfId="0" applyFont="1" applyFill="1" applyBorder="1"/>
    <xf numFmtId="0" fontId="12" fillId="19" borderId="30" xfId="0" applyFont="1" applyFill="1" applyBorder="1"/>
    <xf numFmtId="0" fontId="12" fillId="19" borderId="31" xfId="0" applyFont="1" applyFill="1" applyBorder="1" applyAlignment="1">
      <alignment horizontal="center"/>
    </xf>
    <xf numFmtId="0" fontId="12" fillId="19" borderId="2" xfId="0" applyFont="1" applyFill="1" applyBorder="1" applyAlignment="1">
      <alignment horizontal="center"/>
    </xf>
    <xf numFmtId="0" fontId="12" fillId="19" borderId="2" xfId="0" applyFont="1" applyFill="1" applyBorder="1" applyAlignment="1">
      <alignment horizontal="left"/>
    </xf>
    <xf numFmtId="0" fontId="12" fillId="19" borderId="2" xfId="0" applyFont="1" applyFill="1" applyBorder="1"/>
    <xf numFmtId="0" fontId="5" fillId="0" borderId="25" xfId="6" applyNumberFormat="1" applyFont="1" applyFill="1" applyBorder="1" applyAlignment="1" applyProtection="1">
      <alignment horizontal="center"/>
    </xf>
    <xf numFmtId="0" fontId="12" fillId="0" borderId="25" xfId="0" applyFont="1" applyBorder="1" applyAlignment="1">
      <alignment horizontal="center"/>
    </xf>
    <xf numFmtId="0" fontId="12" fillId="0" borderId="25" xfId="0" applyFont="1" applyBorder="1"/>
    <xf numFmtId="1" fontId="12" fillId="0" borderId="25" xfId="0" applyNumberFormat="1" applyFont="1" applyBorder="1" applyAlignment="1">
      <alignment horizontal="center"/>
    </xf>
    <xf numFmtId="168" fontId="12" fillId="0" borderId="25" xfId="0" applyNumberFormat="1" applyFont="1" applyBorder="1"/>
    <xf numFmtId="0" fontId="12" fillId="19" borderId="6" xfId="0" applyFont="1" applyFill="1" applyBorder="1" applyAlignment="1">
      <alignment horizontal="center"/>
    </xf>
    <xf numFmtId="0" fontId="12" fillId="19" borderId="12" xfId="0" applyFont="1" applyFill="1" applyBorder="1" applyAlignment="1">
      <alignment horizontal="center"/>
    </xf>
    <xf numFmtId="0" fontId="12" fillId="19" borderId="12" xfId="0" applyFont="1" applyFill="1" applyBorder="1" applyAlignment="1">
      <alignment horizontal="left"/>
    </xf>
    <xf numFmtId="0" fontId="12" fillId="19" borderId="12" xfId="0" applyFont="1" applyFill="1" applyBorder="1"/>
    <xf numFmtId="0" fontId="12" fillId="19" borderId="4" xfId="0" applyFont="1" applyFill="1" applyBorder="1"/>
    <xf numFmtId="0" fontId="5" fillId="9" borderId="25" xfId="4" applyNumberFormat="1" applyFont="1" applyFill="1" applyBorder="1" applyProtection="1">
      <protection locked="0"/>
    </xf>
    <xf numFmtId="1" fontId="12" fillId="0" borderId="25" xfId="0" applyNumberFormat="1" applyFont="1" applyBorder="1"/>
    <xf numFmtId="0" fontId="12" fillId="6" borderId="12" xfId="0" applyFont="1" applyFill="1" applyBorder="1"/>
    <xf numFmtId="0" fontId="8" fillId="15" borderId="4" xfId="0" applyFont="1" applyFill="1" applyBorder="1"/>
    <xf numFmtId="0" fontId="5" fillId="0" borderId="25" xfId="6" applyNumberFormat="1" applyFont="1" applyFill="1" applyBorder="1" applyAlignment="1" applyProtection="1">
      <alignment horizontal="center" vertical="center"/>
    </xf>
    <xf numFmtId="0" fontId="12" fillId="0" borderId="25" xfId="0" applyFont="1" applyBorder="1" applyAlignment="1">
      <alignment horizontal="center" vertical="center"/>
    </xf>
    <xf numFmtId="49" fontId="12" fillId="0" borderId="25" xfId="0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left" vertical="center"/>
    </xf>
    <xf numFmtId="0" fontId="5" fillId="9" borderId="25" xfId="4" applyNumberFormat="1" applyFont="1" applyFill="1" applyBorder="1" applyAlignment="1" applyProtection="1">
      <alignment horizontal="left" vertical="center"/>
      <protection locked="0"/>
    </xf>
    <xf numFmtId="0" fontId="12" fillId="6" borderId="6" xfId="0" applyFont="1" applyFill="1" applyBorder="1"/>
    <xf numFmtId="1" fontId="12" fillId="6" borderId="12" xfId="0" applyNumberFormat="1" applyFont="1" applyFill="1" applyBorder="1"/>
    <xf numFmtId="0" fontId="12" fillId="6" borderId="28" xfId="0" applyFont="1" applyFill="1" applyBorder="1"/>
    <xf numFmtId="0" fontId="12" fillId="6" borderId="29" xfId="0" applyFont="1" applyFill="1" applyBorder="1"/>
    <xf numFmtId="168" fontId="12" fillId="6" borderId="30" xfId="0" applyNumberFormat="1" applyFont="1" applyFill="1" applyBorder="1"/>
    <xf numFmtId="0" fontId="12" fillId="6" borderId="31" xfId="0" applyFont="1" applyFill="1" applyBorder="1"/>
    <xf numFmtId="0" fontId="12" fillId="6" borderId="2" xfId="0" applyFont="1" applyFill="1" applyBorder="1"/>
    <xf numFmtId="0" fontId="12" fillId="6" borderId="4" xfId="0" applyFont="1" applyFill="1" applyBorder="1"/>
    <xf numFmtId="168" fontId="37" fillId="12" borderId="22" xfId="0" applyNumberFormat="1" applyFont="1" applyFill="1" applyBorder="1"/>
    <xf numFmtId="0" fontId="0" fillId="0" borderId="0" xfId="0" applyAlignment="1">
      <alignment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left" vertical="center"/>
    </xf>
    <xf numFmtId="0" fontId="12" fillId="6" borderId="12" xfId="0" applyFont="1" applyFill="1" applyBorder="1" applyAlignment="1">
      <alignment vertical="center"/>
    </xf>
    <xf numFmtId="0" fontId="8" fillId="15" borderId="1" xfId="0" applyFont="1" applyFill="1" applyBorder="1" applyAlignment="1">
      <alignment horizontal="center" vertical="center" wrapText="1"/>
    </xf>
    <xf numFmtId="0" fontId="8" fillId="15" borderId="1" xfId="0" applyFont="1" applyFill="1" applyBorder="1" applyAlignment="1">
      <alignment wrapText="1"/>
    </xf>
    <xf numFmtId="49" fontId="13" fillId="3" borderId="1" xfId="0" applyNumberFormat="1" applyFont="1" applyFill="1" applyBorder="1" applyAlignment="1">
      <alignment horizontal="right" vertical="top" wrapText="1"/>
    </xf>
    <xf numFmtId="49" fontId="38" fillId="0" borderId="1" xfId="1" applyNumberFormat="1" applyFont="1" applyBorder="1"/>
    <xf numFmtId="49" fontId="39" fillId="3" borderId="1" xfId="1" applyNumberFormat="1" applyFont="1" applyFill="1" applyBorder="1"/>
    <xf numFmtId="49" fontId="12" fillId="3" borderId="1" xfId="0" applyNumberFormat="1" applyFont="1" applyFill="1" applyBorder="1" applyAlignment="1">
      <alignment horizontal="center"/>
    </xf>
    <xf numFmtId="0" fontId="12" fillId="10" borderId="1" xfId="0" applyFont="1" applyFill="1" applyBorder="1"/>
    <xf numFmtId="0" fontId="5" fillId="10" borderId="1" xfId="4" applyNumberFormat="1" applyFont="1" applyFill="1" applyBorder="1" applyProtection="1">
      <protection locked="0"/>
    </xf>
    <xf numFmtId="0" fontId="12" fillId="10" borderId="1" xfId="0" applyFont="1" applyFill="1" applyBorder="1" applyAlignment="1">
      <alignment horizontal="center"/>
    </xf>
    <xf numFmtId="0" fontId="20" fillId="9" borderId="0" xfId="4" applyNumberFormat="1" applyFont="1" applyFill="1" applyBorder="1" applyProtection="1">
      <protection locked="0"/>
    </xf>
    <xf numFmtId="0" fontId="22" fillId="2" borderId="13" xfId="0" applyFont="1" applyFill="1" applyBorder="1"/>
    <xf numFmtId="0" fontId="12" fillId="17" borderId="0" xfId="0" applyFont="1" applyFill="1"/>
    <xf numFmtId="0" fontId="22" fillId="17" borderId="13" xfId="0" applyFont="1" applyFill="1" applyBorder="1"/>
    <xf numFmtId="0" fontId="7" fillId="11" borderId="8" xfId="0" applyFont="1" applyFill="1" applyBorder="1" applyAlignment="1">
      <alignment horizontal="center" wrapText="1"/>
    </xf>
    <xf numFmtId="0" fontId="7" fillId="11" borderId="9" xfId="0" applyFont="1" applyFill="1" applyBorder="1" applyAlignment="1">
      <alignment horizontal="center" wrapText="1"/>
    </xf>
    <xf numFmtId="0" fontId="7" fillId="11" borderId="10" xfId="0" applyFont="1" applyFill="1" applyBorder="1" applyAlignment="1">
      <alignment horizontal="center" wrapText="1"/>
    </xf>
    <xf numFmtId="0" fontId="7" fillId="11" borderId="11" xfId="0" applyFont="1" applyFill="1" applyBorder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0" fontId="7" fillId="11" borderId="16" xfId="0" applyFont="1" applyFill="1" applyBorder="1" applyAlignment="1">
      <alignment horizontal="center" wrapText="1"/>
    </xf>
    <xf numFmtId="0" fontId="7" fillId="0" borderId="1" xfId="7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/>
    </xf>
    <xf numFmtId="0" fontId="26" fillId="0" borderId="25" xfId="7" applyFont="1" applyBorder="1" applyAlignment="1">
      <alignment horizontal="center" vertical="center" wrapText="1"/>
    </xf>
    <xf numFmtId="0" fontId="26" fillId="0" borderId="3" xfId="7" applyFont="1" applyBorder="1" applyAlignment="1">
      <alignment horizontal="center" vertical="center" wrapText="1"/>
    </xf>
    <xf numFmtId="0" fontId="26" fillId="0" borderId="1" xfId="7" applyFont="1" applyBorder="1" applyAlignment="1">
      <alignment horizontal="center" vertical="center" wrapText="1"/>
    </xf>
    <xf numFmtId="0" fontId="0" fillId="0" borderId="32" xfId="0" applyBorder="1" applyAlignment="1">
      <alignment horizontal="center"/>
    </xf>
    <xf numFmtId="0" fontId="25" fillId="0" borderId="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</cellXfs>
  <cellStyles count="9">
    <cellStyle name="Comma 2 3" xfId="4" xr:uid="{98CF3BF3-DD0A-4102-B2DE-134964C41BA6}"/>
    <cellStyle name="Currency" xfId="5" builtinId="4"/>
    <cellStyle name="Dezimal 2" xfId="6" xr:uid="{8F823A2C-3AF8-449E-A32D-C68570CF8F5C}"/>
    <cellStyle name="Normal" xfId="0" builtinId="0"/>
    <cellStyle name="Normal 2 2 2" xfId="8" xr:uid="{EDEFC015-8F64-4C0F-85A3-37C4B4BA15CA}"/>
    <cellStyle name="Standard 3 2" xfId="3" xr:uid="{3A6EF936-57FB-46CE-8810-A25A96967D44}"/>
    <cellStyle name="Standard 4" xfId="2" xr:uid="{A87AA497-9637-48F9-838D-A9671FC036F3}"/>
    <cellStyle name="Standard_Gesamtkalkulation Peking V1.0" xfId="1" xr:uid="{E51FA4EE-1F60-446A-AB1F-84F5CE8197D2}"/>
    <cellStyle name="Standard_Kalkulation PM 2" xfId="7" xr:uid="{2F290081-5341-4EFC-88A0-C4434F8E48DB}"/>
  </cellStyles>
  <dxfs count="132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FF99"/>
      <color rgb="FFFF99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7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403860</xdr:colOff>
          <xdr:row>0</xdr:row>
          <xdr:rowOff>60960</xdr:rowOff>
        </xdr:from>
        <xdr:to>
          <xdr:col>14</xdr:col>
          <xdr:colOff>624840</xdr:colOff>
          <xdr:row>0</xdr:row>
          <xdr:rowOff>449580</xdr:rowOff>
        </xdr:to>
        <xdr:sp macro="" textlink="">
          <xdr:nvSpPr>
            <xdr:cNvPr id="2158" name="Save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>
      <xdr:nvPicPr>
        <xdr:cNvPr id="37" name="Symbol3" descr="Hamburger Menu Icon with solid fill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2</xdr:col>
      <xdr:colOff>815342</xdr:colOff>
      <xdr:row>0</xdr:row>
      <xdr:rowOff>417407</xdr:rowOff>
    </xdr:from>
    <xdr:to>
      <xdr:col>2</xdr:col>
      <xdr:colOff>2291159</xdr:colOff>
      <xdr:row>3</xdr:row>
      <xdr:rowOff>175304</xdr:rowOff>
    </xdr:to>
    <xdr:grpSp>
      <xdr:nvGrpSpPr>
        <xdr:cNvPr id="38" name="NavCheck1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559475" y="417407"/>
          <a:ext cx="1475817" cy="1104097"/>
          <a:chOff x="6664037" y="1698580"/>
          <a:chExt cx="1484284" cy="1110659"/>
        </a:xfrm>
      </xdr:grpSpPr>
      <xdr:sp macro="" textlink="">
        <xdr:nvSpPr>
          <xdr:cNvPr id="39" name="Rectangle 38" hidden="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6664037" y="1698580"/>
            <a:ext cx="1484284" cy="111065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0" name="Rectangle 39" hidden="1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6698674" y="1722120"/>
            <a:ext cx="1420090" cy="245225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BOM</a:t>
            </a:r>
          </a:p>
        </xdr:txBody>
      </xdr:sp>
      <xdr:sp macro="" textlink="">
        <xdr:nvSpPr>
          <xdr:cNvPr id="41" name="Rectangle 40" hidden="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6698675" y="1990898"/>
            <a:ext cx="1420090" cy="245225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Get</a:t>
            </a:r>
            <a:r>
              <a:rPr lang="de-DE" sz="1100" baseline="0">
                <a:solidFill>
                  <a:sysClr val="windowText" lastClr="000000"/>
                </a:solidFill>
              </a:rPr>
              <a:t> Data from BOM</a:t>
            </a:r>
            <a:endParaRPr lang="de-DE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2" name="Rectangle 41" hidden="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6698675" y="2256905"/>
            <a:ext cx="1419166" cy="245225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Check</a:t>
            </a:r>
            <a:r>
              <a:rPr lang="de-DE" sz="1100" baseline="0">
                <a:solidFill>
                  <a:sysClr val="windowText" lastClr="000000"/>
                </a:solidFill>
              </a:rPr>
              <a:t> BOM Headline</a:t>
            </a:r>
            <a:endParaRPr lang="de-DE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3" name="Rectangle 42" hidden="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6698675" y="2530764"/>
            <a:ext cx="1419166" cy="245225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Check</a:t>
            </a:r>
            <a:r>
              <a:rPr lang="de-DE" sz="1100" baseline="0">
                <a:solidFill>
                  <a:sysClr val="windowText" lastClr="000000"/>
                </a:solidFill>
              </a:rPr>
              <a:t> TypeId</a:t>
            </a:r>
            <a:endParaRPr lang="de-DE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822326</xdr:colOff>
      <xdr:row>4</xdr:row>
      <xdr:rowOff>318454</xdr:rowOff>
    </xdr:from>
    <xdr:to>
      <xdr:col>2</xdr:col>
      <xdr:colOff>2303223</xdr:colOff>
      <xdr:row>6</xdr:row>
      <xdr:rowOff>69110</xdr:rowOff>
    </xdr:to>
    <xdr:grpSp>
      <xdr:nvGrpSpPr>
        <xdr:cNvPr id="44" name="NAV_PLCCost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566459" y="2147254"/>
          <a:ext cx="1480897" cy="309456"/>
          <a:chOff x="6658957" y="1698581"/>
          <a:chExt cx="1489364" cy="299719"/>
        </a:xfrm>
      </xdr:grpSpPr>
      <xdr:sp macro="" textlink="">
        <xdr:nvSpPr>
          <xdr:cNvPr id="45" name="Rectangle 44" hidden="1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6658957" y="1698581"/>
            <a:ext cx="1489364" cy="29971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6" name="Rectangle 45" hidden="1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6698674" y="1722120"/>
            <a:ext cx="1420090" cy="245225"/>
          </a:xfrm>
          <a:prstGeom prst="rect">
            <a:avLst/>
          </a:prstGeom>
          <a:solidFill>
            <a:srgbClr val="2C6BC6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Material_PN</a:t>
            </a:r>
          </a:p>
        </xdr:txBody>
      </xdr:sp>
    </xdr:grpSp>
    <xdr:clientData/>
  </xdr:twoCellAnchor>
  <xdr:twoCellAnchor editAs="absolute">
    <xdr:from>
      <xdr:col>0</xdr:col>
      <xdr:colOff>49953</xdr:colOff>
      <xdr:row>0</xdr:row>
      <xdr:rowOff>409787</xdr:rowOff>
    </xdr:from>
    <xdr:to>
      <xdr:col>2</xdr:col>
      <xdr:colOff>834274</xdr:colOff>
      <xdr:row>8</xdr:row>
      <xdr:rowOff>37104</xdr:rowOff>
    </xdr:to>
    <xdr:grpSp>
      <xdr:nvGrpSpPr>
        <xdr:cNvPr id="47" name="Navigation_NEW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49953" y="409787"/>
          <a:ext cx="2528454" cy="2353584"/>
          <a:chOff x="3553691" y="523239"/>
          <a:chExt cx="2528454" cy="2347869"/>
        </a:xfrm>
      </xdr:grpSpPr>
      <xdr:sp macro="" textlink="">
        <xdr:nvSpPr>
          <xdr:cNvPr id="48" name="Rectangle 47" hidden="1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553691" y="523239"/>
            <a:ext cx="2528454" cy="234786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9" name="Rectangle 48" hidden="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3572427" y="537282"/>
            <a:ext cx="2495005" cy="568920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50" name="Rectangle 49" hidden="1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3572790" y="1120262"/>
            <a:ext cx="2494800" cy="56779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3579716" y="1700454"/>
            <a:ext cx="2484121" cy="567791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52" name="Rectangl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3584797" y="2280937"/>
            <a:ext cx="2484121" cy="567791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>
        <xdr:nvPicPr>
          <xdr:cNvPr id="53" name="Graphic 52" descr="Document with solid fill" hidden="1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561080" y="568960"/>
            <a:ext cx="513080" cy="513080"/>
          </a:xfrm>
          <a:prstGeom prst="rect">
            <a:avLst/>
          </a:prstGeom>
        </xdr:spPr>
      </xdr:pic>
      <xdr:pic>
        <xdr:nvPicPr>
          <xdr:cNvPr id="54" name="Graphic 53" descr="Document with solid fill" hidden="1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586480" y="1117600"/>
            <a:ext cx="513080" cy="513080"/>
          </a:xfrm>
          <a:prstGeom prst="rect">
            <a:avLst/>
          </a:prstGeom>
        </xdr:spPr>
      </xdr:pic>
      <xdr:pic>
        <xdr:nvPicPr>
          <xdr:cNvPr id="55" name="Graphic 54" descr="Document with solid fill" hidden="1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596640" y="1717040"/>
            <a:ext cx="513080" cy="513080"/>
          </a:xfrm>
          <a:prstGeom prst="rect">
            <a:avLst/>
          </a:prstGeom>
        </xdr:spPr>
      </xdr:pic>
      <xdr:pic>
        <xdr:nvPicPr>
          <xdr:cNvPr id="56" name="Graphic 55" descr="Document with solid fill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586480" y="2280920"/>
            <a:ext cx="513080" cy="513080"/>
          </a:xfrm>
          <a:prstGeom prst="rect">
            <a:avLst/>
          </a:prstGeom>
        </xdr:spPr>
      </xdr:pic>
      <xdr:sp macro="" textlink="">
        <xdr:nvSpPr>
          <xdr:cNvPr id="57" name="TextBox 56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4043680" y="629920"/>
            <a:ext cx="179324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BOM</a:t>
            </a:r>
            <a:r>
              <a:rPr lang="de-DE" sz="1400" baseline="0"/>
              <a:t> (Checking)</a:t>
            </a:r>
            <a:endParaRPr lang="de-DE" sz="1400"/>
          </a:p>
        </xdr:txBody>
      </xdr:sp>
      <xdr:sp macro="" textlink="">
        <xdr:nvSpPr>
          <xdr:cNvPr id="58" name="TextBox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4031210" y="1209039"/>
            <a:ext cx="1846349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Filtertool &amp; Count Tool</a:t>
            </a:r>
          </a:p>
        </xdr:txBody>
      </xdr:sp>
      <xdr:sp macro="" textlink="">
        <xdr:nvSpPr>
          <xdr:cNvPr id="59" name="TextBox 58" hidden="1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4031210" y="1813559"/>
            <a:ext cx="1846349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PLC Material Qty</a:t>
            </a:r>
          </a:p>
        </xdr:txBody>
      </xdr:sp>
      <xdr:sp macro="" textlink="">
        <xdr:nvSpPr>
          <xdr:cNvPr id="60" name="TextBox 59" hidden="1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4015970" y="2377439"/>
            <a:ext cx="1846349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PLC Material Cost</a:t>
            </a:r>
          </a:p>
        </xdr:txBody>
      </xdr:sp>
    </xdr:grpSp>
    <xdr:clientData/>
  </xdr:twoCellAnchor>
  <xdr:twoCellAnchor editAs="absolute">
    <xdr:from>
      <xdr:col>2</xdr:col>
      <xdr:colOff>830262</xdr:colOff>
      <xdr:row>3</xdr:row>
      <xdr:rowOff>245216</xdr:rowOff>
    </xdr:from>
    <xdr:to>
      <xdr:col>2</xdr:col>
      <xdr:colOff>2311159</xdr:colOff>
      <xdr:row>5</xdr:row>
      <xdr:rowOff>2645</xdr:rowOff>
    </xdr:to>
    <xdr:grpSp>
      <xdr:nvGrpSpPr>
        <xdr:cNvPr id="61" name="NavPLCQty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2574395" y="1591416"/>
          <a:ext cx="1480897" cy="578696"/>
          <a:chOff x="6658957" y="1698581"/>
          <a:chExt cx="1489364" cy="568959"/>
        </a:xfrm>
      </xdr:grpSpPr>
      <xdr:sp macro="" textlink="">
        <xdr:nvSpPr>
          <xdr:cNvPr id="62" name="Rectangle 61" hidden="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6658957" y="1698581"/>
            <a:ext cx="1489364" cy="56895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3" name="Rectangle 62" hidden="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6698674" y="1722120"/>
            <a:ext cx="1420090" cy="245225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Qty_Typicals</a:t>
            </a:r>
          </a:p>
        </xdr:txBody>
      </xdr:sp>
      <xdr:sp macro="" textlink="">
        <xdr:nvSpPr>
          <xdr:cNvPr id="64" name="Rectangle 63" hidden="1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6698675" y="1990898"/>
            <a:ext cx="1420090" cy="245225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Qty_all_Devices</a:t>
            </a:r>
          </a:p>
        </xdr:txBody>
      </xdr:sp>
    </xdr:grpSp>
    <xdr:clientData/>
  </xdr:twoCellAnchor>
  <xdr:twoCellAnchor editAs="absolute">
    <xdr:from>
      <xdr:col>2</xdr:col>
      <xdr:colOff>819680</xdr:colOff>
      <xdr:row>2</xdr:row>
      <xdr:rowOff>231563</xdr:rowOff>
    </xdr:from>
    <xdr:to>
      <xdr:col>2</xdr:col>
      <xdr:colOff>2295497</xdr:colOff>
      <xdr:row>4</xdr:row>
      <xdr:rowOff>32173</xdr:rowOff>
    </xdr:to>
    <xdr:grpSp>
      <xdr:nvGrpSpPr>
        <xdr:cNvPr id="65" name="NavFiltertool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2563813" y="1018963"/>
          <a:ext cx="1475817" cy="842010"/>
          <a:chOff x="6664037" y="1698581"/>
          <a:chExt cx="1484284" cy="833120"/>
        </a:xfrm>
      </xdr:grpSpPr>
      <xdr:sp macro="" textlink="">
        <xdr:nvSpPr>
          <xdr:cNvPr id="66" name="Rectangle 65" hidden="1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6664037" y="1698581"/>
            <a:ext cx="1484284" cy="83312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7" name="Rectangle 66" hidden="1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6698674" y="1722120"/>
            <a:ext cx="1420090" cy="245225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Extracted Data</a:t>
            </a:r>
          </a:p>
        </xdr:txBody>
      </xdr:sp>
      <xdr:sp macro="" textlink="">
        <xdr:nvSpPr>
          <xdr:cNvPr id="68" name="Rectangle 67" hidden="1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6698675" y="1990898"/>
            <a:ext cx="1420090" cy="245225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Count_Qty</a:t>
            </a:r>
          </a:p>
        </xdr:txBody>
      </xdr:sp>
      <xdr:sp macro="" textlink="">
        <xdr:nvSpPr>
          <xdr:cNvPr id="69" name="Rectangle 68" hidden="1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6698675" y="2256905"/>
            <a:ext cx="1419166" cy="245225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Filter Results</a:t>
            </a:r>
          </a:p>
        </xdr:txBody>
      </xdr:sp>
    </xdr:grp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4053840</xdr:colOff>
      <xdr:row>0</xdr:row>
      <xdr:rowOff>640080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604260" y="0"/>
          <a:ext cx="3977640" cy="640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rgbClr val="FF0000"/>
              </a:solidFill>
            </a:rPr>
            <a:t>Please fill</a:t>
          </a:r>
          <a:r>
            <a:rPr lang="de-DE" sz="1400" b="1" baseline="0">
              <a:solidFill>
                <a:srgbClr val="FF0000"/>
              </a:solidFill>
            </a:rPr>
            <a:t> the projectname in cell C3! and then press the green button to "Save as" the current file</a:t>
          </a:r>
          <a:endParaRPr lang="de-DE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579120</xdr:colOff>
      <xdr:row>0</xdr:row>
      <xdr:rowOff>0</xdr:rowOff>
    </xdr:from>
    <xdr:to>
      <xdr:col>0</xdr:col>
      <xdr:colOff>1027853</xdr:colOff>
      <xdr:row>0</xdr:row>
      <xdr:rowOff>448733</xdr:rowOff>
    </xdr:to>
    <xdr:pic macro="[0]!CloseAllWorkbooks">
      <xdr:nvPicPr>
        <xdr:cNvPr id="4" name="Graphic 3" descr="Close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9120" y="0"/>
          <a:ext cx="448733" cy="448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2118360</xdr:colOff>
          <xdr:row>0</xdr:row>
          <xdr:rowOff>45720</xdr:rowOff>
        </xdr:from>
        <xdr:to>
          <xdr:col>12</xdr:col>
          <xdr:colOff>22860</xdr:colOff>
          <xdr:row>0</xdr:row>
          <xdr:rowOff>472440</xdr:rowOff>
        </xdr:to>
        <xdr:sp macro="" textlink="">
          <xdr:nvSpPr>
            <xdr:cNvPr id="2160" name="Belt_cmd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99060</xdr:colOff>
          <xdr:row>0</xdr:row>
          <xdr:rowOff>60960</xdr:rowOff>
        </xdr:from>
        <xdr:to>
          <xdr:col>13</xdr:col>
          <xdr:colOff>38100</xdr:colOff>
          <xdr:row>0</xdr:row>
          <xdr:rowOff>487680</xdr:rowOff>
        </xdr:to>
        <xdr:sp macro="" textlink="">
          <xdr:nvSpPr>
            <xdr:cNvPr id="2161" name="Tray_cmd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</xdr:colOff>
      <xdr:row>0</xdr:row>
      <xdr:rowOff>42333</xdr:rowOff>
    </xdr:from>
    <xdr:ext cx="3403599" cy="897467"/>
    <xdr:sp macro="" textlink="">
      <xdr:nvSpPr>
        <xdr:cNvPr id="9" name="Inst_Mat_Belt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744134" y="42333"/>
          <a:ext cx="3403599" cy="8974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600" b="1">
              <a:solidFill>
                <a:srgbClr val="FF0000"/>
              </a:solidFill>
            </a:rPr>
            <a:t>1. click</a:t>
          </a:r>
          <a:r>
            <a:rPr lang="de-DE" sz="1600" b="1" baseline="0">
              <a:solidFill>
                <a:srgbClr val="FF0000"/>
              </a:solidFill>
            </a:rPr>
            <a:t> the green button to go to the final result (BCT_Belt)</a:t>
          </a:r>
          <a:endParaRPr lang="de-DE" sz="1600" b="1">
            <a:solidFill>
              <a:srgbClr val="FF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297180</xdr:colOff>
          <xdr:row>0</xdr:row>
          <xdr:rowOff>68580</xdr:rowOff>
        </xdr:from>
        <xdr:to>
          <xdr:col>11</xdr:col>
          <xdr:colOff>76200</xdr:colOff>
          <xdr:row>0</xdr:row>
          <xdr:rowOff>632460</xdr:rowOff>
        </xdr:to>
        <xdr:sp macro="" textlink="">
          <xdr:nvSpPr>
            <xdr:cNvPr id="20501" name="FinalResult_Belt_Cmd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01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2" name="Ham_MPN_Belt" descr="Hamburger Menu Icon with solid fil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1925484</xdr:colOff>
      <xdr:row>3</xdr:row>
      <xdr:rowOff>309632</xdr:rowOff>
    </xdr:to>
    <xdr:grpSp>
      <xdr:nvGrpSpPr>
        <xdr:cNvPr id="3" name="Navigation_NEW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43587" y="425853"/>
          <a:ext cx="3396372" cy="1655429"/>
          <a:chOff x="3972319" y="2842324"/>
          <a:chExt cx="3757747" cy="1635891"/>
        </a:xfrm>
      </xdr:grpSpPr>
      <xdr:sp macro="" textlink="">
        <xdr:nvSpPr>
          <xdr:cNvPr id="4" name="Rectangle 3" hidden="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7" name="Graphic 6" descr="Document with solid fill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3" name="TextBox 12" hidden="1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1959772</xdr:colOff>
      <xdr:row>0</xdr:row>
      <xdr:rowOff>451932</xdr:rowOff>
    </xdr:from>
    <xdr:to>
      <xdr:col>9</xdr:col>
      <xdr:colOff>1109284</xdr:colOff>
      <xdr:row>2</xdr:row>
      <xdr:rowOff>387168</xdr:rowOff>
    </xdr:to>
    <xdr:grpSp>
      <xdr:nvGrpSpPr>
        <xdr:cNvPr id="14" name="LLC4Files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3474247" y="451932"/>
          <a:ext cx="2683287" cy="1154436"/>
          <a:chOff x="7965546" y="3061383"/>
          <a:chExt cx="2661423" cy="1135479"/>
        </a:xfrm>
      </xdr:grpSpPr>
      <xdr:sp macro="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137160</xdr:colOff>
          <xdr:row>0</xdr:row>
          <xdr:rowOff>137160</xdr:rowOff>
        </xdr:from>
        <xdr:to>
          <xdr:col>10</xdr:col>
          <xdr:colOff>579120</xdr:colOff>
          <xdr:row>0</xdr:row>
          <xdr:rowOff>693420</xdr:rowOff>
        </xdr:to>
        <xdr:sp macro="" textlink="">
          <xdr:nvSpPr>
            <xdr:cNvPr id="21522" name="FinalResult_ICS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2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2" name="Ham_MPN_Belt" descr="Hamburger Menu Icon with solid fil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1449234</xdr:colOff>
      <xdr:row>4</xdr:row>
      <xdr:rowOff>23882</xdr:rowOff>
    </xdr:to>
    <xdr:grpSp>
      <xdr:nvGrpSpPr>
        <xdr:cNvPr id="3" name="Navigation_NEW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43587" y="425853"/>
          <a:ext cx="3396372" cy="1655429"/>
          <a:chOff x="3972319" y="2842324"/>
          <a:chExt cx="3757747" cy="1635891"/>
        </a:xfrm>
      </xdr:grpSpPr>
      <xdr:sp macro="" textlink="">
        <xdr:nvSpPr>
          <xdr:cNvPr id="4" name="Rectangle 3" hidden="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7" name="Graphic 6" descr="Document with solid fill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3" name="TextBox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1483522</xdr:colOff>
      <xdr:row>0</xdr:row>
      <xdr:rowOff>432882</xdr:rowOff>
    </xdr:from>
    <xdr:to>
      <xdr:col>9</xdr:col>
      <xdr:colOff>1195009</xdr:colOff>
      <xdr:row>3</xdr:row>
      <xdr:rowOff>6168</xdr:rowOff>
    </xdr:to>
    <xdr:grpSp>
      <xdr:nvGrpSpPr>
        <xdr:cNvPr id="14" name="LLC4Files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474247" y="432882"/>
          <a:ext cx="2683287" cy="1154436"/>
          <a:chOff x="7965546" y="3061383"/>
          <a:chExt cx="2661423" cy="1135479"/>
        </a:xfrm>
      </xdr:grpSpPr>
      <xdr:sp macro="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99060</xdr:colOff>
          <xdr:row>0</xdr:row>
          <xdr:rowOff>419100</xdr:rowOff>
        </xdr:from>
        <xdr:to>
          <xdr:col>13</xdr:col>
          <xdr:colOff>1196340</xdr:colOff>
          <xdr:row>0</xdr:row>
          <xdr:rowOff>960120</xdr:rowOff>
        </xdr:to>
        <xdr:sp macro="" textlink="">
          <xdr:nvSpPr>
            <xdr:cNvPr id="24592" name="cmd_goto_BCT_ICS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3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137160</xdr:colOff>
          <xdr:row>0</xdr:row>
          <xdr:rowOff>365760</xdr:rowOff>
        </xdr:from>
        <xdr:to>
          <xdr:col>13</xdr:col>
          <xdr:colOff>1470660</xdr:colOff>
          <xdr:row>0</xdr:row>
          <xdr:rowOff>922020</xdr:rowOff>
        </xdr:to>
        <xdr:sp macro="" textlink="">
          <xdr:nvSpPr>
            <xdr:cNvPr id="25613" name="SaveFileCost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4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3" name="Ham_MPN_Belt" descr="Hamburger Menu Icon with solid fil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4</xdr:col>
      <xdr:colOff>1434</xdr:colOff>
      <xdr:row>5</xdr:row>
      <xdr:rowOff>4832</xdr:rowOff>
    </xdr:to>
    <xdr:grpSp>
      <xdr:nvGrpSpPr>
        <xdr:cNvPr id="4" name="Navigation_NEW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3587" y="425853"/>
          <a:ext cx="3399547" cy="1649079"/>
          <a:chOff x="3972319" y="2842324"/>
          <a:chExt cx="3757747" cy="1635891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8" name="Graphic 7" descr="Document with solid fill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9" name="Graphic 8" descr="Document with solid fill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0" name="TextBox 9" hidden="1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1" name="TextBox 10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4</xdr:col>
      <xdr:colOff>188122</xdr:colOff>
      <xdr:row>0</xdr:row>
      <xdr:rowOff>604332</xdr:rowOff>
    </xdr:from>
    <xdr:to>
      <xdr:col>8</xdr:col>
      <xdr:colOff>137734</xdr:colOff>
      <xdr:row>3</xdr:row>
      <xdr:rowOff>44268</xdr:rowOff>
    </xdr:to>
    <xdr:grpSp>
      <xdr:nvGrpSpPr>
        <xdr:cNvPr id="12" name="LLC4Files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629822" y="604332"/>
          <a:ext cx="2680112" cy="1154436"/>
          <a:chOff x="7965546" y="3061383"/>
          <a:chExt cx="2661423" cy="1135479"/>
        </a:xfrm>
      </xdr:grpSpPr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0</xdr:row>
          <xdr:rowOff>68580</xdr:rowOff>
        </xdr:from>
        <xdr:to>
          <xdr:col>0</xdr:col>
          <xdr:colOff>1188720</xdr:colOff>
          <xdr:row>0</xdr:row>
          <xdr:rowOff>502920</xdr:rowOff>
        </xdr:to>
        <xdr:sp macro="" textlink="">
          <xdr:nvSpPr>
            <xdr:cNvPr id="11267" name="Calc_BT_CMD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14</xdr:col>
      <xdr:colOff>494000</xdr:colOff>
      <xdr:row>43</xdr:row>
      <xdr:rowOff>56238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952500"/>
          <a:ext cx="10400000" cy="7295238"/>
        </a:xfrm>
        <a:prstGeom prst="rect">
          <a:avLst/>
        </a:prstGeom>
      </xdr:spPr>
    </xdr:pic>
    <xdr:clientData/>
  </xdr:twoCellAnchor>
  <xdr:oneCellAnchor>
    <xdr:from>
      <xdr:col>2</xdr:col>
      <xdr:colOff>522871</xdr:colOff>
      <xdr:row>18</xdr:row>
      <xdr:rowOff>119550</xdr:rowOff>
    </xdr:from>
    <xdr:ext cx="6998281" cy="3097899"/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20398354">
          <a:off x="2046871" y="3548550"/>
          <a:ext cx="6998281" cy="309789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96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FFFF00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t.b. updated per project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pal-my.sharepoint.com/Siemens%20Logistics/_Offers/_ACP/Offers/Long%20Than/Comm.%20offer%20PC%20Group/03_BCT/396919_LTIA_BCT_v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"/>
      <sheetName val="1_INPUT"/>
      <sheetName val="1_INPUT_Hourly-Rates"/>
      <sheetName val="SKALK FY22"/>
      <sheetName val="2_MAT"/>
      <sheetName val="3_MANP"/>
      <sheetName val="4_SUM"/>
      <sheetName val="IN_01_ST"/>
      <sheetName val="IN_02_MS"/>
      <sheetName val="IN_03_DS"/>
      <sheetName val="IN_04_LLC-HW"/>
      <sheetName val="IN_05_LLC-SW"/>
      <sheetName val="IN_06_HLC"/>
      <sheetName val="IN_xO_OS"/>
      <sheetName val="IN_Lx_LOG"/>
      <sheetName val="IN_GS_SITE"/>
      <sheetName val="IN_xx_Options"/>
      <sheetName val="5_LoA"/>
      <sheetName val="6_CUST"/>
      <sheetName val="6.1_PriceSheet-VIN"/>
      <sheetName val="7_CF"/>
      <sheetName val="Global Cost Overview"/>
      <sheetName val="KPI Analysis"/>
      <sheetName val="Quote ID Analysis"/>
      <sheetName val="SAP-Hierarchy"/>
      <sheetName val="Calc_BankGuarantee"/>
      <sheetName val="Log"/>
      <sheetName val="_Sys_Lists"/>
      <sheetName val="_Sys_Lists-MPS"/>
      <sheetName val="_Sys_Mapping-MPS-WBS"/>
      <sheetName val="_Sys_Mapping-MPS-CU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9">
          <cell r="B9" t="str">
            <v>Subtotal - 1</v>
          </cell>
          <cell r="I9" t="str">
            <v>1. Belt Conveyor System - Panels, Field Devices, VFDs, Brackets</v>
          </cell>
        </row>
        <row r="10">
          <cell r="I10" t="str">
            <v>1.1 Control Panel (LP = Power and PLC Part)</v>
          </cell>
        </row>
        <row r="11">
          <cell r="B11" t="str">
            <v>Low Level Control HW</v>
          </cell>
          <cell r="C11">
            <v>0</v>
          </cell>
          <cell r="D11">
            <v>4</v>
          </cell>
          <cell r="E11" t="str">
            <v>CU</v>
          </cell>
          <cell r="F11" t="str">
            <v>B_</v>
          </cell>
          <cell r="G11" t="str">
            <v>CB</v>
          </cell>
          <cell r="H11" t="str">
            <v>04-CU-B_-CB</v>
          </cell>
          <cell r="I11" t="str">
            <v>LM 1500 Hybridschrank (LP + PM)</v>
          </cell>
          <cell r="Q11" t="str">
            <v>EXT</v>
          </cell>
          <cell r="R11" t="str">
            <v>Placeholder</v>
          </cell>
          <cell r="U11" t="str">
            <v>PC</v>
          </cell>
          <cell r="W11">
            <v>1</v>
          </cell>
          <cell r="X11" t="str">
            <v>USD</v>
          </cell>
          <cell r="Z11">
            <v>0</v>
          </cell>
          <cell r="AA11">
            <v>0</v>
          </cell>
          <cell r="AC11">
            <v>0</v>
          </cell>
          <cell r="AD11">
            <v>0</v>
          </cell>
          <cell r="AF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P11" t="str">
            <v>X</v>
          </cell>
          <cell r="AQ11" t="str">
            <v>CF.5</v>
          </cell>
        </row>
        <row r="12">
          <cell r="B12" t="str">
            <v>Low Level Control HW</v>
          </cell>
          <cell r="C12">
            <v>0</v>
          </cell>
          <cell r="D12">
            <v>4</v>
          </cell>
          <cell r="E12" t="str">
            <v>CU</v>
          </cell>
          <cell r="F12" t="str">
            <v>B_</v>
          </cell>
          <cell r="G12" t="str">
            <v>CB</v>
          </cell>
          <cell r="H12" t="str">
            <v>04-CU-B_-CB</v>
          </cell>
          <cell r="I12" t="str">
            <v>LP PLC Panel  (LP) S7-1517</v>
          </cell>
          <cell r="Q12" t="str">
            <v>EXT</v>
          </cell>
          <cell r="R12" t="str">
            <v>Placeholder</v>
          </cell>
          <cell r="U12" t="str">
            <v>PC</v>
          </cell>
          <cell r="W12">
            <v>1</v>
          </cell>
          <cell r="X12" t="str">
            <v>USD</v>
          </cell>
          <cell r="Z12">
            <v>0</v>
          </cell>
          <cell r="AA12">
            <v>0</v>
          </cell>
          <cell r="AC12">
            <v>0</v>
          </cell>
          <cell r="AD12">
            <v>0</v>
          </cell>
          <cell r="AF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P12" t="str">
            <v>X</v>
          </cell>
          <cell r="AQ12" t="str">
            <v>CF.5</v>
          </cell>
        </row>
        <row r="13">
          <cell r="B13" t="str">
            <v>Low Level Control HW</v>
          </cell>
          <cell r="C13">
            <v>0</v>
          </cell>
          <cell r="D13">
            <v>4</v>
          </cell>
          <cell r="E13" t="str">
            <v>CU</v>
          </cell>
          <cell r="F13" t="str">
            <v>B_</v>
          </cell>
          <cell r="G13" t="str">
            <v>CB</v>
          </cell>
          <cell r="H13" t="str">
            <v>04-CU-B_-CB</v>
          </cell>
          <cell r="I13" t="str">
            <v>LP PLC Panel  (LP) S7-1517H</v>
          </cell>
          <cell r="J13" t="str">
            <v>221024_LTIA_Ph1_Z-4-CA-002_PLC_Material_Costs_Long Than_Belt_2022-09-30.xlsx</v>
          </cell>
          <cell r="L13" t="str">
            <v>Offshore:
GER
(MAT)</v>
          </cell>
          <cell r="M13" t="str">
            <v>S. Zenk</v>
          </cell>
          <cell r="N13">
            <v>44859</v>
          </cell>
          <cell r="O13" t="str">
            <v>WKC-A28051_03_22</v>
          </cell>
          <cell r="P13" t="str">
            <v>Siemens WKC</v>
          </cell>
          <cell r="Q13" t="str">
            <v>OSE</v>
          </cell>
          <cell r="R13" t="str">
            <v>Binding Quote</v>
          </cell>
          <cell r="T13">
            <v>24</v>
          </cell>
          <cell r="U13" t="str">
            <v>PC</v>
          </cell>
          <cell r="V13">
            <v>29908</v>
          </cell>
          <cell r="W13">
            <v>2</v>
          </cell>
          <cell r="X13" t="str">
            <v>EUR</v>
          </cell>
          <cell r="Y13" t="str">
            <v>German MGK 1</v>
          </cell>
          <cell r="Z13">
            <v>0</v>
          </cell>
          <cell r="AA13">
            <v>0</v>
          </cell>
          <cell r="AC13">
            <v>717792</v>
          </cell>
          <cell r="AD13">
            <v>763371.7919999999</v>
          </cell>
          <cell r="AF13">
            <v>0</v>
          </cell>
          <cell r="AH13">
            <v>763371.7919999999</v>
          </cell>
          <cell r="AI13">
            <v>0.23709783177495308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1000615.5753575135</v>
          </cell>
          <cell r="AP13" t="str">
            <v>II</v>
          </cell>
          <cell r="AQ13" t="str">
            <v>CF.5</v>
          </cell>
        </row>
        <row r="14">
          <cell r="B14" t="str">
            <v/>
          </cell>
          <cell r="H14" t="str">
            <v>--</v>
          </cell>
          <cell r="Q14" t="str">
            <v>EXT</v>
          </cell>
          <cell r="R14" t="str">
            <v>Placeholder</v>
          </cell>
          <cell r="W14">
            <v>1</v>
          </cell>
          <cell r="X14" t="str">
            <v>USD</v>
          </cell>
          <cell r="Z14">
            <v>0</v>
          </cell>
          <cell r="AA14">
            <v>0</v>
          </cell>
          <cell r="AC14">
            <v>0</v>
          </cell>
          <cell r="AD14">
            <v>0</v>
          </cell>
          <cell r="AF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P14" t="str">
            <v>X</v>
          </cell>
          <cell r="AQ14" t="str">
            <v/>
          </cell>
        </row>
        <row r="15">
          <cell r="B15" t="str">
            <v/>
          </cell>
          <cell r="H15" t="str">
            <v>--</v>
          </cell>
          <cell r="Q15" t="str">
            <v>EXT</v>
          </cell>
          <cell r="R15" t="str">
            <v>Placeholder</v>
          </cell>
          <cell r="W15">
            <v>1</v>
          </cell>
          <cell r="X15" t="str">
            <v>USD</v>
          </cell>
          <cell r="Z15">
            <v>0</v>
          </cell>
          <cell r="AA15">
            <v>0</v>
          </cell>
          <cell r="AC15">
            <v>0</v>
          </cell>
          <cell r="AD15">
            <v>0</v>
          </cell>
          <cell r="AF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 t="str">
            <v>X</v>
          </cell>
          <cell r="AQ15" t="str">
            <v/>
          </cell>
        </row>
        <row r="16">
          <cell r="I16" t="str">
            <v>1.2 Field Panels (PM, PFC, …)</v>
          </cell>
        </row>
        <row r="17">
          <cell r="B17" t="str">
            <v>Low Level Control HW</v>
          </cell>
          <cell r="C17">
            <v>0</v>
          </cell>
          <cell r="D17">
            <v>4</v>
          </cell>
          <cell r="E17" t="str">
            <v>CU</v>
          </cell>
          <cell r="F17" t="str">
            <v>B_</v>
          </cell>
          <cell r="G17" t="str">
            <v>CC</v>
          </cell>
          <cell r="H17" t="str">
            <v>04-CU-B_-CC</v>
          </cell>
          <cell r="I17" t="str">
            <v>Field Control Panel (PM)</v>
          </cell>
          <cell r="J17" t="str">
            <v>221024_LTIA_Ph1_Z-4-CA-002_PLC_Material_Costs_Long Than_Belt_2022-09-30.xlsx</v>
          </cell>
          <cell r="L17" t="str">
            <v>Offshore:
GER
(MAT)</v>
          </cell>
          <cell r="M17" t="str">
            <v>S. Zenk</v>
          </cell>
          <cell r="N17">
            <v>44859</v>
          </cell>
          <cell r="O17" t="str">
            <v>WKC-A28051_03_22</v>
          </cell>
          <cell r="P17" t="str">
            <v>Siemens WKC</v>
          </cell>
          <cell r="Q17" t="str">
            <v>OSE</v>
          </cell>
          <cell r="R17" t="str">
            <v>Binding Quote</v>
          </cell>
          <cell r="T17">
            <v>116</v>
          </cell>
          <cell r="U17" t="str">
            <v>PC</v>
          </cell>
          <cell r="V17">
            <v>6460</v>
          </cell>
          <cell r="W17">
            <v>2</v>
          </cell>
          <cell r="X17" t="str">
            <v>EUR</v>
          </cell>
          <cell r="Y17" t="str">
            <v>German MGK 1</v>
          </cell>
          <cell r="Z17">
            <v>0</v>
          </cell>
          <cell r="AA17">
            <v>0</v>
          </cell>
          <cell r="AC17">
            <v>749360</v>
          </cell>
          <cell r="AD17">
            <v>796944.35999999987</v>
          </cell>
          <cell r="AF17">
            <v>0</v>
          </cell>
          <cell r="AH17">
            <v>796944.35999999987</v>
          </cell>
          <cell r="AI17">
            <v>0.23709783177495308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1044621.9622814218</v>
          </cell>
          <cell r="AP17" t="str">
            <v>II</v>
          </cell>
          <cell r="AQ17" t="str">
            <v>CF.5</v>
          </cell>
        </row>
        <row r="18">
          <cell r="B18" t="str">
            <v>Low Level Control HW</v>
          </cell>
          <cell r="C18">
            <v>0</v>
          </cell>
          <cell r="D18">
            <v>4</v>
          </cell>
          <cell r="E18" t="str">
            <v>CC</v>
          </cell>
          <cell r="F18" t="str">
            <v>B_</v>
          </cell>
          <cell r="G18" t="str">
            <v>CE</v>
          </cell>
          <cell r="H18" t="str">
            <v>04-CC-B_-CE</v>
          </cell>
          <cell r="I18" t="str">
            <v>I/O Box IOB (FB)</v>
          </cell>
          <cell r="Q18" t="str">
            <v>EXT</v>
          </cell>
          <cell r="R18" t="str">
            <v>Placeholder</v>
          </cell>
          <cell r="U18" t="str">
            <v>PC</v>
          </cell>
          <cell r="W18">
            <v>1</v>
          </cell>
          <cell r="X18" t="str">
            <v>USD</v>
          </cell>
          <cell r="Z18">
            <v>0</v>
          </cell>
          <cell r="AA18">
            <v>0</v>
          </cell>
          <cell r="AC18">
            <v>0</v>
          </cell>
          <cell r="AD18">
            <v>0</v>
          </cell>
          <cell r="AF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 t="str">
            <v>X</v>
          </cell>
          <cell r="AQ18" t="str">
            <v>CF.5</v>
          </cell>
        </row>
        <row r="19">
          <cell r="B19" t="str">
            <v/>
          </cell>
          <cell r="H19" t="str">
            <v>--</v>
          </cell>
          <cell r="Q19" t="str">
            <v>EXT</v>
          </cell>
          <cell r="R19" t="str">
            <v>Placeholder</v>
          </cell>
          <cell r="W19">
            <v>1</v>
          </cell>
          <cell r="X19" t="str">
            <v>USD</v>
          </cell>
          <cell r="Z19">
            <v>0</v>
          </cell>
          <cell r="AA19">
            <v>0</v>
          </cell>
          <cell r="AC19">
            <v>0</v>
          </cell>
          <cell r="AD19">
            <v>0</v>
          </cell>
          <cell r="AF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P19" t="str">
            <v>X</v>
          </cell>
          <cell r="AQ19" t="str">
            <v/>
          </cell>
        </row>
        <row r="20">
          <cell r="B20" t="str">
            <v/>
          </cell>
          <cell r="H20" t="str">
            <v>--</v>
          </cell>
          <cell r="Q20" t="str">
            <v>EXT</v>
          </cell>
          <cell r="R20" t="str">
            <v>Placeholder</v>
          </cell>
          <cell r="W20">
            <v>1</v>
          </cell>
          <cell r="X20" t="str">
            <v>USD</v>
          </cell>
          <cell r="Z20">
            <v>0</v>
          </cell>
          <cell r="AA20">
            <v>0</v>
          </cell>
          <cell r="AC20">
            <v>0</v>
          </cell>
          <cell r="AD20">
            <v>0</v>
          </cell>
          <cell r="AF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 t="str">
            <v>X</v>
          </cell>
          <cell r="AQ20" t="str">
            <v/>
          </cell>
        </row>
        <row r="21">
          <cell r="I21" t="str">
            <v>1.3 Smart Units</v>
          </cell>
        </row>
        <row r="22">
          <cell r="B22" t="str">
            <v>Low Level Control HW</v>
          </cell>
          <cell r="C22">
            <v>0</v>
          </cell>
          <cell r="D22">
            <v>4</v>
          </cell>
          <cell r="E22" t="str">
            <v>CV</v>
          </cell>
          <cell r="F22" t="str">
            <v>B7</v>
          </cell>
          <cell r="G22" t="str">
            <v>01</v>
          </cell>
          <cell r="H22" t="str">
            <v>04-CV-B7-01</v>
          </cell>
          <cell r="I22" t="str">
            <v>Smart Units: S-, C- Lift (Panel, Field Devices, …)</v>
          </cell>
          <cell r="Q22" t="str">
            <v>EXT</v>
          </cell>
          <cell r="R22" t="str">
            <v>Placeholder</v>
          </cell>
          <cell r="U22" t="str">
            <v>PC</v>
          </cell>
          <cell r="W22">
            <v>1</v>
          </cell>
          <cell r="X22" t="str">
            <v>USD</v>
          </cell>
          <cell r="Z22">
            <v>0</v>
          </cell>
          <cell r="AA22">
            <v>0</v>
          </cell>
          <cell r="AC22">
            <v>0</v>
          </cell>
          <cell r="AD22">
            <v>0</v>
          </cell>
          <cell r="AF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 t="str">
            <v>X</v>
          </cell>
          <cell r="AQ22" t="str">
            <v>CF.5</v>
          </cell>
        </row>
        <row r="23">
          <cell r="B23" t="str">
            <v>Low Level Control HW</v>
          </cell>
          <cell r="C23">
            <v>0</v>
          </cell>
          <cell r="D23">
            <v>4</v>
          </cell>
          <cell r="E23" t="str">
            <v>CV</v>
          </cell>
          <cell r="F23" t="str">
            <v>B7</v>
          </cell>
          <cell r="G23" t="str">
            <v>02</v>
          </cell>
          <cell r="H23" t="str">
            <v>04-CV-B7-02</v>
          </cell>
          <cell r="I23" t="str">
            <v xml:space="preserve">Smart Units: R-Lift (Panel, Field Devices, …) </v>
          </cell>
          <cell r="J23" t="str">
            <v>221024_LTIA_Ph1_Z-4-CA-002_PLC_Material_Costs_Long Than_Belt_2022-09-30.xlsx</v>
          </cell>
          <cell r="L23" t="str">
            <v>Offshore:
GER
(MAT)</v>
          </cell>
          <cell r="M23" t="str">
            <v>S. Zenk</v>
          </cell>
          <cell r="N23">
            <v>44859</v>
          </cell>
          <cell r="O23" t="str">
            <v>WKC-A28051_03_22</v>
          </cell>
          <cell r="P23" t="str">
            <v>Siemens WKC</v>
          </cell>
          <cell r="Q23" t="str">
            <v>OSE</v>
          </cell>
          <cell r="R23" t="str">
            <v>Binding Quote</v>
          </cell>
          <cell r="T23">
            <v>2</v>
          </cell>
          <cell r="U23" t="str">
            <v>PC</v>
          </cell>
          <cell r="V23">
            <v>11267</v>
          </cell>
          <cell r="W23">
            <v>2</v>
          </cell>
          <cell r="X23" t="str">
            <v>EUR</v>
          </cell>
          <cell r="Y23" t="str">
            <v>German MGK 1</v>
          </cell>
          <cell r="Z23">
            <v>0</v>
          </cell>
          <cell r="AA23">
            <v>0</v>
          </cell>
          <cell r="AC23">
            <v>22534</v>
          </cell>
          <cell r="AD23">
            <v>23964.908999999996</v>
          </cell>
          <cell r="AF23">
            <v>0</v>
          </cell>
          <cell r="AH23">
            <v>23964.908999999996</v>
          </cell>
          <cell r="AI23">
            <v>0.23709783177495308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31412.820671038695</v>
          </cell>
          <cell r="AP23" t="str">
            <v>II</v>
          </cell>
          <cell r="AQ23" t="str">
            <v>CF.5</v>
          </cell>
        </row>
        <row r="24">
          <cell r="B24" t="str">
            <v>Low Level Control HW</v>
          </cell>
          <cell r="C24">
            <v>0</v>
          </cell>
          <cell r="D24">
            <v>4</v>
          </cell>
          <cell r="E24" t="str">
            <v>CV</v>
          </cell>
          <cell r="F24" t="str">
            <v>B7</v>
          </cell>
          <cell r="G24" t="str">
            <v>06</v>
          </cell>
          <cell r="H24" t="str">
            <v>04-CV-B7-06</v>
          </cell>
          <cell r="I24" t="str">
            <v xml:space="preserve">Smart Units: Lift (Panel, Field Devices, …) </v>
          </cell>
          <cell r="Q24" t="str">
            <v>EXT</v>
          </cell>
          <cell r="R24" t="str">
            <v>Placeholder</v>
          </cell>
          <cell r="U24" t="str">
            <v>PC</v>
          </cell>
          <cell r="W24">
            <v>1</v>
          </cell>
          <cell r="X24" t="str">
            <v>USD</v>
          </cell>
          <cell r="Z24">
            <v>0</v>
          </cell>
          <cell r="AA24">
            <v>0</v>
          </cell>
          <cell r="AC24">
            <v>0</v>
          </cell>
          <cell r="AD24">
            <v>0</v>
          </cell>
          <cell r="AF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 t="str">
            <v>X</v>
          </cell>
          <cell r="AQ24" t="str">
            <v>CF.5</v>
          </cell>
        </row>
        <row r="25">
          <cell r="B25" t="str">
            <v>Low Level Control HW</v>
          </cell>
          <cell r="C25">
            <v>0</v>
          </cell>
          <cell r="D25">
            <v>4</v>
          </cell>
          <cell r="E25" t="str">
            <v>CV</v>
          </cell>
          <cell r="F25" t="str">
            <v>BD</v>
          </cell>
          <cell r="G25" t="str">
            <v>V1</v>
          </cell>
          <cell r="H25" t="str">
            <v>04-CV-BD-V1</v>
          </cell>
          <cell r="I25" t="str">
            <v>Smart Units: VSU/VDU (Panel, Field Devices, …)</v>
          </cell>
          <cell r="J25" t="str">
            <v>221024_LTIA_Ph1_Z-4-CA-002_PLC_Material_Costs_Long Than_Belt_2022-09-30.xlsx</v>
          </cell>
          <cell r="L25" t="str">
            <v>Offshore:
GER
(MAT)</v>
          </cell>
          <cell r="M25" t="str">
            <v>S. Zenk</v>
          </cell>
          <cell r="N25">
            <v>44859</v>
          </cell>
          <cell r="O25" t="str">
            <v>WKC-A28051_03_22</v>
          </cell>
          <cell r="P25" t="str">
            <v>Siemens WKC</v>
          </cell>
          <cell r="Q25" t="str">
            <v>OSE</v>
          </cell>
          <cell r="R25" t="str">
            <v>Binding Quote</v>
          </cell>
          <cell r="T25">
            <v>4</v>
          </cell>
          <cell r="U25" t="str">
            <v>PC</v>
          </cell>
          <cell r="V25">
            <v>6383</v>
          </cell>
          <cell r="W25">
            <v>2</v>
          </cell>
          <cell r="X25" t="str">
            <v>EUR</v>
          </cell>
          <cell r="Y25" t="str">
            <v>German MGK 1</v>
          </cell>
          <cell r="Z25">
            <v>0</v>
          </cell>
          <cell r="AA25">
            <v>0</v>
          </cell>
          <cell r="AC25">
            <v>25532</v>
          </cell>
          <cell r="AD25">
            <v>27153.281999999996</v>
          </cell>
          <cell r="AF25">
            <v>0</v>
          </cell>
          <cell r="AH25">
            <v>27153.281999999996</v>
          </cell>
          <cell r="AI25">
            <v>0.23709783177495308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35592.089170718027</v>
          </cell>
          <cell r="AP25" t="str">
            <v>II</v>
          </cell>
          <cell r="AQ25" t="str">
            <v>CF.5</v>
          </cell>
        </row>
        <row r="26">
          <cell r="B26" t="str">
            <v>Low Level Control HW</v>
          </cell>
          <cell r="C26">
            <v>0</v>
          </cell>
          <cell r="D26">
            <v>4</v>
          </cell>
          <cell r="E26" t="str">
            <v>CV</v>
          </cell>
          <cell r="F26" t="str">
            <v>BD</v>
          </cell>
          <cell r="G26" t="str">
            <v>H1</v>
          </cell>
          <cell r="H26" t="str">
            <v>04-CV-BD-H1</v>
          </cell>
          <cell r="I26" t="str">
            <v>Smart Units: HSD (Interface only!)</v>
          </cell>
          <cell r="J26" t="str">
            <v>221024_LTIA_Ph1_Z-4-CA-002_PLC_Material_Costs_Long Than_Belt_2022-09-30.xlsx</v>
          </cell>
          <cell r="L26" t="str">
            <v>Offshore:
GER
(MAT)</v>
          </cell>
          <cell r="M26" t="str">
            <v>S. Zenk</v>
          </cell>
          <cell r="N26">
            <v>44859</v>
          </cell>
          <cell r="Q26" t="str">
            <v>EXT</v>
          </cell>
          <cell r="R26" t="str">
            <v>Binding Quote</v>
          </cell>
          <cell r="T26">
            <v>50</v>
          </cell>
          <cell r="U26" t="str">
            <v>PC</v>
          </cell>
          <cell r="V26">
            <v>1000</v>
          </cell>
          <cell r="W26">
            <v>2</v>
          </cell>
          <cell r="X26" t="str">
            <v>EUR</v>
          </cell>
          <cell r="Y26" t="str">
            <v>German MGK 1</v>
          </cell>
          <cell r="Z26">
            <v>0</v>
          </cell>
          <cell r="AA26">
            <v>0</v>
          </cell>
          <cell r="AC26">
            <v>50000</v>
          </cell>
          <cell r="AD26">
            <v>53174.999999999993</v>
          </cell>
          <cell r="AF26">
            <v>0</v>
          </cell>
          <cell r="AH26">
            <v>53174.999999999993</v>
          </cell>
          <cell r="AI26">
            <v>0.23709783177495308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69700.942289515166</v>
          </cell>
          <cell r="AP26" t="str">
            <v>II</v>
          </cell>
          <cell r="AQ26" t="str">
            <v>CF.5</v>
          </cell>
        </row>
        <row r="27">
          <cell r="B27" t="str">
            <v/>
          </cell>
          <cell r="H27" t="str">
            <v>--</v>
          </cell>
          <cell r="Q27" t="str">
            <v>EXT</v>
          </cell>
          <cell r="R27" t="str">
            <v>Placeholder</v>
          </cell>
          <cell r="W27">
            <v>1</v>
          </cell>
          <cell r="X27" t="str">
            <v>USD</v>
          </cell>
          <cell r="Z27">
            <v>0</v>
          </cell>
          <cell r="AA27">
            <v>0</v>
          </cell>
          <cell r="AC27">
            <v>0</v>
          </cell>
          <cell r="AD27">
            <v>0</v>
          </cell>
          <cell r="AF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 t="str">
            <v>X</v>
          </cell>
          <cell r="AQ27" t="str">
            <v/>
          </cell>
        </row>
        <row r="28">
          <cell r="B28" t="str">
            <v/>
          </cell>
          <cell r="H28" t="str">
            <v>--</v>
          </cell>
          <cell r="Q28" t="str">
            <v>EXT</v>
          </cell>
          <cell r="R28" t="str">
            <v>Placeholder</v>
          </cell>
          <cell r="W28">
            <v>1</v>
          </cell>
          <cell r="X28" t="str">
            <v>USD</v>
          </cell>
          <cell r="Z28">
            <v>0</v>
          </cell>
          <cell r="AA28">
            <v>0</v>
          </cell>
          <cell r="AC28">
            <v>0</v>
          </cell>
          <cell r="AD28">
            <v>0</v>
          </cell>
          <cell r="AF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 t="str">
            <v>X</v>
          </cell>
          <cell r="AQ28" t="str">
            <v/>
          </cell>
        </row>
        <row r="29">
          <cell r="I29" t="str">
            <v>1.4 Drive Control</v>
          </cell>
        </row>
        <row r="30">
          <cell r="B30" t="str">
            <v>Low Level Control HW</v>
          </cell>
          <cell r="C30">
            <v>0</v>
          </cell>
          <cell r="D30">
            <v>4</v>
          </cell>
          <cell r="E30" t="str">
            <v>CC</v>
          </cell>
          <cell r="F30" t="str">
            <v>B_</v>
          </cell>
          <cell r="G30" t="str">
            <v>QA</v>
          </cell>
          <cell r="H30" t="str">
            <v>04-CC-B_-QA</v>
          </cell>
          <cell r="I30" t="str">
            <v>VFD: G110D 0,75kW</v>
          </cell>
          <cell r="Q30" t="str">
            <v>EXT</v>
          </cell>
          <cell r="R30" t="str">
            <v>Placeholder</v>
          </cell>
          <cell r="U30" t="str">
            <v>PC</v>
          </cell>
          <cell r="W30">
            <v>1</v>
          </cell>
          <cell r="X30" t="str">
            <v>USD</v>
          </cell>
          <cell r="Z30">
            <v>0</v>
          </cell>
          <cell r="AA30">
            <v>0</v>
          </cell>
          <cell r="AC30">
            <v>0</v>
          </cell>
          <cell r="AD30">
            <v>0</v>
          </cell>
          <cell r="AF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 t="str">
            <v>X</v>
          </cell>
          <cell r="AQ30" t="str">
            <v>CF.5</v>
          </cell>
        </row>
        <row r="31">
          <cell r="B31" t="str">
            <v>Low Level Control HW</v>
          </cell>
          <cell r="C31">
            <v>0</v>
          </cell>
          <cell r="D31">
            <v>4</v>
          </cell>
          <cell r="E31" t="str">
            <v>CC</v>
          </cell>
          <cell r="F31" t="str">
            <v>B_</v>
          </cell>
          <cell r="G31" t="str">
            <v>QA</v>
          </cell>
          <cell r="H31" t="str">
            <v>04-CC-B_-QA</v>
          </cell>
          <cell r="I31" t="str">
            <v>VFD: G110D 1,5kW</v>
          </cell>
          <cell r="Q31" t="str">
            <v>EXT</v>
          </cell>
          <cell r="R31" t="str">
            <v>Placeholder</v>
          </cell>
          <cell r="U31" t="str">
            <v>PC</v>
          </cell>
          <cell r="W31">
            <v>1</v>
          </cell>
          <cell r="X31" t="str">
            <v>USD</v>
          </cell>
          <cell r="Z31">
            <v>0</v>
          </cell>
          <cell r="AA31">
            <v>0</v>
          </cell>
          <cell r="AC31">
            <v>0</v>
          </cell>
          <cell r="AD31">
            <v>0</v>
          </cell>
          <cell r="AF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 t="str">
            <v>X</v>
          </cell>
          <cell r="AQ31" t="str">
            <v>CF.5</v>
          </cell>
        </row>
        <row r="32">
          <cell r="B32" t="str">
            <v>Low Level Control HW</v>
          </cell>
          <cell r="C32">
            <v>0</v>
          </cell>
          <cell r="D32">
            <v>4</v>
          </cell>
          <cell r="E32" t="str">
            <v>CC</v>
          </cell>
          <cell r="F32" t="str">
            <v>B_</v>
          </cell>
          <cell r="G32" t="str">
            <v>QA</v>
          </cell>
          <cell r="H32" t="str">
            <v>04-CC-B_-QA</v>
          </cell>
          <cell r="I32" t="str">
            <v>VFD: G110D 3kW</v>
          </cell>
          <cell r="Q32" t="str">
            <v>EXT</v>
          </cell>
          <cell r="R32" t="str">
            <v>Placeholder</v>
          </cell>
          <cell r="U32" t="str">
            <v>PC</v>
          </cell>
          <cell r="W32">
            <v>1</v>
          </cell>
          <cell r="X32" t="str">
            <v>USD</v>
          </cell>
          <cell r="Z32">
            <v>0</v>
          </cell>
          <cell r="AA32">
            <v>0</v>
          </cell>
          <cell r="AC32">
            <v>0</v>
          </cell>
          <cell r="AD32">
            <v>0</v>
          </cell>
          <cell r="AF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P32" t="str">
            <v>X</v>
          </cell>
          <cell r="AQ32" t="str">
            <v>CF.5</v>
          </cell>
        </row>
        <row r="33">
          <cell r="B33" t="str">
            <v>Low Level Control HW</v>
          </cell>
          <cell r="C33">
            <v>0</v>
          </cell>
          <cell r="D33">
            <v>4</v>
          </cell>
          <cell r="E33" t="str">
            <v>CC</v>
          </cell>
          <cell r="F33" t="str">
            <v>B_</v>
          </cell>
          <cell r="G33" t="str">
            <v>QA</v>
          </cell>
          <cell r="H33" t="str">
            <v>04-CC-B_-QA</v>
          </cell>
          <cell r="I33" t="str">
            <v>VFD: G110D 4kW</v>
          </cell>
          <cell r="Q33" t="str">
            <v>EXT</v>
          </cell>
          <cell r="R33" t="str">
            <v>Placeholder</v>
          </cell>
          <cell r="U33" t="str">
            <v>PC</v>
          </cell>
          <cell r="W33">
            <v>1</v>
          </cell>
          <cell r="X33" t="str">
            <v>USD</v>
          </cell>
          <cell r="Z33">
            <v>0</v>
          </cell>
          <cell r="AA33">
            <v>0</v>
          </cell>
          <cell r="AC33">
            <v>0</v>
          </cell>
          <cell r="AD33">
            <v>0</v>
          </cell>
          <cell r="AF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P33" t="str">
            <v>X</v>
          </cell>
          <cell r="AQ33" t="str">
            <v>CF.5</v>
          </cell>
        </row>
        <row r="34">
          <cell r="B34" t="str">
            <v>Low Level Control HW</v>
          </cell>
          <cell r="C34">
            <v>0</v>
          </cell>
          <cell r="D34">
            <v>4</v>
          </cell>
          <cell r="E34" t="str">
            <v>CC</v>
          </cell>
          <cell r="F34" t="str">
            <v>B_</v>
          </cell>
          <cell r="G34" t="str">
            <v>QA</v>
          </cell>
          <cell r="H34" t="str">
            <v>04-CC-B_-QA</v>
          </cell>
          <cell r="I34" t="str">
            <v>VFD: G110D 5,5kW</v>
          </cell>
          <cell r="Q34" t="str">
            <v>EXT</v>
          </cell>
          <cell r="R34" t="str">
            <v>Placeholder</v>
          </cell>
          <cell r="U34" t="str">
            <v>PC</v>
          </cell>
          <cell r="W34">
            <v>1</v>
          </cell>
          <cell r="X34" t="str">
            <v>USD</v>
          </cell>
          <cell r="Z34">
            <v>0</v>
          </cell>
          <cell r="AA34">
            <v>0</v>
          </cell>
          <cell r="AC34">
            <v>0</v>
          </cell>
          <cell r="AD34">
            <v>0</v>
          </cell>
          <cell r="AF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P34" t="str">
            <v>X</v>
          </cell>
          <cell r="AQ34" t="str">
            <v>CF.5</v>
          </cell>
        </row>
        <row r="35">
          <cell r="B35" t="str">
            <v>Low Level Control HW</v>
          </cell>
          <cell r="C35">
            <v>0</v>
          </cell>
          <cell r="D35">
            <v>4</v>
          </cell>
          <cell r="E35" t="str">
            <v>CC</v>
          </cell>
          <cell r="F35" t="str">
            <v>B_</v>
          </cell>
          <cell r="G35" t="str">
            <v>QA</v>
          </cell>
          <cell r="H35" t="str">
            <v>04-CC-B_-QA</v>
          </cell>
          <cell r="I35" t="str">
            <v>VFD: G110D 7,5kW</v>
          </cell>
          <cell r="Q35" t="str">
            <v>EXT</v>
          </cell>
          <cell r="R35" t="str">
            <v>Placeholder</v>
          </cell>
          <cell r="U35" t="str">
            <v>PC</v>
          </cell>
          <cell r="W35">
            <v>1</v>
          </cell>
          <cell r="X35" t="str">
            <v>USD</v>
          </cell>
          <cell r="Z35">
            <v>0</v>
          </cell>
          <cell r="AA35">
            <v>0</v>
          </cell>
          <cell r="AC35">
            <v>0</v>
          </cell>
          <cell r="AD35">
            <v>0</v>
          </cell>
          <cell r="AF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P35" t="str">
            <v>X</v>
          </cell>
          <cell r="AQ35" t="str">
            <v>CF.5</v>
          </cell>
        </row>
        <row r="36">
          <cell r="B36" t="str">
            <v>Low Level Control HW</v>
          </cell>
          <cell r="C36">
            <v>0</v>
          </cell>
          <cell r="D36">
            <v>4</v>
          </cell>
          <cell r="E36" t="str">
            <v>CC</v>
          </cell>
          <cell r="F36" t="str">
            <v>B_</v>
          </cell>
          <cell r="G36" t="str">
            <v>QA</v>
          </cell>
          <cell r="H36" t="str">
            <v>04-CC-B_-QA</v>
          </cell>
          <cell r="I36" t="str">
            <v>VFD: G115D WM FSA PN CON 0,75kW</v>
          </cell>
          <cell r="J36" t="str">
            <v>221024_LTIA_Ph1_Z-4-CA-002_PLC_Material_Costs_Long Than_Belt_2022-09-30.xlsx</v>
          </cell>
          <cell r="L36" t="str">
            <v>Offshore:
GER
(MAT)</v>
          </cell>
          <cell r="M36" t="str">
            <v>S. Zenk</v>
          </cell>
          <cell r="N36">
            <v>44859</v>
          </cell>
          <cell r="P36" t="str">
            <v>Siemens</v>
          </cell>
          <cell r="Q36" t="str">
            <v>OSE</v>
          </cell>
          <cell r="R36" t="str">
            <v>Binding Quote</v>
          </cell>
          <cell r="T36">
            <v>690</v>
          </cell>
          <cell r="U36" t="str">
            <v>PC</v>
          </cell>
          <cell r="V36">
            <v>521.95000000000005</v>
          </cell>
          <cell r="W36">
            <v>2</v>
          </cell>
          <cell r="X36" t="str">
            <v>EUR</v>
          </cell>
          <cell r="Y36" t="str">
            <v>German MGK 1</v>
          </cell>
          <cell r="Z36">
            <v>0</v>
          </cell>
          <cell r="AA36">
            <v>0</v>
          </cell>
          <cell r="AC36">
            <v>360145.50000000006</v>
          </cell>
          <cell r="AD36">
            <v>383014.73925000004</v>
          </cell>
          <cell r="AF36">
            <v>0</v>
          </cell>
          <cell r="AH36">
            <v>383014.73925000004</v>
          </cell>
          <cell r="AI36">
            <v>0.23709783177495308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502049.61422657181</v>
          </cell>
          <cell r="AP36" t="str">
            <v>II</v>
          </cell>
          <cell r="AQ36" t="str">
            <v>CF.5</v>
          </cell>
        </row>
        <row r="37">
          <cell r="B37" t="str">
            <v>Low Level Control HW</v>
          </cell>
          <cell r="C37">
            <v>0</v>
          </cell>
          <cell r="D37">
            <v>4</v>
          </cell>
          <cell r="E37" t="str">
            <v>CC</v>
          </cell>
          <cell r="F37" t="str">
            <v>B_</v>
          </cell>
          <cell r="G37" t="str">
            <v>QA</v>
          </cell>
          <cell r="H37" t="str">
            <v>04-CC-B_-QA</v>
          </cell>
          <cell r="I37" t="str">
            <v>VFD: G115D WM FSA PN CON 1,1kW</v>
          </cell>
          <cell r="J37" t="str">
            <v>221024_LTIA_Ph1_Z-4-CA-002_PLC_Material_Costs_Long Than_Belt_2022-09-30.xlsx</v>
          </cell>
          <cell r="L37" t="str">
            <v>Offshore:
GER
(MAT)</v>
          </cell>
          <cell r="M37" t="str">
            <v>S. Zenk</v>
          </cell>
          <cell r="N37">
            <v>44859</v>
          </cell>
          <cell r="P37" t="str">
            <v>Siemens</v>
          </cell>
          <cell r="Q37" t="str">
            <v>OSE</v>
          </cell>
          <cell r="R37" t="str">
            <v>Binding Quote</v>
          </cell>
          <cell r="T37">
            <v>1026</v>
          </cell>
          <cell r="U37" t="str">
            <v>PC</v>
          </cell>
          <cell r="V37">
            <v>552.54999999999995</v>
          </cell>
          <cell r="W37">
            <v>2</v>
          </cell>
          <cell r="X37" t="str">
            <v>EUR</v>
          </cell>
          <cell r="Y37" t="str">
            <v>German MGK 1</v>
          </cell>
          <cell r="Z37">
            <v>0</v>
          </cell>
          <cell r="AA37">
            <v>0</v>
          </cell>
          <cell r="AC37">
            <v>566916.29999999993</v>
          </cell>
          <cell r="AD37">
            <v>602915.4850499999</v>
          </cell>
          <cell r="AF37">
            <v>0</v>
          </cell>
          <cell r="AH37">
            <v>602915.4850499999</v>
          </cell>
          <cell r="AI37">
            <v>0.23709783177495308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790292.00618570938</v>
          </cell>
          <cell r="AP37" t="str">
            <v>II</v>
          </cell>
          <cell r="AQ37" t="str">
            <v>CF.5</v>
          </cell>
        </row>
        <row r="38">
          <cell r="B38" t="str">
            <v>Low Level Control HW</v>
          </cell>
          <cell r="C38">
            <v>0</v>
          </cell>
          <cell r="D38">
            <v>4</v>
          </cell>
          <cell r="E38" t="str">
            <v>CC</v>
          </cell>
          <cell r="F38" t="str">
            <v>B_</v>
          </cell>
          <cell r="G38" t="str">
            <v>QA</v>
          </cell>
          <cell r="H38" t="str">
            <v>04-CC-B_-QA</v>
          </cell>
          <cell r="I38" t="str">
            <v>VFD: G115D WM FSA PN CON 1,5kW</v>
          </cell>
          <cell r="J38" t="str">
            <v>221024_LTIA_Ph1_Z-4-CA-002_PLC_Material_Costs_Long Than_Belt_2022-09-30.xlsx</v>
          </cell>
          <cell r="L38" t="str">
            <v>Offshore:
GER
(MAT)</v>
          </cell>
          <cell r="M38" t="str">
            <v>S. Zenk</v>
          </cell>
          <cell r="N38">
            <v>44859</v>
          </cell>
          <cell r="P38" t="str">
            <v>Siemens</v>
          </cell>
          <cell r="Q38" t="str">
            <v>OSE</v>
          </cell>
          <cell r="R38" t="str">
            <v>Binding Quote</v>
          </cell>
          <cell r="T38">
            <v>125</v>
          </cell>
          <cell r="U38" t="str">
            <v>PC</v>
          </cell>
          <cell r="V38">
            <v>583.16</v>
          </cell>
          <cell r="W38">
            <v>2</v>
          </cell>
          <cell r="X38" t="str">
            <v>EUR</v>
          </cell>
          <cell r="Y38" t="str">
            <v>German MGK 1</v>
          </cell>
          <cell r="Z38">
            <v>0</v>
          </cell>
          <cell r="AA38">
            <v>0</v>
          </cell>
          <cell r="AC38">
            <v>72895</v>
          </cell>
          <cell r="AD38">
            <v>77523.83249999999</v>
          </cell>
          <cell r="AF38">
            <v>0</v>
          </cell>
          <cell r="AH38">
            <v>77523.83249999999</v>
          </cell>
          <cell r="AI38">
            <v>0.23709783177495308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101617.00376388416</v>
          </cell>
          <cell r="AP38" t="str">
            <v>II</v>
          </cell>
          <cell r="AQ38" t="str">
            <v>CF.5</v>
          </cell>
        </row>
        <row r="39">
          <cell r="B39" t="str">
            <v>Low Level Control HW</v>
          </cell>
          <cell r="C39">
            <v>0</v>
          </cell>
          <cell r="D39">
            <v>4</v>
          </cell>
          <cell r="E39" t="str">
            <v>CC</v>
          </cell>
          <cell r="F39" t="str">
            <v>B_</v>
          </cell>
          <cell r="G39" t="str">
            <v>QA</v>
          </cell>
          <cell r="H39" t="str">
            <v>04-CC-B_-QA</v>
          </cell>
          <cell r="I39" t="str">
            <v>VFD: G115D WM FSB PN CON 2,2kW</v>
          </cell>
          <cell r="J39" t="str">
            <v>221024_LTIA_Ph1_Z-4-CA-002_PLC_Material_Costs_Long Than_Belt_2022-09-30.xlsx</v>
          </cell>
          <cell r="L39" t="str">
            <v>Offshore:
GER
(MAT)</v>
          </cell>
          <cell r="M39" t="str">
            <v>S. Zenk</v>
          </cell>
          <cell r="N39">
            <v>44859</v>
          </cell>
          <cell r="P39" t="str">
            <v>Siemens</v>
          </cell>
          <cell r="Q39" t="str">
            <v>OSE</v>
          </cell>
          <cell r="R39" t="str">
            <v>Binding Quote</v>
          </cell>
          <cell r="T39">
            <v>194</v>
          </cell>
          <cell r="U39" t="str">
            <v>PC</v>
          </cell>
          <cell r="V39">
            <v>648.98</v>
          </cell>
          <cell r="W39">
            <v>2</v>
          </cell>
          <cell r="X39" t="str">
            <v>EUR</v>
          </cell>
          <cell r="Y39" t="str">
            <v>German MGK 1</v>
          </cell>
          <cell r="Z39">
            <v>0</v>
          </cell>
          <cell r="AA39">
            <v>0</v>
          </cell>
          <cell r="AC39">
            <v>125902.12000000001</v>
          </cell>
          <cell r="AD39">
            <v>133896.90461999999</v>
          </cell>
          <cell r="AF39">
            <v>0</v>
          </cell>
          <cell r="AH39">
            <v>133896.90461999999</v>
          </cell>
          <cell r="AI39">
            <v>0.23709783177495308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175509.92800495229</v>
          </cell>
          <cell r="AP39" t="str">
            <v>II</v>
          </cell>
          <cell r="AQ39" t="str">
            <v>CF.5</v>
          </cell>
        </row>
        <row r="40">
          <cell r="B40" t="str">
            <v>Low Level Control HW</v>
          </cell>
          <cell r="C40">
            <v>0</v>
          </cell>
          <cell r="D40">
            <v>4</v>
          </cell>
          <cell r="E40" t="str">
            <v>CC</v>
          </cell>
          <cell r="F40" t="str">
            <v>B_</v>
          </cell>
          <cell r="G40" t="str">
            <v>QA</v>
          </cell>
          <cell r="H40" t="str">
            <v>04-CC-B_-QA</v>
          </cell>
          <cell r="I40" t="str">
            <v>VFD: G115D WM FSB PN CON 3,0kW</v>
          </cell>
          <cell r="J40" t="str">
            <v>221024_LTIA_Ph1_Z-4-CA-002_PLC_Material_Costs_Long Than_Belt_2022-09-30.xlsx</v>
          </cell>
          <cell r="L40" t="str">
            <v>Offshore:
GER
(MAT)</v>
          </cell>
          <cell r="M40" t="str">
            <v>S. Zenk</v>
          </cell>
          <cell r="N40">
            <v>44859</v>
          </cell>
          <cell r="P40" t="str">
            <v>Siemens</v>
          </cell>
          <cell r="Q40" t="str">
            <v>OSE</v>
          </cell>
          <cell r="R40" t="str">
            <v>Binding Quote</v>
          </cell>
          <cell r="T40">
            <v>22</v>
          </cell>
          <cell r="U40" t="str">
            <v>PC</v>
          </cell>
          <cell r="V40">
            <v>703.12</v>
          </cell>
          <cell r="W40">
            <v>2</v>
          </cell>
          <cell r="X40" t="str">
            <v>EUR</v>
          </cell>
          <cell r="Y40" t="str">
            <v>German MGK 1</v>
          </cell>
          <cell r="Z40">
            <v>0</v>
          </cell>
          <cell r="AA40">
            <v>0</v>
          </cell>
          <cell r="AC40">
            <v>15468.64</v>
          </cell>
          <cell r="AD40">
            <v>16450.898639999999</v>
          </cell>
          <cell r="AF40">
            <v>0</v>
          </cell>
          <cell r="AH40">
            <v>16450.898639999999</v>
          </cell>
          <cell r="AI40">
            <v>0.23709783177495308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21563.575678745721</v>
          </cell>
          <cell r="AP40" t="str">
            <v>II</v>
          </cell>
          <cell r="AQ40" t="str">
            <v>CF.5</v>
          </cell>
        </row>
        <row r="41">
          <cell r="B41" t="str">
            <v>Low Level Control HW</v>
          </cell>
          <cell r="C41">
            <v>0</v>
          </cell>
          <cell r="D41">
            <v>4</v>
          </cell>
          <cell r="E41" t="str">
            <v>CC</v>
          </cell>
          <cell r="F41" t="str">
            <v>B_</v>
          </cell>
          <cell r="G41" t="str">
            <v>QA</v>
          </cell>
          <cell r="H41" t="str">
            <v>04-CC-B_-QA</v>
          </cell>
          <cell r="I41" t="str">
            <v>VFD: G115D WM FSB PN CON 4,0kW</v>
          </cell>
          <cell r="J41" t="str">
            <v>221024_LTIA_Ph1_Z-4-CA-002_PLC_Material_Costs_Long Than_Belt_2022-09-30.xlsx</v>
          </cell>
          <cell r="L41" t="str">
            <v>Offshore:
GER
(MAT)</v>
          </cell>
          <cell r="M41" t="str">
            <v>S. Zenk</v>
          </cell>
          <cell r="N41">
            <v>44859</v>
          </cell>
          <cell r="P41" t="str">
            <v>Siemens</v>
          </cell>
          <cell r="Q41" t="str">
            <v>OSE</v>
          </cell>
          <cell r="R41" t="str">
            <v>Binding Quote</v>
          </cell>
          <cell r="T41">
            <v>0</v>
          </cell>
          <cell r="U41" t="str">
            <v>PC</v>
          </cell>
          <cell r="V41">
            <v>790.22</v>
          </cell>
          <cell r="W41">
            <v>2</v>
          </cell>
          <cell r="X41" t="str">
            <v>EUR</v>
          </cell>
          <cell r="Y41" t="str">
            <v>German MGK 1</v>
          </cell>
          <cell r="Z41">
            <v>0</v>
          </cell>
          <cell r="AA41">
            <v>0</v>
          </cell>
          <cell r="AC41">
            <v>0</v>
          </cell>
          <cell r="AD41">
            <v>0</v>
          </cell>
          <cell r="AF41">
            <v>0</v>
          </cell>
          <cell r="AH41">
            <v>0</v>
          </cell>
          <cell r="AI41">
            <v>0.23709783177495308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P41" t="str">
            <v>X</v>
          </cell>
          <cell r="AQ41" t="str">
            <v>CF.5</v>
          </cell>
        </row>
        <row r="42">
          <cell r="B42" t="str">
            <v>Low Level Control HW</v>
          </cell>
          <cell r="C42">
            <v>0</v>
          </cell>
          <cell r="D42">
            <v>4</v>
          </cell>
          <cell r="E42" t="str">
            <v>CC</v>
          </cell>
          <cell r="F42" t="str">
            <v>B_</v>
          </cell>
          <cell r="G42" t="str">
            <v>QA</v>
          </cell>
          <cell r="H42" t="str">
            <v>04-CC-B_-QA</v>
          </cell>
          <cell r="I42" t="str">
            <v>VFD: Brake Resistor FSA 240W f. G115D</v>
          </cell>
          <cell r="J42" t="str">
            <v>221024_LTIA_Ph1_Z-4-CA-002_PLC_Material_Costs_Long Than_Belt_2022-09-30.xlsx</v>
          </cell>
          <cell r="L42" t="str">
            <v>Offshore:
GER
(MAT)</v>
          </cell>
          <cell r="M42" t="str">
            <v>S. Zenk</v>
          </cell>
          <cell r="N42">
            <v>44859</v>
          </cell>
          <cell r="P42" t="str">
            <v>Siemens</v>
          </cell>
          <cell r="Q42" t="str">
            <v>OSE</v>
          </cell>
          <cell r="R42" t="str">
            <v>Binding Quote</v>
          </cell>
          <cell r="T42">
            <v>112.04624871531345</v>
          </cell>
          <cell r="U42" t="str">
            <v>PC</v>
          </cell>
          <cell r="V42">
            <v>161.56</v>
          </cell>
          <cell r="W42">
            <v>2</v>
          </cell>
          <cell r="X42" t="str">
            <v>EUR</v>
          </cell>
          <cell r="Y42" t="str">
            <v>German MGK 1</v>
          </cell>
          <cell r="Z42">
            <v>0</v>
          </cell>
          <cell r="AA42">
            <v>0</v>
          </cell>
          <cell r="AC42">
            <v>18102.191942446043</v>
          </cell>
          <cell r="AD42">
            <v>19251.681130791363</v>
          </cell>
          <cell r="AF42">
            <v>0</v>
          </cell>
          <cell r="AH42">
            <v>19251.681130791363</v>
          </cell>
          <cell r="AI42">
            <v>0.23709783177495308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25234.79671788316</v>
          </cell>
          <cell r="AP42" t="str">
            <v>II</v>
          </cell>
          <cell r="AQ42" t="str">
            <v>CF.5</v>
          </cell>
        </row>
        <row r="43">
          <cell r="B43" t="str">
            <v>Low Level Control HW</v>
          </cell>
          <cell r="C43">
            <v>0</v>
          </cell>
          <cell r="D43">
            <v>4</v>
          </cell>
          <cell r="E43" t="str">
            <v>CC</v>
          </cell>
          <cell r="F43" t="str">
            <v>B_</v>
          </cell>
          <cell r="G43" t="str">
            <v>QA</v>
          </cell>
          <cell r="H43" t="str">
            <v>04-CC-B_-QA</v>
          </cell>
          <cell r="I43" t="str">
            <v>VFD: Brake Resistor FSB 240W f. G115D</v>
          </cell>
          <cell r="J43" t="str">
            <v>221024_LTIA_Ph1_Z-4-CA-002_PLC_Material_Costs_Long Than_Belt_2022-09-30.xlsx</v>
          </cell>
          <cell r="L43" t="str">
            <v>Offshore:
GER
(MAT)</v>
          </cell>
          <cell r="M43" t="str">
            <v>S. Zenk</v>
          </cell>
          <cell r="N43">
            <v>44859</v>
          </cell>
          <cell r="P43" t="str">
            <v>Siemens</v>
          </cell>
          <cell r="Q43" t="str">
            <v>OSE</v>
          </cell>
          <cell r="R43" t="str">
            <v>Binding Quote</v>
          </cell>
          <cell r="T43">
            <v>22.197841726618705</v>
          </cell>
          <cell r="U43" t="str">
            <v>PC</v>
          </cell>
          <cell r="V43">
            <v>161.56</v>
          </cell>
          <cell r="W43">
            <v>2</v>
          </cell>
          <cell r="X43" t="str">
            <v>EUR</v>
          </cell>
          <cell r="Y43" t="str">
            <v>German MGK 1</v>
          </cell>
          <cell r="Z43">
            <v>0</v>
          </cell>
          <cell r="AA43">
            <v>0</v>
          </cell>
          <cell r="AC43">
            <v>3586.2833093525182</v>
          </cell>
          <cell r="AD43">
            <v>3814.0122994964026</v>
          </cell>
          <cell r="AF43">
            <v>0</v>
          </cell>
          <cell r="AH43">
            <v>3814.0122994964026</v>
          </cell>
          <cell r="AI43">
            <v>0.23709783177495308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4999.3465195806275</v>
          </cell>
          <cell r="AP43" t="str">
            <v>II</v>
          </cell>
          <cell r="AQ43" t="str">
            <v>CF.5</v>
          </cell>
        </row>
        <row r="44">
          <cell r="B44" t="str">
            <v>Low Level Control HW</v>
          </cell>
          <cell r="C44">
            <v>0</v>
          </cell>
          <cell r="D44">
            <v>4</v>
          </cell>
          <cell r="E44" t="str">
            <v>CC</v>
          </cell>
          <cell r="F44" t="str">
            <v>B_</v>
          </cell>
          <cell r="G44" t="str">
            <v>QA</v>
          </cell>
          <cell r="H44" t="str">
            <v>04-CC-B_-QA</v>
          </cell>
          <cell r="I44" t="str">
            <v>VFD: Power T-Connector</v>
          </cell>
          <cell r="J44" t="str">
            <v>221024_LTIA_Ph1_Z-4-CA-002_PLC_Material_Costs_Long Than_Belt_2022-09-30.xlsx</v>
          </cell>
          <cell r="L44" t="str">
            <v>Offshore:
GER
(MAT)</v>
          </cell>
          <cell r="M44" t="str">
            <v>S. Zenk</v>
          </cell>
          <cell r="N44">
            <v>44859</v>
          </cell>
          <cell r="O44" t="str">
            <v>HAR-05.20201</v>
          </cell>
          <cell r="P44" t="str">
            <v>Harting</v>
          </cell>
          <cell r="Q44" t="str">
            <v>EXT</v>
          </cell>
          <cell r="R44" t="str">
            <v>Binding Quote</v>
          </cell>
          <cell r="T44">
            <v>2113</v>
          </cell>
          <cell r="U44" t="str">
            <v>PC</v>
          </cell>
          <cell r="V44">
            <v>27.28</v>
          </cell>
          <cell r="W44">
            <v>2</v>
          </cell>
          <cell r="X44" t="str">
            <v>EUR</v>
          </cell>
          <cell r="Y44" t="str">
            <v>German MGK 1</v>
          </cell>
          <cell r="Z44">
            <v>0</v>
          </cell>
          <cell r="AA44">
            <v>0</v>
          </cell>
          <cell r="AC44">
            <v>57642.64</v>
          </cell>
          <cell r="AD44">
            <v>61302.947639999991</v>
          </cell>
          <cell r="AF44">
            <v>0</v>
          </cell>
          <cell r="AH44">
            <v>61302.947639999991</v>
          </cell>
          <cell r="AI44">
            <v>0.23709783177495308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80354.926481105969</v>
          </cell>
          <cell r="AP44" t="str">
            <v>II</v>
          </cell>
          <cell r="AQ44" t="str">
            <v>CF.5</v>
          </cell>
        </row>
        <row r="45">
          <cell r="B45" t="str">
            <v>Low Level Control HW</v>
          </cell>
          <cell r="C45">
            <v>0</v>
          </cell>
          <cell r="D45">
            <v>4</v>
          </cell>
          <cell r="E45" t="str">
            <v>CC</v>
          </cell>
          <cell r="F45" t="str">
            <v>B_</v>
          </cell>
          <cell r="G45" t="str">
            <v>QW</v>
          </cell>
          <cell r="H45" t="str">
            <v>04-CC-B_-QW</v>
          </cell>
          <cell r="I45" t="str">
            <v>VFD: Premanu. Power and Motor cable</v>
          </cell>
          <cell r="J45" t="str">
            <v>221024_LTIA_Ph1_Z-4-CA-002_PLC_Material_Costs_Long Than_Belt_2022-09-30.xlsx</v>
          </cell>
          <cell r="L45" t="str">
            <v>Offshore:
GER
(MAT)</v>
          </cell>
          <cell r="M45" t="str">
            <v>S. Zenk</v>
          </cell>
          <cell r="N45">
            <v>44859</v>
          </cell>
          <cell r="O45" t="str">
            <v>HAR-05.20201</v>
          </cell>
          <cell r="P45" t="str">
            <v>Harting</v>
          </cell>
          <cell r="Q45" t="str">
            <v>EXT</v>
          </cell>
          <cell r="R45" t="str">
            <v>Binding Quote</v>
          </cell>
          <cell r="T45">
            <v>4170</v>
          </cell>
          <cell r="U45" t="str">
            <v>ST</v>
          </cell>
          <cell r="V45">
            <v>66.875539568345317</v>
          </cell>
          <cell r="W45">
            <v>2</v>
          </cell>
          <cell r="X45" t="str">
            <v>EUR</v>
          </cell>
          <cell r="Y45" t="str">
            <v>German MGK 1</v>
          </cell>
          <cell r="Z45">
            <v>0</v>
          </cell>
          <cell r="AA45">
            <v>0</v>
          </cell>
          <cell r="AC45">
            <v>278871</v>
          </cell>
          <cell r="AD45">
            <v>296579.30849999998</v>
          </cell>
          <cell r="AF45">
            <v>0</v>
          </cell>
          <cell r="AH45">
            <v>296579.30849999998</v>
          </cell>
          <cell r="AI45">
            <v>0.23709783177495308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388751.42954438773</v>
          </cell>
          <cell r="AP45" t="str">
            <v>II</v>
          </cell>
          <cell r="AQ45" t="str">
            <v>CF.5</v>
          </cell>
        </row>
        <row r="46">
          <cell r="B46" t="str">
            <v>Low Level Control HW</v>
          </cell>
          <cell r="C46">
            <v>0</v>
          </cell>
          <cell r="D46">
            <v>4</v>
          </cell>
          <cell r="E46" t="str">
            <v>CC</v>
          </cell>
          <cell r="F46" t="str">
            <v>B_</v>
          </cell>
          <cell r="G46" t="str">
            <v>QU</v>
          </cell>
          <cell r="H46" t="str">
            <v>04-CC-B_-QU</v>
          </cell>
          <cell r="I46" t="str">
            <v>VFD: Bracket G110D/G115D/G120D</v>
          </cell>
          <cell r="Q46" t="str">
            <v>EXT</v>
          </cell>
          <cell r="R46" t="str">
            <v>Placeholder</v>
          </cell>
          <cell r="U46" t="str">
            <v>ST</v>
          </cell>
          <cell r="W46">
            <v>1</v>
          </cell>
          <cell r="X46" t="str">
            <v>USD</v>
          </cell>
          <cell r="Z46">
            <v>0</v>
          </cell>
          <cell r="AA46">
            <v>0</v>
          </cell>
          <cell r="AC46">
            <v>0</v>
          </cell>
          <cell r="AD46">
            <v>0</v>
          </cell>
          <cell r="AF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P46" t="str">
            <v>X</v>
          </cell>
          <cell r="AQ46" t="str">
            <v>CF.5</v>
          </cell>
        </row>
        <row r="47">
          <cell r="B47" t="str">
            <v/>
          </cell>
          <cell r="H47" t="str">
            <v>--</v>
          </cell>
          <cell r="Q47" t="str">
            <v>EXT</v>
          </cell>
          <cell r="R47" t="str">
            <v>Placeholder</v>
          </cell>
          <cell r="W47">
            <v>1</v>
          </cell>
          <cell r="X47" t="str">
            <v>USD</v>
          </cell>
          <cell r="Z47">
            <v>0</v>
          </cell>
          <cell r="AA47">
            <v>0</v>
          </cell>
          <cell r="AC47">
            <v>0</v>
          </cell>
          <cell r="AD47">
            <v>0</v>
          </cell>
          <cell r="AF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P47" t="str">
            <v>X</v>
          </cell>
          <cell r="AQ47" t="str">
            <v/>
          </cell>
        </row>
        <row r="48">
          <cell r="B48" t="str">
            <v/>
          </cell>
          <cell r="H48" t="str">
            <v>--</v>
          </cell>
          <cell r="Q48" t="str">
            <v>EXT</v>
          </cell>
          <cell r="R48" t="str">
            <v>Placeholder</v>
          </cell>
          <cell r="W48">
            <v>1</v>
          </cell>
          <cell r="X48" t="str">
            <v>USD</v>
          </cell>
          <cell r="Z48">
            <v>0</v>
          </cell>
          <cell r="AA48">
            <v>0</v>
          </cell>
          <cell r="AC48">
            <v>0</v>
          </cell>
          <cell r="AD48">
            <v>0</v>
          </cell>
          <cell r="AF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P48" t="str">
            <v>X</v>
          </cell>
          <cell r="AQ48" t="str">
            <v/>
          </cell>
        </row>
        <row r="49">
          <cell r="I49" t="str">
            <v>1.5 Field Devices Sensors…</v>
          </cell>
        </row>
        <row r="50">
          <cell r="B50" t="str">
            <v>Low Level Control HW</v>
          </cell>
          <cell r="C50">
            <v>0</v>
          </cell>
          <cell r="D50">
            <v>4</v>
          </cell>
          <cell r="E50" t="str">
            <v>CC</v>
          </cell>
          <cell r="F50" t="str">
            <v>B_</v>
          </cell>
          <cell r="G50" t="str">
            <v>BG</v>
          </cell>
          <cell r="H50" t="str">
            <v>04-CC-B_-BG</v>
          </cell>
          <cell r="I50" t="str">
            <v>Field Devices: Actors, Sensors</v>
          </cell>
          <cell r="J50" t="str">
            <v>221024_LTIA_Ph1_Z-4-CA-002_PLC_Material_Costs_Long Than_Belt_2022-09-30.xlsx</v>
          </cell>
          <cell r="L50" t="str">
            <v>Offshore:
GER
(MAT)</v>
          </cell>
          <cell r="M50" t="str">
            <v>S. Zenk</v>
          </cell>
          <cell r="N50">
            <v>44859</v>
          </cell>
          <cell r="P50" t="str">
            <v>SICK</v>
          </cell>
          <cell r="Q50" t="str">
            <v>EXT</v>
          </cell>
          <cell r="R50" t="str">
            <v>Binding Quote</v>
          </cell>
          <cell r="T50">
            <v>1</v>
          </cell>
          <cell r="U50" t="str">
            <v>LS</v>
          </cell>
          <cell r="V50">
            <v>162020.68099999998</v>
          </cell>
          <cell r="W50">
            <v>2</v>
          </cell>
          <cell r="X50" t="str">
            <v>EUR</v>
          </cell>
          <cell r="Y50" t="str">
            <v>German MGK 1</v>
          </cell>
          <cell r="Z50">
            <v>0</v>
          </cell>
          <cell r="AA50">
            <v>0</v>
          </cell>
          <cell r="AC50">
            <v>162020.68099999998</v>
          </cell>
          <cell r="AD50">
            <v>172308.99424349997</v>
          </cell>
          <cell r="AF50">
            <v>0</v>
          </cell>
          <cell r="AH50">
            <v>172308.99424349997</v>
          </cell>
          <cell r="AI50">
            <v>0.23709783177495308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225859.88272177894</v>
          </cell>
          <cell r="AP50" t="str">
            <v>II</v>
          </cell>
          <cell r="AQ50" t="str">
            <v>CF.5</v>
          </cell>
        </row>
        <row r="51">
          <cell r="B51" t="str">
            <v>Low Level Control HW</v>
          </cell>
          <cell r="C51">
            <v>0</v>
          </cell>
          <cell r="D51">
            <v>4</v>
          </cell>
          <cell r="E51" t="str">
            <v>CC</v>
          </cell>
          <cell r="F51" t="str">
            <v>B_</v>
          </cell>
          <cell r="G51" t="str">
            <v>BA</v>
          </cell>
          <cell r="H51" t="str">
            <v>04-CC-B_-BA</v>
          </cell>
          <cell r="I51" t="str">
            <v>Field Devices: I/O Devices</v>
          </cell>
          <cell r="J51" t="str">
            <v>221024_LTIA_Ph1_Z-4-CA-002_PLC_Material_Costs_Long Than_Belt_2022-09-30.xlsx</v>
          </cell>
          <cell r="L51" t="str">
            <v>Offshore:
GER
(MAT)</v>
          </cell>
          <cell r="M51" t="str">
            <v>S. Zenk</v>
          </cell>
          <cell r="N51">
            <v>44859</v>
          </cell>
          <cell r="O51" t="str">
            <v>PMD</v>
          </cell>
          <cell r="P51" t="str">
            <v>Siemens</v>
          </cell>
          <cell r="Q51" t="str">
            <v>OSE</v>
          </cell>
          <cell r="R51" t="str">
            <v>Binding Quote</v>
          </cell>
          <cell r="T51">
            <v>945</v>
          </cell>
          <cell r="U51" t="str">
            <v>PC</v>
          </cell>
          <cell r="V51">
            <v>288.3</v>
          </cell>
          <cell r="W51">
            <v>2</v>
          </cell>
          <cell r="X51" t="str">
            <v>EUR</v>
          </cell>
          <cell r="Y51" t="str">
            <v>German MGK 1</v>
          </cell>
          <cell r="Z51">
            <v>0</v>
          </cell>
          <cell r="AA51">
            <v>0</v>
          </cell>
          <cell r="AC51">
            <v>272443.5</v>
          </cell>
          <cell r="AD51">
            <v>289743.66224999999</v>
          </cell>
          <cell r="AF51">
            <v>0</v>
          </cell>
          <cell r="AH51">
            <v>289743.66224999999</v>
          </cell>
          <cell r="AI51">
            <v>0.23709783177495308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379791.37341307057</v>
          </cell>
          <cell r="AP51" t="str">
            <v>II</v>
          </cell>
          <cell r="AQ51" t="str">
            <v>CF.5</v>
          </cell>
        </row>
        <row r="52">
          <cell r="B52" t="str">
            <v>Low Level Control HW</v>
          </cell>
          <cell r="C52">
            <v>0</v>
          </cell>
          <cell r="D52">
            <v>4</v>
          </cell>
          <cell r="E52" t="str">
            <v>CC</v>
          </cell>
          <cell r="F52" t="str">
            <v>B_</v>
          </cell>
          <cell r="G52" t="str">
            <v>BU</v>
          </cell>
          <cell r="H52" t="str">
            <v>04-CC-B_-BU</v>
          </cell>
          <cell r="I52" t="str">
            <v>Field Devices: Equipment Brackets &amp; Supports</v>
          </cell>
          <cell r="Q52" t="str">
            <v>EXT</v>
          </cell>
          <cell r="R52" t="str">
            <v>Placeholder</v>
          </cell>
          <cell r="U52" t="str">
            <v>PC</v>
          </cell>
          <cell r="W52">
            <v>1</v>
          </cell>
          <cell r="X52" t="str">
            <v>USD</v>
          </cell>
          <cell r="Z52">
            <v>0</v>
          </cell>
          <cell r="AA52">
            <v>0</v>
          </cell>
          <cell r="AC52">
            <v>0</v>
          </cell>
          <cell r="AD52">
            <v>0</v>
          </cell>
          <cell r="AF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P52" t="str">
            <v>X</v>
          </cell>
          <cell r="AQ52" t="str">
            <v>CF.5</v>
          </cell>
        </row>
        <row r="53">
          <cell r="B53" t="str">
            <v>Low Level Control HW</v>
          </cell>
          <cell r="C53">
            <v>0</v>
          </cell>
          <cell r="D53">
            <v>4</v>
          </cell>
          <cell r="E53" t="str">
            <v>CC</v>
          </cell>
          <cell r="F53" t="str">
            <v>B_</v>
          </cell>
          <cell r="G53" t="str">
            <v>BW</v>
          </cell>
          <cell r="H53" t="str">
            <v>04-CC-B_-BW</v>
          </cell>
          <cell r="I53" t="str">
            <v>Field Devices: Premanu. Sensor cable</v>
          </cell>
          <cell r="J53" t="str">
            <v>221024_LTIA_Ph1_Z-4-CA-002_PLC_Material_Costs_Long Than_Belt_2022-09-30.xlsx</v>
          </cell>
          <cell r="L53" t="str">
            <v>Offshore:
GER
(MAT)</v>
          </cell>
          <cell r="M53" t="str">
            <v>S. Zenk</v>
          </cell>
          <cell r="N53">
            <v>44859</v>
          </cell>
          <cell r="P53" t="str">
            <v>MURR</v>
          </cell>
          <cell r="Q53" t="str">
            <v>EXT</v>
          </cell>
          <cell r="R53" t="str">
            <v>Binding Quote</v>
          </cell>
          <cell r="T53">
            <v>1</v>
          </cell>
          <cell r="U53" t="str">
            <v>LS</v>
          </cell>
          <cell r="V53">
            <v>167703</v>
          </cell>
          <cell r="W53">
            <v>2</v>
          </cell>
          <cell r="X53" t="str">
            <v>EUR</v>
          </cell>
          <cell r="Y53" t="str">
            <v>German MGK 1</v>
          </cell>
          <cell r="Z53">
            <v>0</v>
          </cell>
          <cell r="AA53">
            <v>0</v>
          </cell>
          <cell r="AC53">
            <v>167703</v>
          </cell>
          <cell r="AD53">
            <v>178352.14049999998</v>
          </cell>
          <cell r="AF53">
            <v>0</v>
          </cell>
          <cell r="AH53">
            <v>178352.14049999998</v>
          </cell>
          <cell r="AI53">
            <v>0.23709783177495308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233781.14249557126</v>
          </cell>
          <cell r="AP53" t="str">
            <v>II</v>
          </cell>
          <cell r="AQ53" t="str">
            <v>CF.5</v>
          </cell>
        </row>
        <row r="54">
          <cell r="B54" t="str">
            <v>Low Level Control HW</v>
          </cell>
          <cell r="C54">
            <v>0</v>
          </cell>
          <cell r="D54">
            <v>4</v>
          </cell>
          <cell r="E54" t="str">
            <v>CC</v>
          </cell>
          <cell r="F54" t="str">
            <v>B_</v>
          </cell>
          <cell r="G54" t="str">
            <v>SJ</v>
          </cell>
          <cell r="H54" t="str">
            <v>04-CC-B_-SJ</v>
          </cell>
          <cell r="I54" t="str">
            <v>Field Devices: Control Stations (CS)</v>
          </cell>
          <cell r="J54" t="str">
            <v>221024_LTIA_Ph1_Z-4-CA-002_PLC_Material_Costs_Long Than_Belt_2022-09-30.xlsx</v>
          </cell>
          <cell r="L54" t="str">
            <v>Offshore:
GER
(MAT)</v>
          </cell>
          <cell r="M54" t="str">
            <v>S. Zenk</v>
          </cell>
          <cell r="N54">
            <v>44859</v>
          </cell>
          <cell r="O54" t="str">
            <v>PMD</v>
          </cell>
          <cell r="P54" t="str">
            <v>Siemens</v>
          </cell>
          <cell r="Q54" t="str">
            <v>OSE</v>
          </cell>
          <cell r="R54" t="str">
            <v>Binding Quote</v>
          </cell>
          <cell r="T54">
            <v>373</v>
          </cell>
          <cell r="U54" t="str">
            <v>PC</v>
          </cell>
          <cell r="V54">
            <v>101.97093833780161</v>
          </cell>
          <cell r="W54">
            <v>2</v>
          </cell>
          <cell r="X54" t="str">
            <v>EUR</v>
          </cell>
          <cell r="Y54" t="str">
            <v>German MGK 1</v>
          </cell>
          <cell r="Z54">
            <v>0</v>
          </cell>
          <cell r="AA54">
            <v>0</v>
          </cell>
          <cell r="AC54">
            <v>38035.160000000003</v>
          </cell>
          <cell r="AD54">
            <v>40450.392659999998</v>
          </cell>
          <cell r="AF54">
            <v>0</v>
          </cell>
          <cell r="AH54">
            <v>40450.392659999998</v>
          </cell>
          <cell r="AI54">
            <v>0.23709783177495308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53021.729842649518</v>
          </cell>
          <cell r="AP54" t="str">
            <v>II</v>
          </cell>
          <cell r="AQ54" t="str">
            <v>CF.5</v>
          </cell>
        </row>
        <row r="55">
          <cell r="B55" t="str">
            <v>Low Level Control HW</v>
          </cell>
          <cell r="C55">
            <v>0</v>
          </cell>
          <cell r="D55">
            <v>4</v>
          </cell>
          <cell r="E55" t="str">
            <v>CC</v>
          </cell>
          <cell r="F55" t="str">
            <v>B_</v>
          </cell>
          <cell r="G55" t="str">
            <v>SP</v>
          </cell>
          <cell r="H55" t="str">
            <v>04-CC-B_-SP</v>
          </cell>
          <cell r="I55" t="str">
            <v>Field Devices: Light Beacons / Tower Lamps (LB)</v>
          </cell>
          <cell r="J55" t="str">
            <v>221024_LTIA_Ph1_Z-4-CA-002_PLC_Material_Costs_Long Than_Belt_2022-09-30.xlsx</v>
          </cell>
          <cell r="L55" t="str">
            <v>Offshore:
GER
(MAT)</v>
          </cell>
          <cell r="M55" t="str">
            <v>S. Zenk</v>
          </cell>
          <cell r="N55">
            <v>44859</v>
          </cell>
          <cell r="O55" t="str">
            <v>PMD</v>
          </cell>
          <cell r="P55" t="str">
            <v>Siemens</v>
          </cell>
          <cell r="Q55" t="str">
            <v>OSE</v>
          </cell>
          <cell r="R55" t="str">
            <v>Binding Quote</v>
          </cell>
          <cell r="T55">
            <v>143</v>
          </cell>
          <cell r="U55" t="str">
            <v>PC</v>
          </cell>
          <cell r="V55">
            <v>255.72027972027973</v>
          </cell>
          <cell r="W55">
            <v>2</v>
          </cell>
          <cell r="X55" t="str">
            <v>EUR</v>
          </cell>
          <cell r="Y55" t="str">
            <v>German MGK 1</v>
          </cell>
          <cell r="Z55">
            <v>0</v>
          </cell>
          <cell r="AA55">
            <v>0</v>
          </cell>
          <cell r="AC55">
            <v>36568</v>
          </cell>
          <cell r="AD55">
            <v>38890.067999999999</v>
          </cell>
          <cell r="AF55">
            <v>0</v>
          </cell>
          <cell r="AH55">
            <v>38890.067999999999</v>
          </cell>
          <cell r="AI55">
            <v>0.23709783177495308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50976.481152859822</v>
          </cell>
          <cell r="AP55" t="str">
            <v>II</v>
          </cell>
          <cell r="AQ55" t="str">
            <v>CF.5</v>
          </cell>
        </row>
        <row r="56">
          <cell r="B56" t="str">
            <v/>
          </cell>
          <cell r="H56" t="str">
            <v>--</v>
          </cell>
          <cell r="Q56" t="str">
            <v>EXT</v>
          </cell>
          <cell r="R56" t="str">
            <v>Placeholder</v>
          </cell>
          <cell r="W56">
            <v>1</v>
          </cell>
          <cell r="X56" t="str">
            <v>USD</v>
          </cell>
          <cell r="Z56">
            <v>0</v>
          </cell>
          <cell r="AA56">
            <v>0</v>
          </cell>
          <cell r="AC56">
            <v>0</v>
          </cell>
          <cell r="AD56">
            <v>0</v>
          </cell>
          <cell r="AF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P56" t="str">
            <v>X</v>
          </cell>
          <cell r="AQ56" t="str">
            <v/>
          </cell>
        </row>
        <row r="57">
          <cell r="B57" t="str">
            <v/>
          </cell>
          <cell r="H57" t="str">
            <v>--</v>
          </cell>
          <cell r="Q57" t="str">
            <v>EXT</v>
          </cell>
          <cell r="R57" t="str">
            <v>Placeholder</v>
          </cell>
          <cell r="W57">
            <v>1</v>
          </cell>
          <cell r="X57" t="str">
            <v>USD</v>
          </cell>
          <cell r="Z57">
            <v>0</v>
          </cell>
          <cell r="AA57">
            <v>0</v>
          </cell>
          <cell r="AC57">
            <v>0</v>
          </cell>
          <cell r="AD57">
            <v>0</v>
          </cell>
          <cell r="AF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P57" t="str">
            <v>X</v>
          </cell>
          <cell r="AQ57" t="str">
            <v/>
          </cell>
        </row>
        <row r="58">
          <cell r="I58" t="str">
            <v>1.6 Cable Supporting System</v>
          </cell>
        </row>
        <row r="59">
          <cell r="B59" t="str">
            <v>Low Level Control HW</v>
          </cell>
          <cell r="C59">
            <v>0</v>
          </cell>
          <cell r="D59">
            <v>4</v>
          </cell>
          <cell r="E59" t="str">
            <v>CL</v>
          </cell>
          <cell r="F59" t="str">
            <v>B_</v>
          </cell>
          <cell r="G59" t="str">
            <v>BU</v>
          </cell>
          <cell r="H59" t="str">
            <v>04-CL-B_-BU</v>
          </cell>
          <cell r="I59" t="str">
            <v>Cable Tray Cable Rack, Cable Trunking, Cable Ladder, Conduit</v>
          </cell>
          <cell r="Q59" t="str">
            <v>EXT</v>
          </cell>
          <cell r="R59" t="str">
            <v>Placeholder</v>
          </cell>
          <cell r="U59" t="str">
            <v>MT</v>
          </cell>
          <cell r="W59">
            <v>1</v>
          </cell>
          <cell r="X59" t="str">
            <v>USD</v>
          </cell>
          <cell r="Z59">
            <v>0</v>
          </cell>
          <cell r="AA59">
            <v>0</v>
          </cell>
          <cell r="AC59">
            <v>0</v>
          </cell>
          <cell r="AD59">
            <v>0</v>
          </cell>
          <cell r="AF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P59" t="str">
            <v>X</v>
          </cell>
          <cell r="AQ59" t="str">
            <v>CF.5</v>
          </cell>
        </row>
        <row r="60">
          <cell r="B60" t="str">
            <v/>
          </cell>
          <cell r="H60" t="str">
            <v>--</v>
          </cell>
          <cell r="Q60" t="str">
            <v>EXT</v>
          </cell>
          <cell r="R60" t="str">
            <v>Placeholder</v>
          </cell>
          <cell r="W60">
            <v>1</v>
          </cell>
          <cell r="X60" t="str">
            <v>USD</v>
          </cell>
          <cell r="Z60">
            <v>0</v>
          </cell>
          <cell r="AA60">
            <v>0</v>
          </cell>
          <cell r="AC60">
            <v>0</v>
          </cell>
          <cell r="AD60">
            <v>0</v>
          </cell>
          <cell r="AF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P60" t="str">
            <v>X</v>
          </cell>
          <cell r="AQ60" t="str">
            <v/>
          </cell>
        </row>
        <row r="61">
          <cell r="B61" t="str">
            <v/>
          </cell>
          <cell r="H61" t="str">
            <v>--</v>
          </cell>
          <cell r="Q61" t="str">
            <v>EXT</v>
          </cell>
          <cell r="R61" t="str">
            <v>Placeholder</v>
          </cell>
          <cell r="W61">
            <v>1</v>
          </cell>
          <cell r="X61" t="str">
            <v>USD</v>
          </cell>
          <cell r="Z61">
            <v>0</v>
          </cell>
          <cell r="AA61">
            <v>0</v>
          </cell>
          <cell r="AC61">
            <v>0</v>
          </cell>
          <cell r="AD61">
            <v>0</v>
          </cell>
          <cell r="AF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P61" t="str">
            <v>X</v>
          </cell>
          <cell r="AQ61" t="str">
            <v/>
          </cell>
        </row>
        <row r="62">
          <cell r="I62" t="str">
            <v>1.7 Wire and Cable</v>
          </cell>
        </row>
        <row r="63">
          <cell r="B63" t="str">
            <v>Low Level Control HW</v>
          </cell>
          <cell r="C63">
            <v>0</v>
          </cell>
          <cell r="D63">
            <v>4</v>
          </cell>
          <cell r="E63" t="str">
            <v>CW</v>
          </cell>
          <cell r="F63" t="str">
            <v>B_</v>
          </cell>
          <cell r="G63" t="str">
            <v>DB</v>
          </cell>
          <cell r="H63" t="str">
            <v>04-CW-B_-DB</v>
          </cell>
          <cell r="I63" t="str">
            <v>Low Voltage Power Cable</v>
          </cell>
          <cell r="Q63" t="str">
            <v>EXT</v>
          </cell>
          <cell r="R63" t="str">
            <v>Placeholder</v>
          </cell>
          <cell r="U63" t="str">
            <v>MT</v>
          </cell>
          <cell r="W63">
            <v>1</v>
          </cell>
          <cell r="X63" t="str">
            <v>USD</v>
          </cell>
          <cell r="Z63">
            <v>0</v>
          </cell>
          <cell r="AA63">
            <v>0</v>
          </cell>
          <cell r="AC63">
            <v>0</v>
          </cell>
          <cell r="AD63">
            <v>0</v>
          </cell>
          <cell r="AF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P63" t="str">
            <v>X</v>
          </cell>
          <cell r="AQ63" t="str">
            <v>CF.5</v>
          </cell>
        </row>
        <row r="64">
          <cell r="B64" t="str">
            <v>Low Level Control HW</v>
          </cell>
          <cell r="C64">
            <v>0</v>
          </cell>
          <cell r="D64">
            <v>4</v>
          </cell>
          <cell r="E64" t="str">
            <v>CW</v>
          </cell>
          <cell r="F64" t="str">
            <v>B_</v>
          </cell>
          <cell r="G64" t="str">
            <v>EB</v>
          </cell>
          <cell r="H64" t="str">
            <v>04-CW-B_-EB</v>
          </cell>
          <cell r="I64" t="str">
            <v>Earthing Cable</v>
          </cell>
          <cell r="Q64" t="str">
            <v>EXT</v>
          </cell>
          <cell r="R64" t="str">
            <v>Placeholder</v>
          </cell>
          <cell r="U64" t="str">
            <v>MT</v>
          </cell>
          <cell r="W64">
            <v>1</v>
          </cell>
          <cell r="X64" t="str">
            <v>USD</v>
          </cell>
          <cell r="Z64">
            <v>0</v>
          </cell>
          <cell r="AA64">
            <v>0</v>
          </cell>
          <cell r="AC64">
            <v>0</v>
          </cell>
          <cell r="AD64">
            <v>0</v>
          </cell>
          <cell r="AF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P64" t="str">
            <v>X</v>
          </cell>
          <cell r="AQ64" t="str">
            <v>CF.5</v>
          </cell>
        </row>
        <row r="65">
          <cell r="B65" t="str">
            <v>Low Level Control HW</v>
          </cell>
          <cell r="C65">
            <v>0</v>
          </cell>
          <cell r="D65">
            <v>4</v>
          </cell>
          <cell r="E65" t="str">
            <v>CW</v>
          </cell>
          <cell r="F65" t="str">
            <v>B_</v>
          </cell>
          <cell r="G65" t="str">
            <v>GA</v>
          </cell>
          <cell r="H65" t="str">
            <v>04-CW-B_-GA</v>
          </cell>
          <cell r="I65" t="str">
            <v>Signal Cable, CU Control Cable</v>
          </cell>
          <cell r="Q65" t="str">
            <v>EXT</v>
          </cell>
          <cell r="R65" t="str">
            <v>Placeholder</v>
          </cell>
          <cell r="U65" t="str">
            <v>MT</v>
          </cell>
          <cell r="W65">
            <v>1</v>
          </cell>
          <cell r="X65" t="str">
            <v>USD</v>
          </cell>
          <cell r="Z65">
            <v>0</v>
          </cell>
          <cell r="AA65">
            <v>0</v>
          </cell>
          <cell r="AC65">
            <v>0</v>
          </cell>
          <cell r="AD65">
            <v>0</v>
          </cell>
          <cell r="AF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P65" t="str">
            <v>X</v>
          </cell>
          <cell r="AQ65" t="str">
            <v>CF.5</v>
          </cell>
        </row>
        <row r="66">
          <cell r="B66" t="str">
            <v>Low Level Control HW</v>
          </cell>
          <cell r="C66">
            <v>0</v>
          </cell>
          <cell r="D66">
            <v>4</v>
          </cell>
          <cell r="E66" t="str">
            <v>CW</v>
          </cell>
          <cell r="F66" t="str">
            <v>B_</v>
          </cell>
          <cell r="G66" t="str">
            <v>GB</v>
          </cell>
          <cell r="H66" t="str">
            <v>04-CW-B_-GB</v>
          </cell>
          <cell r="I66" t="str">
            <v>Signal Cable, CU Data Cable</v>
          </cell>
          <cell r="Q66" t="str">
            <v>EXT</v>
          </cell>
          <cell r="R66" t="str">
            <v>Placeholder</v>
          </cell>
          <cell r="U66" t="str">
            <v>MT</v>
          </cell>
          <cell r="W66">
            <v>1</v>
          </cell>
          <cell r="X66" t="str">
            <v>USD</v>
          </cell>
          <cell r="Z66">
            <v>0</v>
          </cell>
          <cell r="AA66">
            <v>0</v>
          </cell>
          <cell r="AC66">
            <v>0</v>
          </cell>
          <cell r="AD66">
            <v>0</v>
          </cell>
          <cell r="AF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P66" t="str">
            <v>X</v>
          </cell>
          <cell r="AQ66" t="str">
            <v>CF.5</v>
          </cell>
        </row>
        <row r="67">
          <cell r="B67" t="str">
            <v>Low Level Control HW</v>
          </cell>
          <cell r="C67">
            <v>0</v>
          </cell>
          <cell r="D67">
            <v>4</v>
          </cell>
          <cell r="E67" t="str">
            <v>CW</v>
          </cell>
          <cell r="F67" t="str">
            <v>B_</v>
          </cell>
          <cell r="G67" t="str">
            <v>HA</v>
          </cell>
          <cell r="H67" t="str">
            <v>04-CW-B_-HA</v>
          </cell>
          <cell r="I67" t="str">
            <v>Signal Cable, Optical Fibre Optical Cable</v>
          </cell>
          <cell r="Q67" t="str">
            <v>EXT</v>
          </cell>
          <cell r="R67" t="str">
            <v>Placeholder</v>
          </cell>
          <cell r="U67" t="str">
            <v>MT</v>
          </cell>
          <cell r="W67">
            <v>1</v>
          </cell>
          <cell r="X67" t="str">
            <v>USD</v>
          </cell>
          <cell r="Z67">
            <v>0</v>
          </cell>
          <cell r="AA67">
            <v>0</v>
          </cell>
          <cell r="AC67">
            <v>0</v>
          </cell>
          <cell r="AD67">
            <v>0</v>
          </cell>
          <cell r="AF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P67" t="str">
            <v>X</v>
          </cell>
          <cell r="AQ67" t="str">
            <v>CF.5</v>
          </cell>
        </row>
        <row r="68">
          <cell r="B68" t="str">
            <v/>
          </cell>
          <cell r="H68" t="str">
            <v>--</v>
          </cell>
          <cell r="Q68" t="str">
            <v>EXT</v>
          </cell>
          <cell r="R68" t="str">
            <v>Placeholder</v>
          </cell>
          <cell r="W68">
            <v>1</v>
          </cell>
          <cell r="X68" t="str">
            <v>USD</v>
          </cell>
          <cell r="Z68">
            <v>0</v>
          </cell>
          <cell r="AA68">
            <v>0</v>
          </cell>
          <cell r="AC68">
            <v>0</v>
          </cell>
          <cell r="AD68">
            <v>0</v>
          </cell>
          <cell r="AF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P68" t="str">
            <v>X</v>
          </cell>
          <cell r="AQ68" t="str">
            <v/>
          </cell>
        </row>
        <row r="69">
          <cell r="B69" t="str">
            <v/>
          </cell>
          <cell r="H69" t="str">
            <v>--</v>
          </cell>
          <cell r="Q69" t="str">
            <v>EXT</v>
          </cell>
          <cell r="R69" t="str">
            <v>Placeholder</v>
          </cell>
          <cell r="W69">
            <v>1</v>
          </cell>
          <cell r="X69" t="str">
            <v>USD</v>
          </cell>
          <cell r="Z69">
            <v>0</v>
          </cell>
          <cell r="AA69">
            <v>0</v>
          </cell>
          <cell r="AC69">
            <v>0</v>
          </cell>
          <cell r="AD69">
            <v>0</v>
          </cell>
          <cell r="AF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P69" t="str">
            <v>X</v>
          </cell>
          <cell r="AQ69" t="str">
            <v/>
          </cell>
        </row>
        <row r="70">
          <cell r="I70" t="str">
            <v>1.8 Commissioning Spares</v>
          </cell>
        </row>
        <row r="71">
          <cell r="B71" t="str">
            <v>Low Level Control HW</v>
          </cell>
          <cell r="C71">
            <v>0</v>
          </cell>
          <cell r="D71">
            <v>4</v>
          </cell>
          <cell r="E71" t="str">
            <v>CP</v>
          </cell>
          <cell r="F71" t="str">
            <v>B_</v>
          </cell>
          <cell r="G71" t="str">
            <v>AB</v>
          </cell>
          <cell r="H71" t="str">
            <v>04-CP-B_-AB</v>
          </cell>
          <cell r="I71" t="str">
            <v>Electrical Spare Parts</v>
          </cell>
          <cell r="Q71" t="str">
            <v>EXT</v>
          </cell>
          <cell r="R71" t="str">
            <v>Placeholder</v>
          </cell>
          <cell r="U71" t="str">
            <v>LS</v>
          </cell>
          <cell r="W71">
            <v>1</v>
          </cell>
          <cell r="X71" t="str">
            <v>USD</v>
          </cell>
          <cell r="Z71">
            <v>0</v>
          </cell>
          <cell r="AA71">
            <v>0</v>
          </cell>
          <cell r="AC71">
            <v>0</v>
          </cell>
          <cell r="AD71">
            <v>0</v>
          </cell>
          <cell r="AF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P71" t="str">
            <v>X</v>
          </cell>
          <cell r="AQ71" t="str">
            <v>CF.5</v>
          </cell>
        </row>
        <row r="72">
          <cell r="B72" t="str">
            <v>Low Level Control HW</v>
          </cell>
          <cell r="C72">
            <v>0</v>
          </cell>
          <cell r="D72">
            <v>4</v>
          </cell>
          <cell r="E72" t="str">
            <v>CP</v>
          </cell>
          <cell r="F72" t="str">
            <v>B_</v>
          </cell>
          <cell r="G72" t="str">
            <v>AC</v>
          </cell>
          <cell r="H72" t="str">
            <v>04-CP-B_-AC</v>
          </cell>
          <cell r="I72" t="str">
            <v>Control Spare Parts</v>
          </cell>
          <cell r="J72" t="str">
            <v>=0,02% of Material</v>
          </cell>
          <cell r="L72" t="str">
            <v>Offshore:
GER
(MAT)</v>
          </cell>
          <cell r="Q72" t="str">
            <v>EXT</v>
          </cell>
          <cell r="R72" t="str">
            <v>Estimate</v>
          </cell>
          <cell r="T72">
            <v>1</v>
          </cell>
          <cell r="U72" t="str">
            <v>LS</v>
          </cell>
          <cell r="V72">
            <v>77299.762215762152</v>
          </cell>
          <cell r="W72">
            <v>2</v>
          </cell>
          <cell r="X72" t="str">
            <v>EUR</v>
          </cell>
          <cell r="Z72">
            <v>0</v>
          </cell>
          <cell r="AA72">
            <v>0</v>
          </cell>
          <cell r="AC72">
            <v>77299.762215762152</v>
          </cell>
          <cell r="AD72">
            <v>82208.297116463043</v>
          </cell>
          <cell r="AF72">
            <v>0</v>
          </cell>
          <cell r="AH72">
            <v>82208.297116463043</v>
          </cell>
          <cell r="AI72">
            <v>0.23709783177495308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107757.32530388166</v>
          </cell>
          <cell r="AP72" t="str">
            <v>IV.4.2</v>
          </cell>
          <cell r="AQ72" t="str">
            <v>CF.5</v>
          </cell>
        </row>
        <row r="73">
          <cell r="B73" t="str">
            <v/>
          </cell>
          <cell r="H73" t="str">
            <v>--</v>
          </cell>
          <cell r="Q73" t="str">
            <v>EXT</v>
          </cell>
          <cell r="R73" t="str">
            <v>Placeholder</v>
          </cell>
          <cell r="W73">
            <v>1</v>
          </cell>
          <cell r="X73" t="str">
            <v>USD</v>
          </cell>
          <cell r="Z73">
            <v>0</v>
          </cell>
          <cell r="AA73">
            <v>0</v>
          </cell>
          <cell r="AC73">
            <v>0</v>
          </cell>
          <cell r="AD73">
            <v>0</v>
          </cell>
          <cell r="AF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P73" t="str">
            <v>X</v>
          </cell>
          <cell r="AQ73" t="str">
            <v/>
          </cell>
        </row>
        <row r="74">
          <cell r="B74" t="str">
            <v/>
          </cell>
          <cell r="H74" t="str">
            <v>--</v>
          </cell>
          <cell r="Q74" t="str">
            <v>EXT</v>
          </cell>
          <cell r="R74" t="str">
            <v>Placeholder</v>
          </cell>
          <cell r="W74">
            <v>1</v>
          </cell>
          <cell r="X74" t="str">
            <v>USD</v>
          </cell>
          <cell r="Z74">
            <v>0</v>
          </cell>
          <cell r="AA74">
            <v>0</v>
          </cell>
          <cell r="AC74">
            <v>0</v>
          </cell>
          <cell r="AD74">
            <v>0</v>
          </cell>
          <cell r="AF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P74" t="str">
            <v>X</v>
          </cell>
          <cell r="AQ74" t="str">
            <v/>
          </cell>
        </row>
        <row r="75">
          <cell r="I75" t="str">
            <v>1.9 Inital Spare Part Package / Onsite Spares</v>
          </cell>
        </row>
        <row r="76">
          <cell r="B76" t="str">
            <v>Operation &amp; Maintenance - One-Time Cost</v>
          </cell>
          <cell r="C76" t="str">
            <v>W</v>
          </cell>
          <cell r="D76">
            <v>4</v>
          </cell>
          <cell r="E76" t="str">
            <v>CI</v>
          </cell>
          <cell r="F76" t="str">
            <v>B_</v>
          </cell>
          <cell r="G76" t="str">
            <v>AB</v>
          </cell>
          <cell r="H76" t="str">
            <v>W4-CI-B_-AB</v>
          </cell>
          <cell r="I76" t="str">
            <v>Electrical Spare Parts</v>
          </cell>
          <cell r="Q76" t="str">
            <v>EXT</v>
          </cell>
          <cell r="R76" t="str">
            <v>Placeholder</v>
          </cell>
          <cell r="U76" t="str">
            <v>LS</v>
          </cell>
          <cell r="W76">
            <v>1</v>
          </cell>
          <cell r="X76" t="str">
            <v>USD</v>
          </cell>
          <cell r="Z76">
            <v>0</v>
          </cell>
          <cell r="AA76">
            <v>0</v>
          </cell>
          <cell r="AC76">
            <v>0</v>
          </cell>
          <cell r="AD76">
            <v>0</v>
          </cell>
          <cell r="AF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P76" t="str">
            <v>X</v>
          </cell>
          <cell r="AQ76" t="str">
            <v>CF.15</v>
          </cell>
        </row>
        <row r="77">
          <cell r="B77" t="str">
            <v>Operation &amp; Maintenance - One-Time Cost</v>
          </cell>
          <cell r="C77" t="str">
            <v>W</v>
          </cell>
          <cell r="D77">
            <v>4</v>
          </cell>
          <cell r="E77" t="str">
            <v>CI</v>
          </cell>
          <cell r="F77" t="str">
            <v>B_</v>
          </cell>
          <cell r="G77" t="str">
            <v>AC</v>
          </cell>
          <cell r="H77" t="str">
            <v>W4-CI-B_-AC</v>
          </cell>
          <cell r="I77" t="str">
            <v>Control Spare Parts</v>
          </cell>
          <cell r="J77" t="str">
            <v>=0,02% of Material</v>
          </cell>
          <cell r="L77" t="str">
            <v>Offshore:
GER
(MAT)</v>
          </cell>
          <cell r="Q77" t="str">
            <v>EXT</v>
          </cell>
          <cell r="R77" t="str">
            <v>Estimate</v>
          </cell>
          <cell r="T77">
            <v>1</v>
          </cell>
          <cell r="U77" t="str">
            <v>LS</v>
          </cell>
          <cell r="V77">
            <v>77299.762215762152</v>
          </cell>
          <cell r="W77">
            <v>2</v>
          </cell>
          <cell r="X77" t="str">
            <v>EUR</v>
          </cell>
          <cell r="Z77">
            <v>0</v>
          </cell>
          <cell r="AA77">
            <v>0</v>
          </cell>
          <cell r="AC77">
            <v>77299.762215762152</v>
          </cell>
          <cell r="AD77">
            <v>82208.297116463043</v>
          </cell>
          <cell r="AF77">
            <v>0</v>
          </cell>
          <cell r="AH77">
            <v>82208.297116463043</v>
          </cell>
          <cell r="AI77">
            <v>0.23709783177495308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107757.32530388166</v>
          </cell>
          <cell r="AP77" t="str">
            <v>IV.4.2</v>
          </cell>
          <cell r="AQ77" t="str">
            <v>CF.15</v>
          </cell>
        </row>
        <row r="78">
          <cell r="B78" t="str">
            <v/>
          </cell>
          <cell r="H78" t="str">
            <v>--</v>
          </cell>
          <cell r="Q78" t="str">
            <v>EXT</v>
          </cell>
          <cell r="R78" t="str">
            <v>Placeholder</v>
          </cell>
          <cell r="W78">
            <v>1</v>
          </cell>
          <cell r="X78" t="str">
            <v>USD</v>
          </cell>
          <cell r="Z78">
            <v>0</v>
          </cell>
          <cell r="AA78">
            <v>0</v>
          </cell>
          <cell r="AC78">
            <v>0</v>
          </cell>
          <cell r="AD78">
            <v>0</v>
          </cell>
          <cell r="AF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P78" t="str">
            <v>X</v>
          </cell>
          <cell r="AQ78" t="str">
            <v/>
          </cell>
        </row>
        <row r="79">
          <cell r="B79" t="str">
            <v/>
          </cell>
          <cell r="H79" t="str">
            <v>--</v>
          </cell>
          <cell r="Q79" t="str">
            <v>EXT</v>
          </cell>
          <cell r="R79" t="str">
            <v>Placeholder</v>
          </cell>
          <cell r="W79">
            <v>1</v>
          </cell>
          <cell r="X79" t="str">
            <v>USD</v>
          </cell>
          <cell r="Z79">
            <v>0</v>
          </cell>
          <cell r="AA79">
            <v>0</v>
          </cell>
          <cell r="AC79">
            <v>0</v>
          </cell>
          <cell r="AD79">
            <v>0</v>
          </cell>
          <cell r="AF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P79" t="str">
            <v>X</v>
          </cell>
          <cell r="AQ79" t="str">
            <v/>
          </cell>
        </row>
        <row r="80">
          <cell r="B80" t="str">
            <v>Subtotal - 2</v>
          </cell>
          <cell r="I80" t="str">
            <v>2. Check-In System - Panels, Field Devices, VFDs, Brackets</v>
          </cell>
        </row>
        <row r="81">
          <cell r="I81" t="str">
            <v>2.1 Field Panels (PM, PFC, …)</v>
          </cell>
        </row>
        <row r="82">
          <cell r="B82" t="str">
            <v>Low Level Control HW</v>
          </cell>
          <cell r="C82">
            <v>0</v>
          </cell>
          <cell r="D82">
            <v>4</v>
          </cell>
          <cell r="E82" t="str">
            <v>CU</v>
          </cell>
          <cell r="F82" t="str">
            <v>CI</v>
          </cell>
          <cell r="G82" t="str">
            <v>CP</v>
          </cell>
          <cell r="H82" t="str">
            <v>04-CU-CI-CP</v>
          </cell>
          <cell r="I82" t="str">
            <v>Check-In Panel (Distr. &amp; Starter) CP</v>
          </cell>
          <cell r="J82" t="str">
            <v>221024_LTIA_Ph1_Z-4-CA-002_PLC_Material_Costs_Long Than_Belt_2022-09-30.xlsx</v>
          </cell>
          <cell r="L82" t="str">
            <v>Offshore:
GER
(MAT)</v>
          </cell>
          <cell r="M82" t="str">
            <v>S. Zenk</v>
          </cell>
          <cell r="N82">
            <v>44859</v>
          </cell>
          <cell r="P82" t="str">
            <v>XIAN Offer +15%</v>
          </cell>
          <cell r="Q82" t="str">
            <v>EXT</v>
          </cell>
          <cell r="R82" t="str">
            <v>Estimate</v>
          </cell>
          <cell r="T82">
            <v>24</v>
          </cell>
          <cell r="U82" t="str">
            <v>PC</v>
          </cell>
          <cell r="V82">
            <v>15000</v>
          </cell>
          <cell r="W82">
            <v>2</v>
          </cell>
          <cell r="X82" t="str">
            <v>EUR</v>
          </cell>
          <cell r="Y82" t="str">
            <v>German MGK 1</v>
          </cell>
          <cell r="Z82">
            <v>0</v>
          </cell>
          <cell r="AA82">
            <v>0</v>
          </cell>
          <cell r="AC82">
            <v>360000</v>
          </cell>
          <cell r="AD82">
            <v>382859.99999999994</v>
          </cell>
          <cell r="AF82">
            <v>0</v>
          </cell>
          <cell r="AH82">
            <v>382859.99999999994</v>
          </cell>
          <cell r="AI82">
            <v>0.23709783177495308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501846.7844845092</v>
          </cell>
          <cell r="AP82" t="str">
            <v>II</v>
          </cell>
          <cell r="AQ82" t="str">
            <v>CF.5</v>
          </cell>
        </row>
        <row r="83">
          <cell r="B83" t="str">
            <v>Low Level Control HW</v>
          </cell>
          <cell r="C83">
            <v>0</v>
          </cell>
          <cell r="D83">
            <v>4</v>
          </cell>
          <cell r="E83" t="str">
            <v>CU</v>
          </cell>
          <cell r="F83" t="str">
            <v>CI</v>
          </cell>
          <cell r="G83" t="str">
            <v>CO</v>
          </cell>
          <cell r="H83" t="str">
            <v>04-CU-CI-CO</v>
          </cell>
          <cell r="I83" t="str">
            <v>Check-In (I/O Box) CB</v>
          </cell>
          <cell r="J83" t="str">
            <v>221024_LTIA_Ph1_Z-4-CA-002_PLC_Material_Costs_Long Than_Belt_2022-09-30.xlsx</v>
          </cell>
          <cell r="L83" t="str">
            <v>Offshore:
GER
(MAT)</v>
          </cell>
          <cell r="M83" t="str">
            <v>S. Zenk</v>
          </cell>
          <cell r="N83">
            <v>44859</v>
          </cell>
          <cell r="P83" t="str">
            <v>XIAN Offer +15%</v>
          </cell>
          <cell r="Q83" t="str">
            <v>EXT</v>
          </cell>
          <cell r="R83" t="str">
            <v>Estimate</v>
          </cell>
          <cell r="T83">
            <v>48</v>
          </cell>
          <cell r="U83" t="str">
            <v>PC</v>
          </cell>
          <cell r="V83">
            <v>2000</v>
          </cell>
          <cell r="W83">
            <v>2</v>
          </cell>
          <cell r="X83" t="str">
            <v>EUR</v>
          </cell>
          <cell r="Y83" t="str">
            <v>German MGK 1</v>
          </cell>
          <cell r="Z83">
            <v>0</v>
          </cell>
          <cell r="AA83">
            <v>0</v>
          </cell>
          <cell r="AC83">
            <v>96000</v>
          </cell>
          <cell r="AD83">
            <v>102095.99999999999</v>
          </cell>
          <cell r="AF83">
            <v>0</v>
          </cell>
          <cell r="AH83">
            <v>102095.99999999999</v>
          </cell>
          <cell r="AI83">
            <v>0.23709783177495308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133825.80919586914</v>
          </cell>
          <cell r="AP83" t="str">
            <v>II</v>
          </cell>
          <cell r="AQ83" t="str">
            <v>CF.5</v>
          </cell>
        </row>
        <row r="84">
          <cell r="B84" t="str">
            <v/>
          </cell>
          <cell r="H84" t="str">
            <v>--</v>
          </cell>
          <cell r="Q84" t="str">
            <v>EXT</v>
          </cell>
          <cell r="R84" t="str">
            <v>Placeholder</v>
          </cell>
          <cell r="W84">
            <v>1</v>
          </cell>
          <cell r="X84" t="str">
            <v>USD</v>
          </cell>
          <cell r="Z84">
            <v>0</v>
          </cell>
          <cell r="AA84">
            <v>0</v>
          </cell>
          <cell r="AC84">
            <v>0</v>
          </cell>
          <cell r="AD84">
            <v>0</v>
          </cell>
          <cell r="AF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P84" t="str">
            <v>X</v>
          </cell>
          <cell r="AQ84" t="str">
            <v/>
          </cell>
        </row>
        <row r="85">
          <cell r="B85" t="str">
            <v/>
          </cell>
          <cell r="H85" t="str">
            <v>--</v>
          </cell>
          <cell r="Q85" t="str">
            <v>EXT</v>
          </cell>
          <cell r="R85" t="str">
            <v>Placeholder</v>
          </cell>
          <cell r="W85">
            <v>1</v>
          </cell>
          <cell r="X85" t="str">
            <v>USD</v>
          </cell>
          <cell r="Z85">
            <v>0</v>
          </cell>
          <cell r="AA85">
            <v>0</v>
          </cell>
          <cell r="AC85">
            <v>0</v>
          </cell>
          <cell r="AD85">
            <v>0</v>
          </cell>
          <cell r="AF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P85" t="str">
            <v>X</v>
          </cell>
          <cell r="AQ85" t="str">
            <v/>
          </cell>
        </row>
        <row r="86">
          <cell r="I86" t="str">
            <v>2.2 Field Devices Sensors…</v>
          </cell>
        </row>
        <row r="87">
          <cell r="B87" t="str">
            <v>Low Level Control HW</v>
          </cell>
          <cell r="C87">
            <v>0</v>
          </cell>
          <cell r="D87">
            <v>4</v>
          </cell>
          <cell r="E87" t="str">
            <v>CC</v>
          </cell>
          <cell r="F87" t="str">
            <v>CI</v>
          </cell>
          <cell r="G87" t="str">
            <v>BG</v>
          </cell>
          <cell r="H87" t="str">
            <v>04-CC-CI-BG</v>
          </cell>
          <cell r="I87" t="str">
            <v>Field Devices: Actors, Sensors</v>
          </cell>
          <cell r="Q87" t="str">
            <v>EXT</v>
          </cell>
          <cell r="R87" t="str">
            <v>Placeholder</v>
          </cell>
          <cell r="U87" t="str">
            <v>PC</v>
          </cell>
          <cell r="W87">
            <v>1</v>
          </cell>
          <cell r="X87" t="str">
            <v>USD</v>
          </cell>
          <cell r="Z87">
            <v>0</v>
          </cell>
          <cell r="AA87">
            <v>0</v>
          </cell>
          <cell r="AC87">
            <v>0</v>
          </cell>
          <cell r="AD87">
            <v>0</v>
          </cell>
          <cell r="AF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P87" t="str">
            <v>X</v>
          </cell>
          <cell r="AQ87" t="str">
            <v>CF.5</v>
          </cell>
        </row>
        <row r="88">
          <cell r="B88" t="str">
            <v>Low Level Control HW</v>
          </cell>
          <cell r="C88">
            <v>0</v>
          </cell>
          <cell r="D88">
            <v>4</v>
          </cell>
          <cell r="E88" t="str">
            <v>CC</v>
          </cell>
          <cell r="F88" t="str">
            <v>CI</v>
          </cell>
          <cell r="G88" t="str">
            <v>BA</v>
          </cell>
          <cell r="H88" t="str">
            <v>04-CC-CI-BA</v>
          </cell>
          <cell r="I88" t="str">
            <v>Field Devices: I/O Devices</v>
          </cell>
          <cell r="Q88" t="str">
            <v>EXT</v>
          </cell>
          <cell r="R88" t="str">
            <v>Placeholder</v>
          </cell>
          <cell r="U88" t="str">
            <v>PC</v>
          </cell>
          <cell r="W88">
            <v>1</v>
          </cell>
          <cell r="X88" t="str">
            <v>USD</v>
          </cell>
          <cell r="Z88">
            <v>0</v>
          </cell>
          <cell r="AA88">
            <v>0</v>
          </cell>
          <cell r="AC88">
            <v>0</v>
          </cell>
          <cell r="AD88">
            <v>0</v>
          </cell>
          <cell r="AF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P88" t="str">
            <v>X</v>
          </cell>
          <cell r="AQ88" t="str">
            <v>CF.5</v>
          </cell>
        </row>
        <row r="89">
          <cell r="B89" t="str">
            <v>Low Level Control HW</v>
          </cell>
          <cell r="C89">
            <v>0</v>
          </cell>
          <cell r="D89">
            <v>4</v>
          </cell>
          <cell r="E89" t="str">
            <v>CC</v>
          </cell>
          <cell r="F89" t="str">
            <v>CI</v>
          </cell>
          <cell r="G89" t="str">
            <v>BU</v>
          </cell>
          <cell r="H89" t="str">
            <v>04-CC-CI-BU</v>
          </cell>
          <cell r="I89" t="str">
            <v>Field Devices: Equipment Brackets &amp; Supports</v>
          </cell>
          <cell r="Q89" t="str">
            <v>EXT</v>
          </cell>
          <cell r="R89" t="str">
            <v>Placeholder</v>
          </cell>
          <cell r="U89" t="str">
            <v>PC</v>
          </cell>
          <cell r="W89">
            <v>1</v>
          </cell>
          <cell r="X89" t="str">
            <v>USD</v>
          </cell>
          <cell r="Z89">
            <v>0</v>
          </cell>
          <cell r="AA89">
            <v>0</v>
          </cell>
          <cell r="AC89">
            <v>0</v>
          </cell>
          <cell r="AD89">
            <v>0</v>
          </cell>
          <cell r="AF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P89" t="str">
            <v>X</v>
          </cell>
          <cell r="AQ89" t="str">
            <v>CF.5</v>
          </cell>
        </row>
        <row r="90">
          <cell r="B90" t="str">
            <v>Low Level Control HW</v>
          </cell>
          <cell r="C90">
            <v>0</v>
          </cell>
          <cell r="D90">
            <v>4</v>
          </cell>
          <cell r="E90" t="str">
            <v>CC</v>
          </cell>
          <cell r="F90" t="str">
            <v>CI</v>
          </cell>
          <cell r="G90" t="str">
            <v>BW</v>
          </cell>
          <cell r="H90" t="str">
            <v>04-CC-CI-BW</v>
          </cell>
          <cell r="I90" t="str">
            <v>Field Devices: Premanu. Sensor cable</v>
          </cell>
          <cell r="Q90" t="str">
            <v>EXT</v>
          </cell>
          <cell r="R90" t="str">
            <v>Placeholder</v>
          </cell>
          <cell r="U90" t="str">
            <v>PC</v>
          </cell>
          <cell r="W90">
            <v>1</v>
          </cell>
          <cell r="X90" t="str">
            <v>USD</v>
          </cell>
          <cell r="Z90">
            <v>0</v>
          </cell>
          <cell r="AA90">
            <v>0</v>
          </cell>
          <cell r="AC90">
            <v>0</v>
          </cell>
          <cell r="AD90">
            <v>0</v>
          </cell>
          <cell r="AF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P90" t="str">
            <v>X</v>
          </cell>
          <cell r="AQ90" t="str">
            <v>CF.5</v>
          </cell>
        </row>
        <row r="91">
          <cell r="B91" t="str">
            <v>Low Level Control HW</v>
          </cell>
          <cell r="C91">
            <v>0</v>
          </cell>
          <cell r="D91">
            <v>4</v>
          </cell>
          <cell r="E91" t="str">
            <v>CC</v>
          </cell>
          <cell r="F91" t="str">
            <v>CI</v>
          </cell>
          <cell r="G91" t="str">
            <v>SJ</v>
          </cell>
          <cell r="H91" t="str">
            <v>04-CC-CI-SJ</v>
          </cell>
          <cell r="I91" t="str">
            <v>Field Devices:Control Station</v>
          </cell>
          <cell r="J91" t="str">
            <v>221024_LTIA_Ph1_Z-4-CA-002_PLC_Material_Costs_Long Than_Belt_2022-09-30.xlsx</v>
          </cell>
          <cell r="L91" t="str">
            <v>Offshore:
GER
(MAT)</v>
          </cell>
          <cell r="M91" t="str">
            <v>S. Zenk</v>
          </cell>
          <cell r="N91">
            <v>44859</v>
          </cell>
          <cell r="Q91" t="str">
            <v>EXT</v>
          </cell>
          <cell r="R91" t="str">
            <v>Estimate</v>
          </cell>
          <cell r="T91">
            <v>224</v>
          </cell>
          <cell r="U91" t="str">
            <v>PC</v>
          </cell>
          <cell r="V91">
            <v>600</v>
          </cell>
          <cell r="W91">
            <v>2</v>
          </cell>
          <cell r="X91" t="str">
            <v>EUR</v>
          </cell>
          <cell r="Y91" t="str">
            <v>German MGK 1</v>
          </cell>
          <cell r="Z91">
            <v>0</v>
          </cell>
          <cell r="AA91">
            <v>0</v>
          </cell>
          <cell r="AC91">
            <v>134400</v>
          </cell>
          <cell r="AD91">
            <v>142934.39999999999</v>
          </cell>
          <cell r="AF91">
            <v>0</v>
          </cell>
          <cell r="AH91">
            <v>142934.39999999999</v>
          </cell>
          <cell r="AI91">
            <v>0.23709783177495308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187356.1328742168</v>
          </cell>
          <cell r="AP91" t="str">
            <v>II</v>
          </cell>
          <cell r="AQ91" t="str">
            <v>CF.5</v>
          </cell>
        </row>
        <row r="92">
          <cell r="B92" t="str">
            <v>Low Level Control HW</v>
          </cell>
          <cell r="C92">
            <v>0</v>
          </cell>
          <cell r="D92">
            <v>4</v>
          </cell>
          <cell r="E92" t="str">
            <v>CC</v>
          </cell>
          <cell r="F92" t="str">
            <v>CI</v>
          </cell>
          <cell r="G92" t="str">
            <v>SP</v>
          </cell>
          <cell r="H92" t="str">
            <v>04-CC-CI-SP</v>
          </cell>
          <cell r="I92" t="str">
            <v>Field Devices: Light Beacons / Tower Lamps (LB)</v>
          </cell>
          <cell r="Q92" t="str">
            <v>EXT</v>
          </cell>
          <cell r="R92" t="str">
            <v>Placeholder</v>
          </cell>
          <cell r="U92" t="str">
            <v>PC</v>
          </cell>
          <cell r="W92">
            <v>1</v>
          </cell>
          <cell r="X92" t="str">
            <v>USD</v>
          </cell>
          <cell r="Z92">
            <v>0</v>
          </cell>
          <cell r="AA92">
            <v>0</v>
          </cell>
          <cell r="AC92">
            <v>0</v>
          </cell>
          <cell r="AD92">
            <v>0</v>
          </cell>
          <cell r="AF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P92" t="str">
            <v>X</v>
          </cell>
          <cell r="AQ92" t="str">
            <v>CF.5</v>
          </cell>
        </row>
        <row r="93">
          <cell r="B93" t="str">
            <v>Low Level Control HW</v>
          </cell>
          <cell r="C93">
            <v>0</v>
          </cell>
          <cell r="D93">
            <v>4</v>
          </cell>
          <cell r="E93" t="str">
            <v>CC</v>
          </cell>
          <cell r="F93" t="str">
            <v>CI</v>
          </cell>
          <cell r="G93" t="str">
            <v>SG</v>
          </cell>
          <cell r="H93" t="str">
            <v>04-CC-CI-SG</v>
          </cell>
          <cell r="I93" t="str">
            <v>Field Devices: Foot Switch</v>
          </cell>
          <cell r="J93" t="str">
            <v>221024_LTIA_Ph1_Z-4-CA-002_PLC_Material_Costs_Long Than_Belt_2022-09-30.xlsx</v>
          </cell>
          <cell r="L93" t="str">
            <v>Offshore:
GER
(MAT)</v>
          </cell>
          <cell r="M93" t="str">
            <v>S. Zenk</v>
          </cell>
          <cell r="N93">
            <v>44859</v>
          </cell>
          <cell r="O93" t="str">
            <v>PMD</v>
          </cell>
          <cell r="P93" t="str">
            <v>Siemens</v>
          </cell>
          <cell r="Q93" t="str">
            <v>OSE</v>
          </cell>
          <cell r="R93" t="str">
            <v>Binding Quote</v>
          </cell>
          <cell r="T93">
            <v>224</v>
          </cell>
          <cell r="U93" t="str">
            <v>PC</v>
          </cell>
          <cell r="V93">
            <v>20.109999999999996</v>
          </cell>
          <cell r="W93">
            <v>2</v>
          </cell>
          <cell r="X93" t="str">
            <v>EUR</v>
          </cell>
          <cell r="Y93" t="str">
            <v>German MGK 1</v>
          </cell>
          <cell r="Z93">
            <v>0</v>
          </cell>
          <cell r="AA93">
            <v>0</v>
          </cell>
          <cell r="AC93">
            <v>4504.6399999999994</v>
          </cell>
          <cell r="AD93">
            <v>4790.6846399999986</v>
          </cell>
          <cell r="AF93">
            <v>0</v>
          </cell>
          <cell r="AH93">
            <v>4790.6846399999986</v>
          </cell>
          <cell r="AI93">
            <v>0.23709783177495308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6279.5530535008311</v>
          </cell>
          <cell r="AP93" t="str">
            <v>II</v>
          </cell>
          <cell r="AQ93" t="str">
            <v>CF.5</v>
          </cell>
        </row>
        <row r="94">
          <cell r="B94" t="str">
            <v/>
          </cell>
          <cell r="H94" t="str">
            <v>--</v>
          </cell>
          <cell r="Q94" t="str">
            <v>EXT</v>
          </cell>
          <cell r="R94" t="str">
            <v>Placeholder</v>
          </cell>
          <cell r="W94">
            <v>1</v>
          </cell>
          <cell r="X94" t="str">
            <v>USD</v>
          </cell>
          <cell r="Z94">
            <v>0</v>
          </cell>
          <cell r="AA94">
            <v>0</v>
          </cell>
          <cell r="AC94">
            <v>0</v>
          </cell>
          <cell r="AD94">
            <v>0</v>
          </cell>
          <cell r="AF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P94" t="str">
            <v>X</v>
          </cell>
          <cell r="AQ94" t="str">
            <v/>
          </cell>
        </row>
        <row r="95">
          <cell r="I95" t="str">
            <v>2.3 Cable Supporting System</v>
          </cell>
        </row>
        <row r="96">
          <cell r="B96" t="str">
            <v>Low Level Control HW</v>
          </cell>
          <cell r="C96">
            <v>0</v>
          </cell>
          <cell r="D96">
            <v>4</v>
          </cell>
          <cell r="E96" t="str">
            <v>CL</v>
          </cell>
          <cell r="F96" t="str">
            <v>CI</v>
          </cell>
          <cell r="G96" t="str">
            <v>BU</v>
          </cell>
          <cell r="H96" t="str">
            <v>04-CL-CI-BU</v>
          </cell>
          <cell r="I96" t="str">
            <v>Cable Tray Cable Rack, Cable Trunking, Cable Ladder, Conduit</v>
          </cell>
          <cell r="Q96" t="str">
            <v>EXT</v>
          </cell>
          <cell r="R96" t="str">
            <v>Placeholder</v>
          </cell>
          <cell r="U96" t="str">
            <v>MT</v>
          </cell>
          <cell r="W96">
            <v>1</v>
          </cell>
          <cell r="X96" t="str">
            <v>USD</v>
          </cell>
          <cell r="Z96">
            <v>0</v>
          </cell>
          <cell r="AA96">
            <v>0</v>
          </cell>
          <cell r="AC96">
            <v>0</v>
          </cell>
          <cell r="AD96">
            <v>0</v>
          </cell>
          <cell r="AF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P96" t="str">
            <v>X</v>
          </cell>
          <cell r="AQ96" t="str">
            <v>CF.5</v>
          </cell>
        </row>
        <row r="97">
          <cell r="B97" t="str">
            <v/>
          </cell>
          <cell r="H97" t="str">
            <v>--</v>
          </cell>
          <cell r="Q97" t="str">
            <v>EXT</v>
          </cell>
          <cell r="R97" t="str">
            <v>Placeholder</v>
          </cell>
          <cell r="W97">
            <v>1</v>
          </cell>
          <cell r="X97" t="str">
            <v>USD</v>
          </cell>
          <cell r="Z97">
            <v>0</v>
          </cell>
          <cell r="AA97">
            <v>0</v>
          </cell>
          <cell r="AC97">
            <v>0</v>
          </cell>
          <cell r="AD97">
            <v>0</v>
          </cell>
          <cell r="AF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P97" t="str">
            <v>X</v>
          </cell>
          <cell r="AQ97" t="str">
            <v/>
          </cell>
        </row>
        <row r="98">
          <cell r="B98" t="str">
            <v/>
          </cell>
          <cell r="H98" t="str">
            <v>--</v>
          </cell>
          <cell r="Q98" t="str">
            <v>EXT</v>
          </cell>
          <cell r="R98" t="str">
            <v>Placeholder</v>
          </cell>
          <cell r="W98">
            <v>1</v>
          </cell>
          <cell r="X98" t="str">
            <v>USD</v>
          </cell>
          <cell r="Z98">
            <v>0</v>
          </cell>
          <cell r="AA98">
            <v>0</v>
          </cell>
          <cell r="AC98">
            <v>0</v>
          </cell>
          <cell r="AD98">
            <v>0</v>
          </cell>
          <cell r="AF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P98" t="str">
            <v>X</v>
          </cell>
          <cell r="AQ98" t="str">
            <v/>
          </cell>
        </row>
        <row r="99">
          <cell r="I99" t="str">
            <v>2.4 Wire and Cable</v>
          </cell>
        </row>
        <row r="100">
          <cell r="B100" t="str">
            <v>Low Level Control HW</v>
          </cell>
          <cell r="C100">
            <v>0</v>
          </cell>
          <cell r="D100">
            <v>4</v>
          </cell>
          <cell r="E100" t="str">
            <v>CW</v>
          </cell>
          <cell r="F100" t="str">
            <v>CI</v>
          </cell>
          <cell r="G100" t="str">
            <v>DB</v>
          </cell>
          <cell r="H100" t="str">
            <v>04-CW-CI-DB</v>
          </cell>
          <cell r="I100" t="str">
            <v>Low Voltage Power Cable</v>
          </cell>
          <cell r="Q100" t="str">
            <v>EXT</v>
          </cell>
          <cell r="R100" t="str">
            <v>Placeholder</v>
          </cell>
          <cell r="U100" t="str">
            <v>MT</v>
          </cell>
          <cell r="W100">
            <v>1</v>
          </cell>
          <cell r="X100" t="str">
            <v>USD</v>
          </cell>
          <cell r="Z100">
            <v>0</v>
          </cell>
          <cell r="AA100">
            <v>0</v>
          </cell>
          <cell r="AC100">
            <v>0</v>
          </cell>
          <cell r="AD100">
            <v>0</v>
          </cell>
          <cell r="AF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P100" t="str">
            <v>X</v>
          </cell>
          <cell r="AQ100" t="str">
            <v>CF.5</v>
          </cell>
        </row>
        <row r="101">
          <cell r="B101" t="str">
            <v>Low Level Control HW</v>
          </cell>
          <cell r="C101">
            <v>0</v>
          </cell>
          <cell r="D101">
            <v>4</v>
          </cell>
          <cell r="E101" t="str">
            <v>CW</v>
          </cell>
          <cell r="F101" t="str">
            <v>CI</v>
          </cell>
          <cell r="G101" t="str">
            <v>EB</v>
          </cell>
          <cell r="H101" t="str">
            <v>04-CW-CI-EB</v>
          </cell>
          <cell r="I101" t="str">
            <v>Earthing Cable</v>
          </cell>
          <cell r="Q101" t="str">
            <v>EXT</v>
          </cell>
          <cell r="R101" t="str">
            <v>Placeholder</v>
          </cell>
          <cell r="U101" t="str">
            <v>MT</v>
          </cell>
          <cell r="W101">
            <v>1</v>
          </cell>
          <cell r="X101" t="str">
            <v>USD</v>
          </cell>
          <cell r="Z101">
            <v>0</v>
          </cell>
          <cell r="AA101">
            <v>0</v>
          </cell>
          <cell r="AC101">
            <v>0</v>
          </cell>
          <cell r="AD101">
            <v>0</v>
          </cell>
          <cell r="AF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P101" t="str">
            <v>X</v>
          </cell>
          <cell r="AQ101" t="str">
            <v>CF.5</v>
          </cell>
        </row>
        <row r="102">
          <cell r="B102" t="str">
            <v>Low Level Control HW</v>
          </cell>
          <cell r="C102">
            <v>0</v>
          </cell>
          <cell r="D102">
            <v>4</v>
          </cell>
          <cell r="E102" t="str">
            <v>CW</v>
          </cell>
          <cell r="F102" t="str">
            <v>CI</v>
          </cell>
          <cell r="G102" t="str">
            <v>GA</v>
          </cell>
          <cell r="H102" t="str">
            <v>04-CW-CI-GA</v>
          </cell>
          <cell r="I102" t="str">
            <v>Signal Cable, CU Control Cable</v>
          </cell>
          <cell r="Q102" t="str">
            <v>EXT</v>
          </cell>
          <cell r="R102" t="str">
            <v>Placeholder</v>
          </cell>
          <cell r="U102" t="str">
            <v>MT</v>
          </cell>
          <cell r="W102">
            <v>1</v>
          </cell>
          <cell r="X102" t="str">
            <v>USD</v>
          </cell>
          <cell r="Z102">
            <v>0</v>
          </cell>
          <cell r="AA102">
            <v>0</v>
          </cell>
          <cell r="AC102">
            <v>0</v>
          </cell>
          <cell r="AD102">
            <v>0</v>
          </cell>
          <cell r="AF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P102" t="str">
            <v>X</v>
          </cell>
          <cell r="AQ102" t="str">
            <v>CF.5</v>
          </cell>
        </row>
        <row r="103">
          <cell r="B103" t="str">
            <v>Low Level Control HW</v>
          </cell>
          <cell r="C103">
            <v>0</v>
          </cell>
          <cell r="D103">
            <v>4</v>
          </cell>
          <cell r="E103" t="str">
            <v>CW</v>
          </cell>
          <cell r="F103" t="str">
            <v>CI</v>
          </cell>
          <cell r="G103" t="str">
            <v>GB</v>
          </cell>
          <cell r="H103" t="str">
            <v>04-CW-CI-GB</v>
          </cell>
          <cell r="I103" t="str">
            <v>Signal Cable, CU Data Cable</v>
          </cell>
          <cell r="Q103" t="str">
            <v>EXT</v>
          </cell>
          <cell r="R103" t="str">
            <v>Placeholder</v>
          </cell>
          <cell r="U103" t="str">
            <v>MT</v>
          </cell>
          <cell r="W103">
            <v>1</v>
          </cell>
          <cell r="X103" t="str">
            <v>USD</v>
          </cell>
          <cell r="Z103">
            <v>0</v>
          </cell>
          <cell r="AA103">
            <v>0</v>
          </cell>
          <cell r="AC103">
            <v>0</v>
          </cell>
          <cell r="AD103">
            <v>0</v>
          </cell>
          <cell r="AF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P103" t="str">
            <v>X</v>
          </cell>
          <cell r="AQ103" t="str">
            <v>CF.5</v>
          </cell>
        </row>
        <row r="104">
          <cell r="B104" t="str">
            <v>Low Level Control HW</v>
          </cell>
          <cell r="C104">
            <v>0</v>
          </cell>
          <cell r="D104">
            <v>4</v>
          </cell>
          <cell r="E104" t="str">
            <v>CW</v>
          </cell>
          <cell r="F104" t="str">
            <v>CI</v>
          </cell>
          <cell r="G104" t="str">
            <v>HA</v>
          </cell>
          <cell r="H104" t="str">
            <v>04-CW-CI-HA</v>
          </cell>
          <cell r="I104" t="str">
            <v>Signal Cable, Optical Fibre Optical Cable</v>
          </cell>
          <cell r="Q104" t="str">
            <v>EXT</v>
          </cell>
          <cell r="R104" t="str">
            <v>Placeholder</v>
          </cell>
          <cell r="U104" t="str">
            <v>MT</v>
          </cell>
          <cell r="W104">
            <v>1</v>
          </cell>
          <cell r="X104" t="str">
            <v>USD</v>
          </cell>
          <cell r="Z104">
            <v>0</v>
          </cell>
          <cell r="AA104">
            <v>0</v>
          </cell>
          <cell r="AC104">
            <v>0</v>
          </cell>
          <cell r="AD104">
            <v>0</v>
          </cell>
          <cell r="AF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P104" t="str">
            <v>X</v>
          </cell>
          <cell r="AQ104" t="str">
            <v>CF.5</v>
          </cell>
        </row>
        <row r="105">
          <cell r="B105" t="str">
            <v/>
          </cell>
          <cell r="H105" t="str">
            <v>--</v>
          </cell>
          <cell r="Q105" t="str">
            <v>EXT</v>
          </cell>
          <cell r="R105" t="str">
            <v>Placeholder</v>
          </cell>
          <cell r="W105">
            <v>1</v>
          </cell>
          <cell r="X105" t="str">
            <v>USD</v>
          </cell>
          <cell r="Z105">
            <v>0</v>
          </cell>
          <cell r="AA105">
            <v>0</v>
          </cell>
          <cell r="AC105">
            <v>0</v>
          </cell>
          <cell r="AD105">
            <v>0</v>
          </cell>
          <cell r="AF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P105" t="str">
            <v>X</v>
          </cell>
          <cell r="AQ105" t="str">
            <v/>
          </cell>
        </row>
        <row r="106">
          <cell r="B106" t="str">
            <v/>
          </cell>
          <cell r="H106" t="str">
            <v>--</v>
          </cell>
          <cell r="Q106" t="str">
            <v>EXT</v>
          </cell>
          <cell r="R106" t="str">
            <v>Placeholder</v>
          </cell>
          <cell r="W106">
            <v>1</v>
          </cell>
          <cell r="X106" t="str">
            <v>USD</v>
          </cell>
          <cell r="Z106">
            <v>0</v>
          </cell>
          <cell r="AA106">
            <v>0</v>
          </cell>
          <cell r="AC106">
            <v>0</v>
          </cell>
          <cell r="AD106">
            <v>0</v>
          </cell>
          <cell r="AF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P106" t="str">
            <v>X</v>
          </cell>
          <cell r="AQ106" t="str">
            <v/>
          </cell>
        </row>
        <row r="107">
          <cell r="B107" t="str">
            <v>Subtotal - 3</v>
          </cell>
          <cell r="I107" t="str">
            <v>3. Carousel System - Panels, Field Devices, VFDs, Brackets</v>
          </cell>
        </row>
        <row r="108">
          <cell r="I108" t="str">
            <v>3.1 Control Panel (LP = Power and PLC Part)</v>
          </cell>
        </row>
        <row r="109">
          <cell r="B109" t="str">
            <v>Low Level Control HW</v>
          </cell>
          <cell r="C109">
            <v>0</v>
          </cell>
          <cell r="D109">
            <v>4</v>
          </cell>
          <cell r="E109" t="str">
            <v>CU</v>
          </cell>
          <cell r="F109" t="str">
            <v>T_</v>
          </cell>
          <cell r="G109" t="str">
            <v>CB</v>
          </cell>
          <cell r="H109" t="str">
            <v>04-CU-T_-CB</v>
          </cell>
          <cell r="I109" t="str">
            <v>LM 1500 Hybridschrank (LP + PM)</v>
          </cell>
          <cell r="Q109" t="str">
            <v>EXT</v>
          </cell>
          <cell r="R109" t="str">
            <v>Placeholder</v>
          </cell>
          <cell r="U109" t="str">
            <v>PC</v>
          </cell>
          <cell r="W109">
            <v>1</v>
          </cell>
          <cell r="X109" t="str">
            <v>USD</v>
          </cell>
          <cell r="Z109">
            <v>0</v>
          </cell>
          <cell r="AA109">
            <v>0</v>
          </cell>
          <cell r="AC109">
            <v>0</v>
          </cell>
          <cell r="AD109">
            <v>0</v>
          </cell>
          <cell r="AF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P109" t="str">
            <v>X</v>
          </cell>
          <cell r="AQ109" t="str">
            <v>CF.5</v>
          </cell>
        </row>
        <row r="110">
          <cell r="B110" t="str">
            <v>Low Level Control HW</v>
          </cell>
          <cell r="C110">
            <v>0</v>
          </cell>
          <cell r="D110">
            <v>4</v>
          </cell>
          <cell r="E110" t="str">
            <v>CU</v>
          </cell>
          <cell r="F110" t="str">
            <v>T_</v>
          </cell>
          <cell r="G110" t="str">
            <v>CB</v>
          </cell>
          <cell r="H110" t="str">
            <v>04-CU-T_-CB</v>
          </cell>
          <cell r="I110" t="str">
            <v>LP PLC Panel  (LP) S7-1517</v>
          </cell>
          <cell r="Q110" t="str">
            <v>EXT</v>
          </cell>
          <cell r="R110" t="str">
            <v>Placeholder</v>
          </cell>
          <cell r="U110" t="str">
            <v>PC</v>
          </cell>
          <cell r="W110">
            <v>1</v>
          </cell>
          <cell r="X110" t="str">
            <v>USD</v>
          </cell>
          <cell r="Z110">
            <v>0</v>
          </cell>
          <cell r="AA110">
            <v>0</v>
          </cell>
          <cell r="AC110">
            <v>0</v>
          </cell>
          <cell r="AD110">
            <v>0</v>
          </cell>
          <cell r="AF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P110" t="str">
            <v>X</v>
          </cell>
          <cell r="AQ110" t="str">
            <v>CF.5</v>
          </cell>
        </row>
        <row r="111">
          <cell r="B111" t="str">
            <v>Low Level Control HW</v>
          </cell>
          <cell r="C111">
            <v>0</v>
          </cell>
          <cell r="D111">
            <v>4</v>
          </cell>
          <cell r="E111" t="str">
            <v>CU</v>
          </cell>
          <cell r="F111" t="str">
            <v>T_</v>
          </cell>
          <cell r="G111" t="str">
            <v>CB</v>
          </cell>
          <cell r="H111" t="str">
            <v>04-CU-T_-CB</v>
          </cell>
          <cell r="I111" t="str">
            <v>LP PLC Panel  (LP) S7-1517H</v>
          </cell>
          <cell r="Q111" t="str">
            <v>EXT</v>
          </cell>
          <cell r="R111" t="str">
            <v>Placeholder</v>
          </cell>
          <cell r="U111" t="str">
            <v>PC</v>
          </cell>
          <cell r="W111">
            <v>1</v>
          </cell>
          <cell r="X111" t="str">
            <v>USD</v>
          </cell>
          <cell r="Z111">
            <v>0</v>
          </cell>
          <cell r="AA111">
            <v>0</v>
          </cell>
          <cell r="AC111">
            <v>0</v>
          </cell>
          <cell r="AD111">
            <v>0</v>
          </cell>
          <cell r="AF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P111" t="str">
            <v>X</v>
          </cell>
          <cell r="AQ111" t="str">
            <v>CF.5</v>
          </cell>
        </row>
        <row r="112">
          <cell r="B112" t="str">
            <v/>
          </cell>
          <cell r="H112" t="str">
            <v>--</v>
          </cell>
          <cell r="Q112" t="str">
            <v>EXT</v>
          </cell>
          <cell r="R112" t="str">
            <v>Placeholder</v>
          </cell>
          <cell r="W112">
            <v>1</v>
          </cell>
          <cell r="X112" t="str">
            <v>USD</v>
          </cell>
          <cell r="Z112">
            <v>0</v>
          </cell>
          <cell r="AA112">
            <v>0</v>
          </cell>
          <cell r="AC112">
            <v>0</v>
          </cell>
          <cell r="AD112">
            <v>0</v>
          </cell>
          <cell r="AF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P112" t="str">
            <v>X</v>
          </cell>
          <cell r="AQ112" t="str">
            <v/>
          </cell>
        </row>
        <row r="113">
          <cell r="B113" t="str">
            <v/>
          </cell>
          <cell r="H113" t="str">
            <v>--</v>
          </cell>
          <cell r="Q113" t="str">
            <v>EXT</v>
          </cell>
          <cell r="R113" t="str">
            <v>Placeholder</v>
          </cell>
          <cell r="W113">
            <v>1</v>
          </cell>
          <cell r="X113" t="str">
            <v>USD</v>
          </cell>
          <cell r="Z113">
            <v>0</v>
          </cell>
          <cell r="AA113">
            <v>0</v>
          </cell>
          <cell r="AC113">
            <v>0</v>
          </cell>
          <cell r="AD113">
            <v>0</v>
          </cell>
          <cell r="AF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P113" t="str">
            <v>X</v>
          </cell>
          <cell r="AQ113" t="str">
            <v/>
          </cell>
        </row>
        <row r="114">
          <cell r="I114" t="str">
            <v>3.2 Field Panels (PM, PFC, …)</v>
          </cell>
        </row>
        <row r="115">
          <cell r="B115" t="str">
            <v>Low Level Control HW</v>
          </cell>
          <cell r="C115">
            <v>0</v>
          </cell>
          <cell r="D115">
            <v>4</v>
          </cell>
          <cell r="E115" t="str">
            <v>CU</v>
          </cell>
          <cell r="F115" t="str">
            <v>T_</v>
          </cell>
          <cell r="G115" t="str">
            <v>CC</v>
          </cell>
          <cell r="H115" t="str">
            <v>04-CU-T_-CC</v>
          </cell>
          <cell r="I115" t="str">
            <v>Field Control Panel (PM)</v>
          </cell>
          <cell r="Q115" t="str">
            <v>EXT</v>
          </cell>
          <cell r="R115" t="str">
            <v>Placeholder</v>
          </cell>
          <cell r="U115" t="str">
            <v>PC</v>
          </cell>
          <cell r="W115">
            <v>1</v>
          </cell>
          <cell r="X115" t="str">
            <v>USD</v>
          </cell>
          <cell r="Z115">
            <v>0</v>
          </cell>
          <cell r="AA115">
            <v>0</v>
          </cell>
          <cell r="AC115">
            <v>0</v>
          </cell>
          <cell r="AD115">
            <v>0</v>
          </cell>
          <cell r="AF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P115" t="str">
            <v>X</v>
          </cell>
          <cell r="AQ115" t="str">
            <v>CF.5</v>
          </cell>
        </row>
        <row r="116">
          <cell r="B116" t="str">
            <v>Low Level Control HW</v>
          </cell>
          <cell r="C116">
            <v>0</v>
          </cell>
          <cell r="D116">
            <v>4</v>
          </cell>
          <cell r="E116" t="str">
            <v>CC</v>
          </cell>
          <cell r="F116" t="str">
            <v>T_</v>
          </cell>
          <cell r="G116" t="str">
            <v>CE</v>
          </cell>
          <cell r="H116" t="str">
            <v>04-CC-T_-CE</v>
          </cell>
          <cell r="I116" t="str">
            <v>I/O Box IOB (FB)</v>
          </cell>
          <cell r="Q116" t="str">
            <v>EXT</v>
          </cell>
          <cell r="R116" t="str">
            <v>Placeholder</v>
          </cell>
          <cell r="U116" t="str">
            <v>PC</v>
          </cell>
          <cell r="W116">
            <v>1</v>
          </cell>
          <cell r="X116" t="str">
            <v>USD</v>
          </cell>
          <cell r="Z116">
            <v>0</v>
          </cell>
          <cell r="AA116">
            <v>0</v>
          </cell>
          <cell r="AC116">
            <v>0</v>
          </cell>
          <cell r="AD116">
            <v>0</v>
          </cell>
          <cell r="AF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P116" t="str">
            <v>X</v>
          </cell>
          <cell r="AQ116" t="str">
            <v>CF.5</v>
          </cell>
        </row>
        <row r="117">
          <cell r="B117" t="str">
            <v/>
          </cell>
          <cell r="H117" t="str">
            <v>--</v>
          </cell>
          <cell r="Q117" t="str">
            <v>EXT</v>
          </cell>
          <cell r="R117" t="str">
            <v>Placeholder</v>
          </cell>
          <cell r="W117">
            <v>1</v>
          </cell>
          <cell r="X117" t="str">
            <v>USD</v>
          </cell>
          <cell r="Z117">
            <v>0</v>
          </cell>
          <cell r="AA117">
            <v>0</v>
          </cell>
          <cell r="AC117">
            <v>0</v>
          </cell>
          <cell r="AD117">
            <v>0</v>
          </cell>
          <cell r="AF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P117" t="str">
            <v>X</v>
          </cell>
          <cell r="AQ117" t="str">
            <v/>
          </cell>
        </row>
        <row r="118">
          <cell r="B118" t="str">
            <v/>
          </cell>
          <cell r="H118" t="str">
            <v>--</v>
          </cell>
          <cell r="Q118" t="str">
            <v>EXT</v>
          </cell>
          <cell r="R118" t="str">
            <v>Placeholder</v>
          </cell>
          <cell r="W118">
            <v>1</v>
          </cell>
          <cell r="X118" t="str">
            <v>USD</v>
          </cell>
          <cell r="Z118">
            <v>0</v>
          </cell>
          <cell r="AA118">
            <v>0</v>
          </cell>
          <cell r="AC118">
            <v>0</v>
          </cell>
          <cell r="AD118">
            <v>0</v>
          </cell>
          <cell r="AF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P118" t="str">
            <v>X</v>
          </cell>
          <cell r="AQ118" t="str">
            <v/>
          </cell>
        </row>
        <row r="119">
          <cell r="I119" t="str">
            <v>3.3 Drive Control</v>
          </cell>
        </row>
        <row r="120">
          <cell r="B120" t="str">
            <v>Low Level Control HW</v>
          </cell>
          <cell r="C120">
            <v>0</v>
          </cell>
          <cell r="D120">
            <v>4</v>
          </cell>
          <cell r="E120" t="str">
            <v>CC</v>
          </cell>
          <cell r="F120" t="str">
            <v>T_</v>
          </cell>
          <cell r="G120" t="str">
            <v>QA</v>
          </cell>
          <cell r="H120" t="str">
            <v>04-CC-T_-QA</v>
          </cell>
          <cell r="I120" t="str">
            <v>VFD: G110D 3kW</v>
          </cell>
          <cell r="Q120" t="str">
            <v>EXT</v>
          </cell>
          <cell r="R120" t="str">
            <v>Placeholder</v>
          </cell>
          <cell r="U120" t="str">
            <v>PC</v>
          </cell>
          <cell r="W120">
            <v>1</v>
          </cell>
          <cell r="X120" t="str">
            <v>USD</v>
          </cell>
          <cell r="Z120">
            <v>0</v>
          </cell>
          <cell r="AA120">
            <v>0</v>
          </cell>
          <cell r="AC120">
            <v>0</v>
          </cell>
          <cell r="AD120">
            <v>0</v>
          </cell>
          <cell r="AF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P120" t="str">
            <v>X</v>
          </cell>
          <cell r="AQ120" t="str">
            <v>CF.5</v>
          </cell>
        </row>
        <row r="121">
          <cell r="B121" t="str">
            <v>Low Level Control HW</v>
          </cell>
          <cell r="C121">
            <v>0</v>
          </cell>
          <cell r="D121">
            <v>4</v>
          </cell>
          <cell r="E121" t="str">
            <v>CC</v>
          </cell>
          <cell r="F121" t="str">
            <v>T_</v>
          </cell>
          <cell r="G121" t="str">
            <v>QA</v>
          </cell>
          <cell r="H121" t="str">
            <v>04-CC-T_-QA</v>
          </cell>
          <cell r="I121" t="str">
            <v>VFD: G115D WM FSB PN CON 2,2kW</v>
          </cell>
          <cell r="Q121" t="str">
            <v>EXT</v>
          </cell>
          <cell r="R121" t="str">
            <v>Placeholder</v>
          </cell>
          <cell r="U121" t="str">
            <v>PC</v>
          </cell>
          <cell r="W121">
            <v>1</v>
          </cell>
          <cell r="X121" t="str">
            <v>USD</v>
          </cell>
          <cell r="Z121">
            <v>0</v>
          </cell>
          <cell r="AA121">
            <v>0</v>
          </cell>
          <cell r="AC121">
            <v>0</v>
          </cell>
          <cell r="AD121">
            <v>0</v>
          </cell>
          <cell r="AF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P121" t="str">
            <v>X</v>
          </cell>
          <cell r="AQ121" t="str">
            <v>CF.5</v>
          </cell>
        </row>
        <row r="122">
          <cell r="B122" t="str">
            <v>Low Level Control HW</v>
          </cell>
          <cell r="C122">
            <v>0</v>
          </cell>
          <cell r="D122">
            <v>4</v>
          </cell>
          <cell r="E122" t="str">
            <v>CC</v>
          </cell>
          <cell r="F122" t="str">
            <v>T_</v>
          </cell>
          <cell r="G122" t="str">
            <v>QA</v>
          </cell>
          <cell r="H122" t="str">
            <v>04-CC-T_-QA</v>
          </cell>
          <cell r="I122" t="str">
            <v>VFD: Brake Resistor</v>
          </cell>
          <cell r="Q122" t="str">
            <v>EXT</v>
          </cell>
          <cell r="R122" t="str">
            <v>Placeholder</v>
          </cell>
          <cell r="U122" t="str">
            <v>PC</v>
          </cell>
          <cell r="W122">
            <v>1</v>
          </cell>
          <cell r="X122" t="str">
            <v>USD</v>
          </cell>
          <cell r="Z122">
            <v>0</v>
          </cell>
          <cell r="AA122">
            <v>0</v>
          </cell>
          <cell r="AC122">
            <v>0</v>
          </cell>
          <cell r="AD122">
            <v>0</v>
          </cell>
          <cell r="AF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P122" t="str">
            <v>X</v>
          </cell>
          <cell r="AQ122" t="str">
            <v>CF.5</v>
          </cell>
        </row>
        <row r="123">
          <cell r="B123" t="str">
            <v>Low Level Control HW</v>
          </cell>
          <cell r="C123">
            <v>0</v>
          </cell>
          <cell r="D123">
            <v>4</v>
          </cell>
          <cell r="E123" t="str">
            <v>CC</v>
          </cell>
          <cell r="F123" t="str">
            <v>T_</v>
          </cell>
          <cell r="G123" t="str">
            <v>QA</v>
          </cell>
          <cell r="H123" t="str">
            <v>04-CC-T_-QA</v>
          </cell>
          <cell r="I123" t="str">
            <v>VFD: Power T-Connector</v>
          </cell>
          <cell r="Q123" t="str">
            <v>EXT</v>
          </cell>
          <cell r="R123" t="str">
            <v>Placeholder</v>
          </cell>
          <cell r="U123" t="str">
            <v>PC</v>
          </cell>
          <cell r="W123">
            <v>1</v>
          </cell>
          <cell r="X123" t="str">
            <v>USD</v>
          </cell>
          <cell r="Z123">
            <v>0</v>
          </cell>
          <cell r="AA123">
            <v>0</v>
          </cell>
          <cell r="AC123">
            <v>0</v>
          </cell>
          <cell r="AD123">
            <v>0</v>
          </cell>
          <cell r="AF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P123" t="str">
            <v>X</v>
          </cell>
          <cell r="AQ123" t="str">
            <v>CF.5</v>
          </cell>
        </row>
        <row r="124">
          <cell r="B124" t="str">
            <v>Low Level Control HW</v>
          </cell>
          <cell r="C124">
            <v>0</v>
          </cell>
          <cell r="D124">
            <v>4</v>
          </cell>
          <cell r="E124" t="str">
            <v>CC</v>
          </cell>
          <cell r="F124" t="str">
            <v>T_</v>
          </cell>
          <cell r="G124" t="str">
            <v>QW</v>
          </cell>
          <cell r="H124" t="str">
            <v>04-CC-T_-QW</v>
          </cell>
          <cell r="I124" t="str">
            <v>VFD: Premanu. Power and Motor cable</v>
          </cell>
          <cell r="Q124" t="str">
            <v>EXT</v>
          </cell>
          <cell r="R124" t="str">
            <v>Placeholder</v>
          </cell>
          <cell r="U124" t="str">
            <v>ST</v>
          </cell>
          <cell r="W124">
            <v>1</v>
          </cell>
          <cell r="X124" t="str">
            <v>USD</v>
          </cell>
          <cell r="Z124">
            <v>0</v>
          </cell>
          <cell r="AA124">
            <v>0</v>
          </cell>
          <cell r="AC124">
            <v>0</v>
          </cell>
          <cell r="AD124">
            <v>0</v>
          </cell>
          <cell r="AF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P124" t="str">
            <v>X</v>
          </cell>
          <cell r="AQ124" t="str">
            <v>CF.5</v>
          </cell>
        </row>
        <row r="125">
          <cell r="B125" t="str">
            <v>Low Level Control HW</v>
          </cell>
          <cell r="C125">
            <v>0</v>
          </cell>
          <cell r="D125">
            <v>4</v>
          </cell>
          <cell r="E125" t="str">
            <v>CC</v>
          </cell>
          <cell r="F125" t="str">
            <v>T_</v>
          </cell>
          <cell r="G125" t="str">
            <v>QU</v>
          </cell>
          <cell r="H125" t="str">
            <v>04-CC-T_-QU</v>
          </cell>
          <cell r="I125" t="str">
            <v>VFD: Bracket G110D/G115D/G120D</v>
          </cell>
          <cell r="Q125" t="str">
            <v>EXT</v>
          </cell>
          <cell r="R125" t="str">
            <v>Placeholder</v>
          </cell>
          <cell r="U125" t="str">
            <v>ST</v>
          </cell>
          <cell r="W125">
            <v>1</v>
          </cell>
          <cell r="X125" t="str">
            <v>USD</v>
          </cell>
          <cell r="Z125">
            <v>0</v>
          </cell>
          <cell r="AA125">
            <v>0</v>
          </cell>
          <cell r="AC125">
            <v>0</v>
          </cell>
          <cell r="AD125">
            <v>0</v>
          </cell>
          <cell r="AF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P125" t="str">
            <v>X</v>
          </cell>
          <cell r="AQ125" t="str">
            <v>CF.5</v>
          </cell>
        </row>
        <row r="126">
          <cell r="B126" t="str">
            <v/>
          </cell>
          <cell r="H126" t="str">
            <v>--</v>
          </cell>
          <cell r="Q126" t="str">
            <v>EXT</v>
          </cell>
          <cell r="R126" t="str">
            <v>Placeholder</v>
          </cell>
          <cell r="W126">
            <v>1</v>
          </cell>
          <cell r="X126" t="str">
            <v>USD</v>
          </cell>
          <cell r="Z126">
            <v>0</v>
          </cell>
          <cell r="AA126">
            <v>0</v>
          </cell>
          <cell r="AC126">
            <v>0</v>
          </cell>
          <cell r="AD126">
            <v>0</v>
          </cell>
          <cell r="AF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P126" t="str">
            <v>X</v>
          </cell>
          <cell r="AQ126" t="str">
            <v/>
          </cell>
        </row>
        <row r="127">
          <cell r="B127" t="str">
            <v/>
          </cell>
          <cell r="H127" t="str">
            <v>--</v>
          </cell>
          <cell r="Q127" t="str">
            <v>EXT</v>
          </cell>
          <cell r="R127" t="str">
            <v>Placeholder</v>
          </cell>
          <cell r="W127">
            <v>1</v>
          </cell>
          <cell r="X127" t="str">
            <v>USD</v>
          </cell>
          <cell r="Z127">
            <v>0</v>
          </cell>
          <cell r="AA127">
            <v>0</v>
          </cell>
          <cell r="AC127">
            <v>0</v>
          </cell>
          <cell r="AD127">
            <v>0</v>
          </cell>
          <cell r="AF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P127" t="str">
            <v>X</v>
          </cell>
          <cell r="AQ127" t="str">
            <v/>
          </cell>
        </row>
        <row r="128">
          <cell r="I128" t="str">
            <v>3.5 Field Devices Sensors…</v>
          </cell>
        </row>
        <row r="129">
          <cell r="B129" t="str">
            <v>Low Level Control HW</v>
          </cell>
          <cell r="C129">
            <v>0</v>
          </cell>
          <cell r="D129">
            <v>4</v>
          </cell>
          <cell r="E129" t="str">
            <v>CC</v>
          </cell>
          <cell r="F129" t="str">
            <v>T_</v>
          </cell>
          <cell r="G129" t="str">
            <v>BG</v>
          </cell>
          <cell r="H129" t="str">
            <v>04-CC-T_-BG</v>
          </cell>
          <cell r="I129" t="str">
            <v>Field Devices: Actors, Sensors</v>
          </cell>
          <cell r="Q129" t="str">
            <v>EXT</v>
          </cell>
          <cell r="R129" t="str">
            <v>Placeholder</v>
          </cell>
          <cell r="U129" t="str">
            <v>PC</v>
          </cell>
          <cell r="W129">
            <v>1</v>
          </cell>
          <cell r="X129" t="str">
            <v>USD</v>
          </cell>
          <cell r="Z129">
            <v>0</v>
          </cell>
          <cell r="AA129">
            <v>0</v>
          </cell>
          <cell r="AC129">
            <v>0</v>
          </cell>
          <cell r="AD129">
            <v>0</v>
          </cell>
          <cell r="AF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P129" t="str">
            <v>X</v>
          </cell>
          <cell r="AQ129" t="str">
            <v>CF.5</v>
          </cell>
        </row>
        <row r="130">
          <cell r="B130" t="str">
            <v>Low Level Control HW</v>
          </cell>
          <cell r="C130">
            <v>0</v>
          </cell>
          <cell r="D130">
            <v>4</v>
          </cell>
          <cell r="E130" t="str">
            <v>CC</v>
          </cell>
          <cell r="F130" t="str">
            <v>T_</v>
          </cell>
          <cell r="G130" t="str">
            <v>BA</v>
          </cell>
          <cell r="H130" t="str">
            <v>04-CC-T_-BA</v>
          </cell>
          <cell r="I130" t="str">
            <v>Field Devices: I/O Devices</v>
          </cell>
          <cell r="Q130" t="str">
            <v>EXT</v>
          </cell>
          <cell r="R130" t="str">
            <v>Placeholder</v>
          </cell>
          <cell r="U130" t="str">
            <v>PC</v>
          </cell>
          <cell r="W130">
            <v>1</v>
          </cell>
          <cell r="X130" t="str">
            <v>USD</v>
          </cell>
          <cell r="Z130">
            <v>0</v>
          </cell>
          <cell r="AA130">
            <v>0</v>
          </cell>
          <cell r="AC130">
            <v>0</v>
          </cell>
          <cell r="AD130">
            <v>0</v>
          </cell>
          <cell r="AF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P130" t="str">
            <v>X</v>
          </cell>
          <cell r="AQ130" t="str">
            <v>CF.5</v>
          </cell>
        </row>
        <row r="131">
          <cell r="B131" t="str">
            <v>Low Level Control HW</v>
          </cell>
          <cell r="C131">
            <v>0</v>
          </cell>
          <cell r="D131">
            <v>4</v>
          </cell>
          <cell r="E131" t="str">
            <v>CC</v>
          </cell>
          <cell r="F131" t="str">
            <v>T_</v>
          </cell>
          <cell r="G131" t="str">
            <v>BU</v>
          </cell>
          <cell r="H131" t="str">
            <v>04-CC-T_-BU</v>
          </cell>
          <cell r="I131" t="str">
            <v>Field Devices: Equipment Brackets &amp; Supports</v>
          </cell>
          <cell r="Q131" t="str">
            <v>EXT</v>
          </cell>
          <cell r="R131" t="str">
            <v>Placeholder</v>
          </cell>
          <cell r="U131" t="str">
            <v>PC</v>
          </cell>
          <cell r="W131">
            <v>1</v>
          </cell>
          <cell r="X131" t="str">
            <v>USD</v>
          </cell>
          <cell r="Z131">
            <v>0</v>
          </cell>
          <cell r="AA131">
            <v>0</v>
          </cell>
          <cell r="AC131">
            <v>0</v>
          </cell>
          <cell r="AD131">
            <v>0</v>
          </cell>
          <cell r="AF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P131" t="str">
            <v>X</v>
          </cell>
          <cell r="AQ131" t="str">
            <v>CF.5</v>
          </cell>
        </row>
        <row r="132">
          <cell r="B132" t="str">
            <v>Low Level Control HW</v>
          </cell>
          <cell r="C132">
            <v>0</v>
          </cell>
          <cell r="D132">
            <v>4</v>
          </cell>
          <cell r="E132" t="str">
            <v>CC</v>
          </cell>
          <cell r="F132" t="str">
            <v>T_</v>
          </cell>
          <cell r="G132" t="str">
            <v>BW</v>
          </cell>
          <cell r="H132" t="str">
            <v>04-CC-T_-BW</v>
          </cell>
          <cell r="I132" t="str">
            <v>Field Devices: Premanu. Sensor cable</v>
          </cell>
          <cell r="Q132" t="str">
            <v>EXT</v>
          </cell>
          <cell r="R132" t="str">
            <v>Placeholder</v>
          </cell>
          <cell r="U132" t="str">
            <v>PC</v>
          </cell>
          <cell r="W132">
            <v>1</v>
          </cell>
          <cell r="X132" t="str">
            <v>USD</v>
          </cell>
          <cell r="Z132">
            <v>0</v>
          </cell>
          <cell r="AA132">
            <v>0</v>
          </cell>
          <cell r="AC132">
            <v>0</v>
          </cell>
          <cell r="AD132">
            <v>0</v>
          </cell>
          <cell r="AF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P132" t="str">
            <v>X</v>
          </cell>
          <cell r="AQ132" t="str">
            <v>CF.5</v>
          </cell>
        </row>
        <row r="133">
          <cell r="B133" t="str">
            <v>Low Level Control HW</v>
          </cell>
          <cell r="C133">
            <v>0</v>
          </cell>
          <cell r="D133">
            <v>4</v>
          </cell>
          <cell r="E133" t="str">
            <v>CC</v>
          </cell>
          <cell r="F133" t="str">
            <v>T_</v>
          </cell>
          <cell r="G133" t="str">
            <v>SJ</v>
          </cell>
          <cell r="H133" t="str">
            <v>04-CC-T_-SJ</v>
          </cell>
          <cell r="I133" t="str">
            <v>Field Devices: Control Stations (CS)</v>
          </cell>
          <cell r="Q133" t="str">
            <v>EXT</v>
          </cell>
          <cell r="R133" t="str">
            <v>Placeholder</v>
          </cell>
          <cell r="U133" t="str">
            <v>PC</v>
          </cell>
          <cell r="W133">
            <v>1</v>
          </cell>
          <cell r="X133" t="str">
            <v>USD</v>
          </cell>
          <cell r="Z133">
            <v>0</v>
          </cell>
          <cell r="AA133">
            <v>0</v>
          </cell>
          <cell r="AC133">
            <v>0</v>
          </cell>
          <cell r="AD133">
            <v>0</v>
          </cell>
          <cell r="AF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P133" t="str">
            <v>X</v>
          </cell>
          <cell r="AQ133" t="str">
            <v>CF.5</v>
          </cell>
        </row>
        <row r="134">
          <cell r="B134" t="str">
            <v>Low Level Control HW</v>
          </cell>
          <cell r="C134">
            <v>0</v>
          </cell>
          <cell r="D134">
            <v>4</v>
          </cell>
          <cell r="E134" t="str">
            <v>CC</v>
          </cell>
          <cell r="F134" t="str">
            <v>T_</v>
          </cell>
          <cell r="G134" t="str">
            <v>SP</v>
          </cell>
          <cell r="H134" t="str">
            <v>04-CC-T_-SP</v>
          </cell>
          <cell r="I134" t="str">
            <v>Field Devices: Light Beacons / Tower Lamps (LB)</v>
          </cell>
          <cell r="Q134" t="str">
            <v>EXT</v>
          </cell>
          <cell r="R134" t="str">
            <v>Placeholder</v>
          </cell>
          <cell r="U134" t="str">
            <v>PC</v>
          </cell>
          <cell r="W134">
            <v>1</v>
          </cell>
          <cell r="X134" t="str">
            <v>USD</v>
          </cell>
          <cell r="Z134">
            <v>0</v>
          </cell>
          <cell r="AA134">
            <v>0</v>
          </cell>
          <cell r="AC134">
            <v>0</v>
          </cell>
          <cell r="AD134">
            <v>0</v>
          </cell>
          <cell r="AF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P134" t="str">
            <v>X</v>
          </cell>
          <cell r="AQ134" t="str">
            <v>CF.5</v>
          </cell>
        </row>
        <row r="135">
          <cell r="B135" t="str">
            <v/>
          </cell>
          <cell r="H135" t="str">
            <v>--</v>
          </cell>
          <cell r="Q135" t="str">
            <v>EXT</v>
          </cell>
          <cell r="R135" t="str">
            <v>Placeholder</v>
          </cell>
          <cell r="W135">
            <v>1</v>
          </cell>
          <cell r="X135" t="str">
            <v>USD</v>
          </cell>
          <cell r="Z135">
            <v>0</v>
          </cell>
          <cell r="AA135">
            <v>0</v>
          </cell>
          <cell r="AC135">
            <v>0</v>
          </cell>
          <cell r="AD135">
            <v>0</v>
          </cell>
          <cell r="AF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P135" t="str">
            <v>X</v>
          </cell>
          <cell r="AQ135" t="str">
            <v/>
          </cell>
        </row>
        <row r="136">
          <cell r="B136" t="str">
            <v/>
          </cell>
          <cell r="H136" t="str">
            <v>--</v>
          </cell>
          <cell r="Q136" t="str">
            <v>EXT</v>
          </cell>
          <cell r="R136" t="str">
            <v>Placeholder</v>
          </cell>
          <cell r="W136">
            <v>1</v>
          </cell>
          <cell r="X136" t="str">
            <v>USD</v>
          </cell>
          <cell r="Z136">
            <v>0</v>
          </cell>
          <cell r="AA136">
            <v>0</v>
          </cell>
          <cell r="AC136">
            <v>0</v>
          </cell>
          <cell r="AD136">
            <v>0</v>
          </cell>
          <cell r="AF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P136" t="str">
            <v>X</v>
          </cell>
          <cell r="AQ136" t="str">
            <v/>
          </cell>
        </row>
        <row r="137">
          <cell r="I137" t="str">
            <v>3.6 Cable Supporting System</v>
          </cell>
        </row>
        <row r="138">
          <cell r="B138" t="str">
            <v>Low Level Control HW</v>
          </cell>
          <cell r="C138">
            <v>0</v>
          </cell>
          <cell r="D138">
            <v>4</v>
          </cell>
          <cell r="E138" t="str">
            <v>CL</v>
          </cell>
          <cell r="F138" t="str">
            <v>T_</v>
          </cell>
          <cell r="G138" t="str">
            <v>BU</v>
          </cell>
          <cell r="H138" t="str">
            <v>04-CL-T_-BU</v>
          </cell>
          <cell r="I138" t="str">
            <v>Cable Tray Cable Rack, Cable Trunking, Cable Ladder, Conduit</v>
          </cell>
          <cell r="Q138" t="str">
            <v>EXT</v>
          </cell>
          <cell r="R138" t="str">
            <v>Placeholder</v>
          </cell>
          <cell r="U138" t="str">
            <v>MT</v>
          </cell>
          <cell r="W138">
            <v>1</v>
          </cell>
          <cell r="X138" t="str">
            <v>USD</v>
          </cell>
          <cell r="Z138">
            <v>0</v>
          </cell>
          <cell r="AA138">
            <v>0</v>
          </cell>
          <cell r="AC138">
            <v>0</v>
          </cell>
          <cell r="AD138">
            <v>0</v>
          </cell>
          <cell r="AF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P138" t="str">
            <v>X</v>
          </cell>
          <cell r="AQ138" t="str">
            <v>CF.5</v>
          </cell>
        </row>
        <row r="139">
          <cell r="B139" t="str">
            <v/>
          </cell>
          <cell r="H139" t="str">
            <v>--</v>
          </cell>
          <cell r="Q139" t="str">
            <v>EXT</v>
          </cell>
          <cell r="R139" t="str">
            <v>Placeholder</v>
          </cell>
          <cell r="W139">
            <v>1</v>
          </cell>
          <cell r="X139" t="str">
            <v>USD</v>
          </cell>
          <cell r="Z139">
            <v>0</v>
          </cell>
          <cell r="AA139">
            <v>0</v>
          </cell>
          <cell r="AC139">
            <v>0</v>
          </cell>
          <cell r="AD139">
            <v>0</v>
          </cell>
          <cell r="AF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P139" t="str">
            <v>X</v>
          </cell>
          <cell r="AQ139" t="str">
            <v/>
          </cell>
        </row>
        <row r="140">
          <cell r="B140" t="str">
            <v/>
          </cell>
          <cell r="H140" t="str">
            <v>--</v>
          </cell>
          <cell r="Q140" t="str">
            <v>EXT</v>
          </cell>
          <cell r="R140" t="str">
            <v>Placeholder</v>
          </cell>
          <cell r="W140">
            <v>1</v>
          </cell>
          <cell r="X140" t="str">
            <v>USD</v>
          </cell>
          <cell r="Z140">
            <v>0</v>
          </cell>
          <cell r="AA140">
            <v>0</v>
          </cell>
          <cell r="AC140">
            <v>0</v>
          </cell>
          <cell r="AD140">
            <v>0</v>
          </cell>
          <cell r="AF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P140" t="str">
            <v>X</v>
          </cell>
          <cell r="AQ140" t="str">
            <v/>
          </cell>
        </row>
        <row r="141">
          <cell r="I141" t="str">
            <v>3.7 Wire and Cable</v>
          </cell>
        </row>
        <row r="142">
          <cell r="B142" t="str">
            <v>Low Level Control HW</v>
          </cell>
          <cell r="C142">
            <v>0</v>
          </cell>
          <cell r="D142">
            <v>4</v>
          </cell>
          <cell r="E142" t="str">
            <v>CW</v>
          </cell>
          <cell r="F142" t="str">
            <v>T_</v>
          </cell>
          <cell r="G142" t="str">
            <v>DB</v>
          </cell>
          <cell r="H142" t="str">
            <v>04-CW-T_-DB</v>
          </cell>
          <cell r="I142" t="str">
            <v>Low Voltage Power Cable</v>
          </cell>
          <cell r="Q142" t="str">
            <v>EXT</v>
          </cell>
          <cell r="R142" t="str">
            <v>Placeholder</v>
          </cell>
          <cell r="U142" t="str">
            <v>MT</v>
          </cell>
          <cell r="W142">
            <v>1</v>
          </cell>
          <cell r="X142" t="str">
            <v>USD</v>
          </cell>
          <cell r="Z142">
            <v>0</v>
          </cell>
          <cell r="AA142">
            <v>0</v>
          </cell>
          <cell r="AC142">
            <v>0</v>
          </cell>
          <cell r="AD142">
            <v>0</v>
          </cell>
          <cell r="AF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P142" t="str">
            <v>X</v>
          </cell>
          <cell r="AQ142" t="str">
            <v>CF.5</v>
          </cell>
        </row>
        <row r="143">
          <cell r="B143" t="str">
            <v>Low Level Control HW</v>
          </cell>
          <cell r="C143">
            <v>0</v>
          </cell>
          <cell r="D143">
            <v>4</v>
          </cell>
          <cell r="E143" t="str">
            <v>CW</v>
          </cell>
          <cell r="F143" t="str">
            <v>T_</v>
          </cell>
          <cell r="G143" t="str">
            <v>EB</v>
          </cell>
          <cell r="H143" t="str">
            <v>04-CW-T_-EB</v>
          </cell>
          <cell r="I143" t="str">
            <v>Earthing Cable</v>
          </cell>
          <cell r="Q143" t="str">
            <v>EXT</v>
          </cell>
          <cell r="R143" t="str">
            <v>Placeholder</v>
          </cell>
          <cell r="U143" t="str">
            <v>MT</v>
          </cell>
          <cell r="W143">
            <v>1</v>
          </cell>
          <cell r="X143" t="str">
            <v>USD</v>
          </cell>
          <cell r="Z143">
            <v>0</v>
          </cell>
          <cell r="AA143">
            <v>0</v>
          </cell>
          <cell r="AC143">
            <v>0</v>
          </cell>
          <cell r="AD143">
            <v>0</v>
          </cell>
          <cell r="AF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P143" t="str">
            <v>X</v>
          </cell>
          <cell r="AQ143" t="str">
            <v>CF.5</v>
          </cell>
        </row>
        <row r="144">
          <cell r="B144" t="str">
            <v>Low Level Control HW</v>
          </cell>
          <cell r="C144">
            <v>0</v>
          </cell>
          <cell r="D144">
            <v>4</v>
          </cell>
          <cell r="E144" t="str">
            <v>CW</v>
          </cell>
          <cell r="F144" t="str">
            <v>T_</v>
          </cell>
          <cell r="G144" t="str">
            <v>GA</v>
          </cell>
          <cell r="H144" t="str">
            <v>04-CW-T_-GA</v>
          </cell>
          <cell r="I144" t="str">
            <v>Signal Cable, CU Control Cable</v>
          </cell>
          <cell r="Q144" t="str">
            <v>EXT</v>
          </cell>
          <cell r="R144" t="str">
            <v>Placeholder</v>
          </cell>
          <cell r="U144" t="str">
            <v>MT</v>
          </cell>
          <cell r="W144">
            <v>1</v>
          </cell>
          <cell r="X144" t="str">
            <v>USD</v>
          </cell>
          <cell r="Z144">
            <v>0</v>
          </cell>
          <cell r="AA144">
            <v>0</v>
          </cell>
          <cell r="AC144">
            <v>0</v>
          </cell>
          <cell r="AD144">
            <v>0</v>
          </cell>
          <cell r="AF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P144" t="str">
            <v>X</v>
          </cell>
          <cell r="AQ144" t="str">
            <v>CF.5</v>
          </cell>
        </row>
        <row r="145">
          <cell r="B145" t="str">
            <v>Low Level Control HW</v>
          </cell>
          <cell r="C145">
            <v>0</v>
          </cell>
          <cell r="D145">
            <v>4</v>
          </cell>
          <cell r="E145" t="str">
            <v>CW</v>
          </cell>
          <cell r="F145" t="str">
            <v>T_</v>
          </cell>
          <cell r="G145" t="str">
            <v>GB</v>
          </cell>
          <cell r="H145" t="str">
            <v>04-CW-T_-GB</v>
          </cell>
          <cell r="I145" t="str">
            <v>Signal Cable, CU Data Cable</v>
          </cell>
          <cell r="Q145" t="str">
            <v>EXT</v>
          </cell>
          <cell r="R145" t="str">
            <v>Placeholder</v>
          </cell>
          <cell r="U145" t="str">
            <v>MT</v>
          </cell>
          <cell r="W145">
            <v>1</v>
          </cell>
          <cell r="X145" t="str">
            <v>USD</v>
          </cell>
          <cell r="Z145">
            <v>0</v>
          </cell>
          <cell r="AA145">
            <v>0</v>
          </cell>
          <cell r="AC145">
            <v>0</v>
          </cell>
          <cell r="AD145">
            <v>0</v>
          </cell>
          <cell r="AF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P145" t="str">
            <v>X</v>
          </cell>
          <cell r="AQ145" t="str">
            <v>CF.5</v>
          </cell>
        </row>
        <row r="146">
          <cell r="B146" t="str">
            <v>Low Level Control HW</v>
          </cell>
          <cell r="C146">
            <v>0</v>
          </cell>
          <cell r="D146">
            <v>4</v>
          </cell>
          <cell r="E146" t="str">
            <v>CW</v>
          </cell>
          <cell r="F146" t="str">
            <v>T_</v>
          </cell>
          <cell r="G146" t="str">
            <v>HA</v>
          </cell>
          <cell r="H146" t="str">
            <v>04-CW-T_-HA</v>
          </cell>
          <cell r="I146" t="str">
            <v>Signal Cable, Optical Fibre Optical Cable</v>
          </cell>
          <cell r="Q146" t="str">
            <v>EXT</v>
          </cell>
          <cell r="R146" t="str">
            <v>Placeholder</v>
          </cell>
          <cell r="U146" t="str">
            <v>MT</v>
          </cell>
          <cell r="W146">
            <v>1</v>
          </cell>
          <cell r="X146" t="str">
            <v>USD</v>
          </cell>
          <cell r="Z146">
            <v>0</v>
          </cell>
          <cell r="AA146">
            <v>0</v>
          </cell>
          <cell r="AC146">
            <v>0</v>
          </cell>
          <cell r="AD146">
            <v>0</v>
          </cell>
          <cell r="AF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P146" t="str">
            <v>X</v>
          </cell>
          <cell r="AQ146" t="str">
            <v>CF.5</v>
          </cell>
        </row>
        <row r="147">
          <cell r="B147" t="str">
            <v/>
          </cell>
          <cell r="H147" t="str">
            <v>--</v>
          </cell>
          <cell r="Q147" t="str">
            <v>EXT</v>
          </cell>
          <cell r="R147" t="str">
            <v>Placeholder</v>
          </cell>
          <cell r="W147">
            <v>1</v>
          </cell>
          <cell r="X147" t="str">
            <v>USD</v>
          </cell>
          <cell r="Z147">
            <v>0</v>
          </cell>
          <cell r="AA147">
            <v>0</v>
          </cell>
          <cell r="AC147">
            <v>0</v>
          </cell>
          <cell r="AD147">
            <v>0</v>
          </cell>
          <cell r="AF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P147" t="str">
            <v>X</v>
          </cell>
          <cell r="AQ147" t="str">
            <v/>
          </cell>
        </row>
        <row r="148">
          <cell r="B148" t="str">
            <v/>
          </cell>
          <cell r="H148" t="str">
            <v>--</v>
          </cell>
          <cell r="Q148" t="str">
            <v>EXT</v>
          </cell>
          <cell r="R148" t="str">
            <v>Placeholder</v>
          </cell>
          <cell r="W148">
            <v>1</v>
          </cell>
          <cell r="X148" t="str">
            <v>USD</v>
          </cell>
          <cell r="Z148">
            <v>0</v>
          </cell>
          <cell r="AA148">
            <v>0</v>
          </cell>
          <cell r="AC148">
            <v>0</v>
          </cell>
          <cell r="AD148">
            <v>0</v>
          </cell>
          <cell r="AF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P148" t="str">
            <v>X</v>
          </cell>
          <cell r="AQ148" t="str">
            <v/>
          </cell>
        </row>
        <row r="149">
          <cell r="B149" t="str">
            <v>Subtotal - 4</v>
          </cell>
          <cell r="I149" t="str">
            <v>4. Individual Carrier System - Panels, Field Devices, VFDs, Brackets</v>
          </cell>
        </row>
        <row r="150">
          <cell r="I150" t="str">
            <v>4.1 Control Panel (LP = Power and PLC Part)</v>
          </cell>
        </row>
        <row r="151">
          <cell r="B151" t="str">
            <v>Low Level Control HW</v>
          </cell>
          <cell r="C151">
            <v>0</v>
          </cell>
          <cell r="D151">
            <v>4</v>
          </cell>
          <cell r="E151" t="str">
            <v>CU</v>
          </cell>
          <cell r="F151" t="str">
            <v>I_</v>
          </cell>
          <cell r="G151" t="str">
            <v>CB</v>
          </cell>
          <cell r="H151" t="str">
            <v>04-CU-I_-CB</v>
          </cell>
          <cell r="I151" t="str">
            <v>LM 1500 Hybridschrank (LP + PM)</v>
          </cell>
          <cell r="Q151" t="str">
            <v>EXT</v>
          </cell>
          <cell r="R151" t="str">
            <v>Placeholder</v>
          </cell>
          <cell r="U151" t="str">
            <v>PC</v>
          </cell>
          <cell r="W151">
            <v>1</v>
          </cell>
          <cell r="X151" t="str">
            <v>USD</v>
          </cell>
          <cell r="Z151">
            <v>0</v>
          </cell>
          <cell r="AA151">
            <v>0</v>
          </cell>
          <cell r="AC151">
            <v>0</v>
          </cell>
          <cell r="AD151">
            <v>0</v>
          </cell>
          <cell r="AF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P151" t="str">
            <v>X</v>
          </cell>
          <cell r="AQ151" t="str">
            <v>CF.5</v>
          </cell>
        </row>
        <row r="152">
          <cell r="B152" t="str">
            <v>Low Level Control HW</v>
          </cell>
          <cell r="C152">
            <v>0</v>
          </cell>
          <cell r="D152">
            <v>4</v>
          </cell>
          <cell r="E152" t="str">
            <v>CU</v>
          </cell>
          <cell r="F152" t="str">
            <v>I_</v>
          </cell>
          <cell r="G152" t="str">
            <v>CB</v>
          </cell>
          <cell r="H152" t="str">
            <v>04-CU-I_-CB</v>
          </cell>
          <cell r="I152" t="str">
            <v>LP PLC Panel  (LP) S7-1517</v>
          </cell>
          <cell r="Q152" t="str">
            <v>EXT</v>
          </cell>
          <cell r="R152" t="str">
            <v>Placeholder</v>
          </cell>
          <cell r="U152" t="str">
            <v>PC</v>
          </cell>
          <cell r="W152">
            <v>1</v>
          </cell>
          <cell r="X152" t="str">
            <v>USD</v>
          </cell>
          <cell r="Z152">
            <v>0</v>
          </cell>
          <cell r="AA152">
            <v>0</v>
          </cell>
          <cell r="AC152">
            <v>0</v>
          </cell>
          <cell r="AD152">
            <v>0</v>
          </cell>
          <cell r="AF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P152" t="str">
            <v>X</v>
          </cell>
          <cell r="AQ152" t="str">
            <v>CF.5</v>
          </cell>
        </row>
        <row r="153">
          <cell r="B153" t="str">
            <v>Low Level Control HW</v>
          </cell>
          <cell r="C153">
            <v>0</v>
          </cell>
          <cell r="D153">
            <v>4</v>
          </cell>
          <cell r="E153" t="str">
            <v>CU</v>
          </cell>
          <cell r="F153" t="str">
            <v>I_</v>
          </cell>
          <cell r="G153" t="str">
            <v>CB</v>
          </cell>
          <cell r="H153" t="str">
            <v>04-CU-I_-CB</v>
          </cell>
          <cell r="I153" t="str">
            <v>LP PLC Panel  (LP) S7-1517H</v>
          </cell>
          <cell r="J153" t="str">
            <v>221024_LTIA_Ph1_Z-4-CA-003_PLC_Material_Costs_Long Than_Tray_2022-10-06.xlsx</v>
          </cell>
          <cell r="L153" t="str">
            <v>Offshore:
GER
(MAT)</v>
          </cell>
          <cell r="M153" t="str">
            <v>S. Zenk</v>
          </cell>
          <cell r="N153">
            <v>44859</v>
          </cell>
          <cell r="O153" t="str">
            <v>WKC-A28051_03_22</v>
          </cell>
          <cell r="P153" t="str">
            <v>Siemens WKC</v>
          </cell>
          <cell r="Q153" t="str">
            <v>OSE</v>
          </cell>
          <cell r="R153" t="str">
            <v>Binding Quote</v>
          </cell>
          <cell r="T153">
            <v>50</v>
          </cell>
          <cell r="U153" t="str">
            <v>PC</v>
          </cell>
          <cell r="V153">
            <v>29908</v>
          </cell>
          <cell r="W153">
            <v>2</v>
          </cell>
          <cell r="X153" t="str">
            <v>EUR</v>
          </cell>
          <cell r="Y153" t="str">
            <v>German MGK 1</v>
          </cell>
          <cell r="Z153">
            <v>0</v>
          </cell>
          <cell r="AA153">
            <v>0</v>
          </cell>
          <cell r="AC153">
            <v>1495400</v>
          </cell>
          <cell r="AD153">
            <v>1590357.9</v>
          </cell>
          <cell r="AF153">
            <v>0</v>
          </cell>
          <cell r="AH153">
            <v>1590357.9</v>
          </cell>
          <cell r="AI153">
            <v>0.23709783177495308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2084615.7819948199</v>
          </cell>
          <cell r="AP153" t="str">
            <v>II</v>
          </cell>
          <cell r="AQ153" t="str">
            <v>CF.5</v>
          </cell>
        </row>
        <row r="154">
          <cell r="B154" t="str">
            <v/>
          </cell>
          <cell r="H154" t="str">
            <v>--</v>
          </cell>
          <cell r="Q154" t="str">
            <v>EXT</v>
          </cell>
          <cell r="R154" t="str">
            <v>Placeholder</v>
          </cell>
          <cell r="W154">
            <v>1</v>
          </cell>
          <cell r="X154" t="str">
            <v>USD</v>
          </cell>
          <cell r="Z154">
            <v>0</v>
          </cell>
          <cell r="AA154">
            <v>0</v>
          </cell>
          <cell r="AC154">
            <v>0</v>
          </cell>
          <cell r="AD154">
            <v>0</v>
          </cell>
          <cell r="AF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P154" t="str">
            <v>X</v>
          </cell>
          <cell r="AQ154" t="str">
            <v/>
          </cell>
        </row>
        <row r="155">
          <cell r="B155" t="str">
            <v/>
          </cell>
          <cell r="H155" t="str">
            <v>--</v>
          </cell>
          <cell r="Q155" t="str">
            <v>EXT</v>
          </cell>
          <cell r="R155" t="str">
            <v>Placeholder</v>
          </cell>
          <cell r="W155">
            <v>1</v>
          </cell>
          <cell r="X155" t="str">
            <v>USD</v>
          </cell>
          <cell r="Z155">
            <v>0</v>
          </cell>
          <cell r="AA155">
            <v>0</v>
          </cell>
          <cell r="AC155">
            <v>0</v>
          </cell>
          <cell r="AD155">
            <v>0</v>
          </cell>
          <cell r="AF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P155" t="str">
            <v>X</v>
          </cell>
          <cell r="AQ155" t="str">
            <v/>
          </cell>
        </row>
        <row r="156">
          <cell r="I156" t="str">
            <v>4.2 Field Panels (PM, PFC, …)</v>
          </cell>
        </row>
        <row r="157">
          <cell r="B157" t="str">
            <v>Low Level Control HW</v>
          </cell>
          <cell r="C157">
            <v>0</v>
          </cell>
          <cell r="D157">
            <v>4</v>
          </cell>
          <cell r="E157" t="str">
            <v>CU</v>
          </cell>
          <cell r="F157" t="str">
            <v>I_</v>
          </cell>
          <cell r="G157" t="str">
            <v>CC</v>
          </cell>
          <cell r="H157" t="str">
            <v>04-CU-I_-CC</v>
          </cell>
          <cell r="I157" t="str">
            <v>Field Panels: Field Control Panel PM</v>
          </cell>
          <cell r="J157" t="str">
            <v>221024_LTIA_Ph1_Z-4-CA-003_PLC_Material_Costs_Long Than_Tray_2022-10-06.xlsx</v>
          </cell>
          <cell r="L157" t="str">
            <v>Offshore:
GER
(MAT)</v>
          </cell>
          <cell r="M157" t="str">
            <v>S. Zenk</v>
          </cell>
          <cell r="N157">
            <v>44859</v>
          </cell>
          <cell r="O157" t="str">
            <v>WKC-A28051_03_22</v>
          </cell>
          <cell r="P157" t="str">
            <v>Siemens WKC</v>
          </cell>
          <cell r="Q157" t="str">
            <v>OSE</v>
          </cell>
          <cell r="R157" t="str">
            <v>Binding Quote</v>
          </cell>
          <cell r="T157">
            <v>292</v>
          </cell>
          <cell r="U157" t="str">
            <v>PC</v>
          </cell>
          <cell r="V157">
            <v>6460</v>
          </cell>
          <cell r="W157">
            <v>2</v>
          </cell>
          <cell r="X157" t="str">
            <v>EUR</v>
          </cell>
          <cell r="Y157" t="str">
            <v>German MGK 1</v>
          </cell>
          <cell r="Z157">
            <v>0</v>
          </cell>
          <cell r="AA157">
            <v>0</v>
          </cell>
          <cell r="AC157">
            <v>1886320</v>
          </cell>
          <cell r="AD157">
            <v>2006101.3199999998</v>
          </cell>
          <cell r="AF157">
            <v>0</v>
          </cell>
          <cell r="AH157">
            <v>2006101.3199999998</v>
          </cell>
          <cell r="AI157">
            <v>0.23709783177495308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2629565.6291911653</v>
          </cell>
          <cell r="AP157" t="str">
            <v>II</v>
          </cell>
          <cell r="AQ157" t="str">
            <v>CF.5</v>
          </cell>
        </row>
        <row r="158">
          <cell r="B158" t="str">
            <v>Low Level Control HW</v>
          </cell>
          <cell r="C158">
            <v>0</v>
          </cell>
          <cell r="D158">
            <v>4</v>
          </cell>
          <cell r="E158" t="str">
            <v>CU</v>
          </cell>
          <cell r="F158" t="str">
            <v>I_</v>
          </cell>
          <cell r="G158" t="str">
            <v>CE</v>
          </cell>
          <cell r="H158" t="str">
            <v>04-CU-I_-CE</v>
          </cell>
          <cell r="I158" t="str">
            <v>Field Panels: I/O Box Fire Door FB501</v>
          </cell>
          <cell r="Q158" t="str">
            <v>EXT</v>
          </cell>
          <cell r="R158" t="str">
            <v>Placeholder</v>
          </cell>
          <cell r="U158" t="str">
            <v>PC</v>
          </cell>
          <cell r="W158">
            <v>1</v>
          </cell>
          <cell r="X158" t="str">
            <v>USD</v>
          </cell>
          <cell r="Z158">
            <v>0</v>
          </cell>
          <cell r="AA158">
            <v>0</v>
          </cell>
          <cell r="AC158">
            <v>0</v>
          </cell>
          <cell r="AD158">
            <v>0</v>
          </cell>
          <cell r="AF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P158" t="str">
            <v>X</v>
          </cell>
          <cell r="AQ158" t="str">
            <v>CF.5</v>
          </cell>
        </row>
        <row r="159">
          <cell r="B159" t="str">
            <v>Low Level Control HW</v>
          </cell>
          <cell r="C159">
            <v>0</v>
          </cell>
          <cell r="D159">
            <v>4</v>
          </cell>
          <cell r="E159" t="str">
            <v>CU</v>
          </cell>
          <cell r="F159" t="str">
            <v>I_</v>
          </cell>
          <cell r="G159" t="str">
            <v>CE</v>
          </cell>
          <cell r="H159" t="str">
            <v>04-CU-I_-CE</v>
          </cell>
          <cell r="I159" t="str">
            <v>Field Panels: I/O Box X-Ray FB401</v>
          </cell>
          <cell r="Q159" t="str">
            <v>EXT</v>
          </cell>
          <cell r="R159" t="str">
            <v>Placeholder</v>
          </cell>
          <cell r="U159" t="str">
            <v>PC</v>
          </cell>
          <cell r="W159">
            <v>1</v>
          </cell>
          <cell r="X159" t="str">
            <v>USD</v>
          </cell>
          <cell r="Z159">
            <v>0</v>
          </cell>
          <cell r="AA159">
            <v>0</v>
          </cell>
          <cell r="AC159">
            <v>0</v>
          </cell>
          <cell r="AD159">
            <v>0</v>
          </cell>
          <cell r="AF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P159" t="str">
            <v>X</v>
          </cell>
          <cell r="AQ159" t="str">
            <v>CF.5</v>
          </cell>
        </row>
        <row r="160">
          <cell r="B160" t="str">
            <v>Low Level Control HW</v>
          </cell>
          <cell r="C160">
            <v>0</v>
          </cell>
          <cell r="D160">
            <v>4</v>
          </cell>
          <cell r="E160" t="str">
            <v>CU</v>
          </cell>
          <cell r="F160" t="str">
            <v>I_</v>
          </cell>
          <cell r="G160" t="str">
            <v>CE</v>
          </cell>
          <cell r="H160" t="str">
            <v>04-CU-I_-CE</v>
          </cell>
          <cell r="I160" t="str">
            <v>Tray Merge&amp;Diverter</v>
          </cell>
          <cell r="J160" t="str">
            <v>221024_LTIA_Ph1_Z-4-CA-003_PLC_Material_Costs_Long Than_Tray_2022-10-06.xlsx</v>
          </cell>
          <cell r="L160" t="str">
            <v>Offshore:
GER
(MAT)</v>
          </cell>
          <cell r="M160" t="str">
            <v>S. Zenk</v>
          </cell>
          <cell r="N160">
            <v>44859</v>
          </cell>
          <cell r="O160" t="str">
            <v>WKC-A28051_03_22</v>
          </cell>
          <cell r="P160" t="str">
            <v>Siemens WKC</v>
          </cell>
          <cell r="Q160" t="str">
            <v>EXT</v>
          </cell>
          <cell r="R160" t="str">
            <v>Placeholder</v>
          </cell>
          <cell r="T160">
            <v>239</v>
          </cell>
          <cell r="U160" t="str">
            <v>PC</v>
          </cell>
          <cell r="V160">
            <v>1914</v>
          </cell>
          <cell r="W160">
            <v>2</v>
          </cell>
          <cell r="X160" t="str">
            <v>EUR</v>
          </cell>
          <cell r="Y160" t="str">
            <v>German MGK 1</v>
          </cell>
          <cell r="Z160">
            <v>0</v>
          </cell>
          <cell r="AA160">
            <v>0</v>
          </cell>
          <cell r="AC160">
            <v>457446</v>
          </cell>
          <cell r="AD160">
            <v>486493.82099999994</v>
          </cell>
          <cell r="AF160">
            <v>0</v>
          </cell>
          <cell r="AH160">
            <v>486493.82099999994</v>
          </cell>
          <cell r="AI160">
            <v>0.23709783177495308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637688.34493139118</v>
          </cell>
          <cell r="AP160" t="str">
            <v>II</v>
          </cell>
          <cell r="AQ160" t="str">
            <v>CF.5</v>
          </cell>
        </row>
        <row r="161">
          <cell r="B161" t="str">
            <v>Low Level Control HW</v>
          </cell>
          <cell r="C161">
            <v>0</v>
          </cell>
          <cell r="D161">
            <v>4</v>
          </cell>
          <cell r="E161" t="str">
            <v>CU</v>
          </cell>
          <cell r="F161" t="str">
            <v>I_</v>
          </cell>
          <cell r="G161" t="str">
            <v>CE</v>
          </cell>
          <cell r="H161" t="str">
            <v>04-CU-I_-CE</v>
          </cell>
          <cell r="I161" t="str">
            <v>Step-Through Control Box &amp; PB Stations</v>
          </cell>
          <cell r="J161" t="str">
            <v>221024_LTIA_Ph1_Z-4-CA-003_PLC_Material_Costs_Long Than_Tray_2022-10-06.xlsx</v>
          </cell>
          <cell r="L161" t="str">
            <v>Offshore:
GER
(MAT)</v>
          </cell>
          <cell r="M161" t="str">
            <v>S. Zenk</v>
          </cell>
          <cell r="N161">
            <v>44859</v>
          </cell>
          <cell r="P161" t="str">
            <v>TBS4 Reference</v>
          </cell>
          <cell r="Q161" t="str">
            <v>EXT</v>
          </cell>
          <cell r="R161" t="str">
            <v>Estimate</v>
          </cell>
          <cell r="T161">
            <v>30</v>
          </cell>
          <cell r="U161" t="str">
            <v>PC</v>
          </cell>
          <cell r="V161">
            <v>1440</v>
          </cell>
          <cell r="W161">
            <v>2</v>
          </cell>
          <cell r="X161" t="str">
            <v>EUR</v>
          </cell>
          <cell r="Y161" t="str">
            <v>German MGK 1</v>
          </cell>
          <cell r="Z161">
            <v>0</v>
          </cell>
          <cell r="AA161">
            <v>0</v>
          </cell>
          <cell r="AC161">
            <v>43200</v>
          </cell>
          <cell r="AD161">
            <v>45943.199999999997</v>
          </cell>
          <cell r="AF161">
            <v>0</v>
          </cell>
          <cell r="AH161">
            <v>45943.199999999997</v>
          </cell>
          <cell r="AI161">
            <v>0.23709783177495308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60221.614138141114</v>
          </cell>
          <cell r="AP161" t="str">
            <v>II</v>
          </cell>
          <cell r="AQ161" t="str">
            <v>CF.5</v>
          </cell>
        </row>
        <row r="162">
          <cell r="B162" t="str">
            <v>Low Level Control HW</v>
          </cell>
          <cell r="C162">
            <v>0</v>
          </cell>
          <cell r="D162">
            <v>4</v>
          </cell>
          <cell r="E162" t="str">
            <v>CU</v>
          </cell>
          <cell r="F162" t="str">
            <v>I_</v>
          </cell>
          <cell r="G162" t="str">
            <v>CE</v>
          </cell>
          <cell r="H162" t="str">
            <v>04-CU-I_-CE</v>
          </cell>
          <cell r="I162" t="str">
            <v>Roller Inspection Box</v>
          </cell>
          <cell r="J162" t="str">
            <v>221024_LTIA_Ph1_Z-4-CA-003_PLC_Material_Costs_Long Than_Tray_2022-10-06.xlsx</v>
          </cell>
          <cell r="L162" t="str">
            <v>Offshore:
GER
(MAT)</v>
          </cell>
          <cell r="M162" t="str">
            <v>S. Zenk</v>
          </cell>
          <cell r="N162">
            <v>44859</v>
          </cell>
          <cell r="O162" t="str">
            <v>WKC-A22102_19</v>
          </cell>
          <cell r="P162" t="str">
            <v>Siemens WKC</v>
          </cell>
          <cell r="Q162" t="str">
            <v>EXT</v>
          </cell>
          <cell r="R162" t="str">
            <v>Estimate</v>
          </cell>
          <cell r="T162">
            <v>11</v>
          </cell>
          <cell r="U162" t="str">
            <v>PC</v>
          </cell>
          <cell r="V162">
            <v>940.8</v>
          </cell>
          <cell r="W162">
            <v>2</v>
          </cell>
          <cell r="X162" t="str">
            <v>EUR</v>
          </cell>
          <cell r="Y162" t="str">
            <v>German MGK 1</v>
          </cell>
          <cell r="Z162">
            <v>0</v>
          </cell>
          <cell r="AA162">
            <v>0</v>
          </cell>
          <cell r="AC162">
            <v>10348.799999999999</v>
          </cell>
          <cell r="AD162">
            <v>11005.948799999998</v>
          </cell>
          <cell r="AF162">
            <v>0</v>
          </cell>
          <cell r="AH162">
            <v>11005.948799999998</v>
          </cell>
          <cell r="AI162">
            <v>0.23709783177495308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14426.422231314691</v>
          </cell>
          <cell r="AP162" t="str">
            <v>II</v>
          </cell>
          <cell r="AQ162" t="str">
            <v>CF.5</v>
          </cell>
        </row>
        <row r="163">
          <cell r="B163" t="str">
            <v/>
          </cell>
          <cell r="H163" t="str">
            <v>--</v>
          </cell>
          <cell r="Q163" t="str">
            <v>EXT</v>
          </cell>
          <cell r="R163" t="str">
            <v>Placeholder</v>
          </cell>
          <cell r="W163">
            <v>1</v>
          </cell>
          <cell r="X163" t="str">
            <v>USD</v>
          </cell>
          <cell r="Z163">
            <v>0</v>
          </cell>
          <cell r="AA163">
            <v>0</v>
          </cell>
          <cell r="AC163">
            <v>0</v>
          </cell>
          <cell r="AD163">
            <v>0</v>
          </cell>
          <cell r="AF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P163" t="str">
            <v>X</v>
          </cell>
          <cell r="AQ163" t="str">
            <v/>
          </cell>
        </row>
        <row r="164">
          <cell r="B164" t="str">
            <v/>
          </cell>
          <cell r="H164" t="str">
            <v>--</v>
          </cell>
          <cell r="Q164" t="str">
            <v>EXT</v>
          </cell>
          <cell r="R164" t="str">
            <v>Placeholder</v>
          </cell>
          <cell r="W164">
            <v>1</v>
          </cell>
          <cell r="X164" t="str">
            <v>USD</v>
          </cell>
          <cell r="Z164">
            <v>0</v>
          </cell>
          <cell r="AA164">
            <v>0</v>
          </cell>
          <cell r="AC164">
            <v>0</v>
          </cell>
          <cell r="AD164">
            <v>0</v>
          </cell>
          <cell r="AF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P164" t="str">
            <v>X</v>
          </cell>
          <cell r="AQ164" t="str">
            <v/>
          </cell>
        </row>
        <row r="165">
          <cell r="I165" t="str">
            <v>4.3 Smart Units</v>
          </cell>
        </row>
        <row r="166">
          <cell r="B166" t="str">
            <v>Low Level Control HW</v>
          </cell>
          <cell r="C166">
            <v>0</v>
          </cell>
          <cell r="D166">
            <v>4</v>
          </cell>
          <cell r="E166" t="str">
            <v>CV</v>
          </cell>
          <cell r="F166" t="str">
            <v>I7</v>
          </cell>
          <cell r="G166" t="str">
            <v>01</v>
          </cell>
          <cell r="H166" t="str">
            <v>04-CV-I7-01</v>
          </cell>
          <cell r="I166" t="str">
            <v>Smart Units: S-, C- Lift (Panel, Field Devices, …)</v>
          </cell>
          <cell r="Q166" t="str">
            <v>EXT</v>
          </cell>
          <cell r="R166" t="str">
            <v>Placeholder</v>
          </cell>
          <cell r="U166" t="str">
            <v>PC</v>
          </cell>
          <cell r="W166">
            <v>1</v>
          </cell>
          <cell r="X166" t="str">
            <v>USD</v>
          </cell>
          <cell r="Z166">
            <v>0</v>
          </cell>
          <cell r="AA166">
            <v>0</v>
          </cell>
          <cell r="AC166">
            <v>0</v>
          </cell>
          <cell r="AD166">
            <v>0</v>
          </cell>
          <cell r="AF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P166" t="str">
            <v>X</v>
          </cell>
          <cell r="AQ166" t="str">
            <v>CF.5</v>
          </cell>
        </row>
        <row r="167">
          <cell r="B167" t="str">
            <v>Low Level Control HW</v>
          </cell>
          <cell r="C167">
            <v>0</v>
          </cell>
          <cell r="D167">
            <v>4</v>
          </cell>
          <cell r="E167" t="str">
            <v>CV</v>
          </cell>
          <cell r="F167" t="str">
            <v>I7</v>
          </cell>
          <cell r="G167" t="str">
            <v>02</v>
          </cell>
          <cell r="H167" t="str">
            <v>04-CV-I7-02</v>
          </cell>
          <cell r="I167" t="str">
            <v xml:space="preserve">Smart Units: Lift (Panel, Field Devices, …) </v>
          </cell>
          <cell r="Q167" t="str">
            <v>EXT</v>
          </cell>
          <cell r="R167" t="str">
            <v>Placeholder</v>
          </cell>
          <cell r="U167" t="str">
            <v>PC</v>
          </cell>
          <cell r="W167">
            <v>1</v>
          </cell>
          <cell r="X167" t="str">
            <v>USD</v>
          </cell>
          <cell r="Z167">
            <v>0</v>
          </cell>
          <cell r="AA167">
            <v>0</v>
          </cell>
          <cell r="AC167">
            <v>0</v>
          </cell>
          <cell r="AD167">
            <v>0</v>
          </cell>
          <cell r="AF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P167" t="str">
            <v>X</v>
          </cell>
          <cell r="AQ167" t="str">
            <v>CF.5</v>
          </cell>
        </row>
        <row r="168">
          <cell r="B168" t="str">
            <v>Low Level Control HW</v>
          </cell>
          <cell r="C168">
            <v>0</v>
          </cell>
          <cell r="D168">
            <v>4</v>
          </cell>
          <cell r="E168" t="str">
            <v>CV</v>
          </cell>
          <cell r="F168" t="str">
            <v>IS</v>
          </cell>
          <cell r="G168" t="str">
            <v>01</v>
          </cell>
          <cell r="H168" t="str">
            <v>04-CV-IS-01</v>
          </cell>
          <cell r="I168" t="str">
            <v>Smart Units: Stacker (Panel, Field Devices, …)</v>
          </cell>
          <cell r="J168" t="str">
            <v>221024_LTIA_Ph1_Z-4-CA-003_PLC_Material_Costs_Long Than_Tray_2022-10-06.xlsx</v>
          </cell>
          <cell r="L168" t="str">
            <v>Offshore:
GER
(MAT)</v>
          </cell>
          <cell r="M168" t="str">
            <v>S. Zenk</v>
          </cell>
          <cell r="N168">
            <v>44859</v>
          </cell>
          <cell r="O168" t="str">
            <v>WKC-A28051_03_22</v>
          </cell>
          <cell r="P168" t="str">
            <v>Siemens WKC</v>
          </cell>
          <cell r="Q168" t="str">
            <v>OSE</v>
          </cell>
          <cell r="R168" t="str">
            <v>Binding Quote</v>
          </cell>
          <cell r="T168">
            <v>12</v>
          </cell>
          <cell r="U168" t="str">
            <v>PC</v>
          </cell>
          <cell r="V168">
            <v>10971</v>
          </cell>
          <cell r="W168">
            <v>2</v>
          </cell>
          <cell r="X168" t="str">
            <v>EUR</v>
          </cell>
          <cell r="Y168" t="str">
            <v>German MGK 1</v>
          </cell>
          <cell r="Z168">
            <v>0</v>
          </cell>
          <cell r="AA168">
            <v>0</v>
          </cell>
          <cell r="AC168">
            <v>131652</v>
          </cell>
          <cell r="AD168">
            <v>140011.90199999997</v>
          </cell>
          <cell r="AF168">
            <v>0</v>
          </cell>
          <cell r="AH168">
            <v>140011.90199999997</v>
          </cell>
          <cell r="AI168">
            <v>0.23709783177495308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183525.369085985</v>
          </cell>
          <cell r="AP168" t="str">
            <v>II</v>
          </cell>
          <cell r="AQ168" t="str">
            <v>CF.5</v>
          </cell>
        </row>
        <row r="169">
          <cell r="B169" t="str">
            <v>Low Level Control HW</v>
          </cell>
          <cell r="C169">
            <v>0</v>
          </cell>
          <cell r="D169">
            <v>4</v>
          </cell>
          <cell r="E169" t="str">
            <v>CV</v>
          </cell>
          <cell r="F169" t="str">
            <v>IS</v>
          </cell>
          <cell r="G169" t="str">
            <v>02</v>
          </cell>
          <cell r="H169" t="str">
            <v>04-CV-IS-02</v>
          </cell>
          <cell r="I169" t="str">
            <v>Smart Units: Line Stacker (Panel, Field Devices, …)</v>
          </cell>
          <cell r="Q169" t="str">
            <v>EXT</v>
          </cell>
          <cell r="R169" t="str">
            <v>Placeholder</v>
          </cell>
          <cell r="U169" t="str">
            <v>PC</v>
          </cell>
          <cell r="W169">
            <v>1</v>
          </cell>
          <cell r="X169" t="str">
            <v>USD</v>
          </cell>
          <cell r="Z169">
            <v>0</v>
          </cell>
          <cell r="AA169">
            <v>0</v>
          </cell>
          <cell r="AC169">
            <v>0</v>
          </cell>
          <cell r="AD169">
            <v>0</v>
          </cell>
          <cell r="AF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P169" t="str">
            <v>X</v>
          </cell>
          <cell r="AQ169" t="str">
            <v>CF.5</v>
          </cell>
        </row>
        <row r="170">
          <cell r="B170" t="str">
            <v>Low Level Control HW</v>
          </cell>
          <cell r="C170">
            <v>0</v>
          </cell>
          <cell r="D170">
            <v>4</v>
          </cell>
          <cell r="E170" t="str">
            <v>CV</v>
          </cell>
          <cell r="F170" t="str">
            <v>IS</v>
          </cell>
          <cell r="G170" t="str">
            <v>04</v>
          </cell>
          <cell r="H170" t="str">
            <v>04-CV-IS-04</v>
          </cell>
          <cell r="I170" t="str">
            <v>Smart Units: Tilter (Panel, Field Devices, …)</v>
          </cell>
          <cell r="Q170" t="str">
            <v>EXT</v>
          </cell>
          <cell r="R170" t="str">
            <v>Placeholder</v>
          </cell>
          <cell r="U170" t="str">
            <v>PC</v>
          </cell>
          <cell r="W170">
            <v>1</v>
          </cell>
          <cell r="X170" t="str">
            <v>USD</v>
          </cell>
          <cell r="Z170">
            <v>0</v>
          </cell>
          <cell r="AA170">
            <v>0</v>
          </cell>
          <cell r="AC170">
            <v>0</v>
          </cell>
          <cell r="AD170">
            <v>0</v>
          </cell>
          <cell r="AF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P170" t="str">
            <v>X</v>
          </cell>
          <cell r="AQ170" t="str">
            <v>CF.5</v>
          </cell>
        </row>
        <row r="171">
          <cell r="B171" t="str">
            <v>Low Level Control HW</v>
          </cell>
          <cell r="C171">
            <v>0</v>
          </cell>
          <cell r="D171">
            <v>4</v>
          </cell>
          <cell r="E171" t="str">
            <v>CV</v>
          </cell>
          <cell r="F171" t="str">
            <v>IS</v>
          </cell>
          <cell r="G171" t="str">
            <v>05</v>
          </cell>
          <cell r="H171" t="str">
            <v>04-CV-IS-05</v>
          </cell>
          <cell r="I171" t="str">
            <v>Smart Units: Tilter (Panel, Field Devices, …)</v>
          </cell>
          <cell r="J171" t="str">
            <v>221024_LTIA_Ph1_Z-4-CA-003_PLC_Material_Costs_Long Than_Tray_2022-10-06.xlsx</v>
          </cell>
          <cell r="L171" t="str">
            <v>Offshore:
GER
(MAT)</v>
          </cell>
          <cell r="M171" t="str">
            <v>S. Zenk</v>
          </cell>
          <cell r="N171">
            <v>44859</v>
          </cell>
          <cell r="O171" t="str">
            <v>WKC-A28051_03_22</v>
          </cell>
          <cell r="P171" t="str">
            <v>Siemens WKC</v>
          </cell>
          <cell r="Q171" t="str">
            <v>OSE</v>
          </cell>
          <cell r="R171" t="str">
            <v>Binding Quote</v>
          </cell>
          <cell r="T171">
            <v>42</v>
          </cell>
          <cell r="U171" t="str">
            <v>PC</v>
          </cell>
          <cell r="V171">
            <v>10103</v>
          </cell>
          <cell r="W171">
            <v>2</v>
          </cell>
          <cell r="X171" t="str">
            <v>EUR</v>
          </cell>
          <cell r="Y171" t="str">
            <v>German MGK 1</v>
          </cell>
          <cell r="Z171">
            <v>0</v>
          </cell>
          <cell r="AA171">
            <v>0</v>
          </cell>
          <cell r="AC171">
            <v>424326</v>
          </cell>
          <cell r="AD171">
            <v>451270.70099999994</v>
          </cell>
          <cell r="AF171">
            <v>0</v>
          </cell>
          <cell r="AH171">
            <v>451270.70099999994</v>
          </cell>
          <cell r="AI171">
            <v>0.23709783177495308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591518.44075881632</v>
          </cell>
          <cell r="AP171" t="str">
            <v>II</v>
          </cell>
          <cell r="AQ171" t="str">
            <v>CF.5</v>
          </cell>
        </row>
        <row r="172">
          <cell r="B172" t="str">
            <v>Low Level Control HW</v>
          </cell>
          <cell r="C172">
            <v>0</v>
          </cell>
          <cell r="D172">
            <v>4</v>
          </cell>
          <cell r="E172" t="str">
            <v>CV</v>
          </cell>
          <cell r="F172" t="str">
            <v>IS</v>
          </cell>
          <cell r="G172" t="str">
            <v>06</v>
          </cell>
          <cell r="H172" t="str">
            <v>04-CV-IS-06</v>
          </cell>
          <cell r="I172" t="str">
            <v>Smart Units: Smart Tilter (Panel, Field Devices, …)</v>
          </cell>
          <cell r="Q172" t="str">
            <v>EXT</v>
          </cell>
          <cell r="R172" t="str">
            <v>Placeholder</v>
          </cell>
          <cell r="U172" t="str">
            <v>PC</v>
          </cell>
          <cell r="W172">
            <v>1</v>
          </cell>
          <cell r="X172" t="str">
            <v>USD</v>
          </cell>
          <cell r="Z172">
            <v>0</v>
          </cell>
          <cell r="AA172">
            <v>0</v>
          </cell>
          <cell r="AC172">
            <v>0</v>
          </cell>
          <cell r="AD172">
            <v>0</v>
          </cell>
          <cell r="AF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P172" t="str">
            <v>X</v>
          </cell>
          <cell r="AQ172" t="str">
            <v>CF.5</v>
          </cell>
        </row>
        <row r="173">
          <cell r="B173" t="str">
            <v/>
          </cell>
          <cell r="H173" t="str">
            <v>--</v>
          </cell>
          <cell r="Q173" t="str">
            <v>EXT</v>
          </cell>
          <cell r="R173" t="str">
            <v>Placeholder</v>
          </cell>
          <cell r="W173">
            <v>1</v>
          </cell>
          <cell r="X173" t="str">
            <v>USD</v>
          </cell>
          <cell r="Z173">
            <v>0</v>
          </cell>
          <cell r="AA173">
            <v>0</v>
          </cell>
          <cell r="AC173">
            <v>0</v>
          </cell>
          <cell r="AD173">
            <v>0</v>
          </cell>
          <cell r="AF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P173" t="str">
            <v>X</v>
          </cell>
          <cell r="AQ173" t="str">
            <v/>
          </cell>
        </row>
        <row r="174">
          <cell r="B174" t="str">
            <v/>
          </cell>
          <cell r="H174" t="str">
            <v>--</v>
          </cell>
          <cell r="Q174" t="str">
            <v>EXT</v>
          </cell>
          <cell r="R174" t="str">
            <v>Placeholder</v>
          </cell>
          <cell r="W174">
            <v>1</v>
          </cell>
          <cell r="X174" t="str">
            <v>USD</v>
          </cell>
          <cell r="Z174">
            <v>0</v>
          </cell>
          <cell r="AA174">
            <v>0</v>
          </cell>
          <cell r="AC174">
            <v>0</v>
          </cell>
          <cell r="AD174">
            <v>0</v>
          </cell>
          <cell r="AF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P174" t="str">
            <v>X</v>
          </cell>
          <cell r="AQ174" t="str">
            <v/>
          </cell>
        </row>
        <row r="175">
          <cell r="I175" t="str">
            <v>4.4 Drive Control</v>
          </cell>
        </row>
        <row r="176">
          <cell r="B176" t="str">
            <v>Low Level Control HW</v>
          </cell>
          <cell r="C176">
            <v>0</v>
          </cell>
          <cell r="D176">
            <v>4</v>
          </cell>
          <cell r="E176" t="str">
            <v>CC</v>
          </cell>
          <cell r="F176" t="str">
            <v>I_</v>
          </cell>
          <cell r="G176" t="str">
            <v>QA</v>
          </cell>
          <cell r="H176" t="str">
            <v>04-CC-I_-QA</v>
          </cell>
          <cell r="I176" t="str">
            <v>VFD: G110D 0,75kW</v>
          </cell>
          <cell r="Q176" t="str">
            <v>EXT</v>
          </cell>
          <cell r="R176" t="str">
            <v>Placeholder</v>
          </cell>
          <cell r="U176" t="str">
            <v>PC</v>
          </cell>
          <cell r="W176">
            <v>1</v>
          </cell>
          <cell r="X176" t="str">
            <v>USD</v>
          </cell>
          <cell r="Z176">
            <v>0</v>
          </cell>
          <cell r="AA176">
            <v>0</v>
          </cell>
          <cell r="AC176">
            <v>0</v>
          </cell>
          <cell r="AD176">
            <v>0</v>
          </cell>
          <cell r="AF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P176" t="str">
            <v>X</v>
          </cell>
          <cell r="AQ176" t="str">
            <v>CF.5</v>
          </cell>
        </row>
        <row r="177">
          <cell r="B177" t="str">
            <v>Low Level Control HW</v>
          </cell>
          <cell r="C177">
            <v>0</v>
          </cell>
          <cell r="D177">
            <v>4</v>
          </cell>
          <cell r="E177" t="str">
            <v>CC</v>
          </cell>
          <cell r="F177" t="str">
            <v>I_</v>
          </cell>
          <cell r="G177" t="str">
            <v>QA</v>
          </cell>
          <cell r="H177" t="str">
            <v>04-CC-I_-QA</v>
          </cell>
          <cell r="I177" t="str">
            <v>VFD: G110D 1,5kW</v>
          </cell>
          <cell r="Q177" t="str">
            <v>EXT</v>
          </cell>
          <cell r="R177" t="str">
            <v>Placeholder</v>
          </cell>
          <cell r="U177" t="str">
            <v>PC</v>
          </cell>
          <cell r="W177">
            <v>1</v>
          </cell>
          <cell r="X177" t="str">
            <v>USD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P177" t="str">
            <v>X</v>
          </cell>
          <cell r="AQ177" t="str">
            <v>CF.5</v>
          </cell>
        </row>
        <row r="178">
          <cell r="B178" t="str">
            <v>Low Level Control HW</v>
          </cell>
          <cell r="C178">
            <v>0</v>
          </cell>
          <cell r="D178">
            <v>4</v>
          </cell>
          <cell r="E178" t="str">
            <v>CC</v>
          </cell>
          <cell r="F178" t="str">
            <v>I_</v>
          </cell>
          <cell r="G178" t="str">
            <v>QA</v>
          </cell>
          <cell r="H178" t="str">
            <v>04-CC-I_-QA</v>
          </cell>
          <cell r="I178" t="str">
            <v>VFD: G110D 3kW</v>
          </cell>
          <cell r="Q178" t="str">
            <v>EXT</v>
          </cell>
          <cell r="R178" t="str">
            <v>Placeholder</v>
          </cell>
          <cell r="U178" t="str">
            <v>PC</v>
          </cell>
          <cell r="W178">
            <v>1</v>
          </cell>
          <cell r="X178" t="str">
            <v>USD</v>
          </cell>
          <cell r="Z178">
            <v>0</v>
          </cell>
          <cell r="AA178">
            <v>0</v>
          </cell>
          <cell r="AC178">
            <v>0</v>
          </cell>
          <cell r="AD178">
            <v>0</v>
          </cell>
          <cell r="AF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P178" t="str">
            <v>X</v>
          </cell>
          <cell r="AQ178" t="str">
            <v>CF.5</v>
          </cell>
        </row>
        <row r="179">
          <cell r="B179" t="str">
            <v>Low Level Control HW</v>
          </cell>
          <cell r="C179">
            <v>0</v>
          </cell>
          <cell r="D179">
            <v>4</v>
          </cell>
          <cell r="E179" t="str">
            <v>CC</v>
          </cell>
          <cell r="F179" t="str">
            <v>I_</v>
          </cell>
          <cell r="G179" t="str">
            <v>QA</v>
          </cell>
          <cell r="H179" t="str">
            <v>04-CC-I_-QA</v>
          </cell>
          <cell r="I179" t="str">
            <v>VFD: G110D 4kW</v>
          </cell>
          <cell r="Q179" t="str">
            <v>EXT</v>
          </cell>
          <cell r="R179" t="str">
            <v>Placeholder</v>
          </cell>
          <cell r="U179" t="str">
            <v>PC</v>
          </cell>
          <cell r="W179">
            <v>1</v>
          </cell>
          <cell r="X179" t="str">
            <v>USD</v>
          </cell>
          <cell r="Z179">
            <v>0</v>
          </cell>
          <cell r="AA179">
            <v>0</v>
          </cell>
          <cell r="AC179">
            <v>0</v>
          </cell>
          <cell r="AD179">
            <v>0</v>
          </cell>
          <cell r="AF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P179" t="str">
            <v>X</v>
          </cell>
          <cell r="AQ179" t="str">
            <v>CF.5</v>
          </cell>
        </row>
        <row r="180">
          <cell r="B180" t="str">
            <v>Low Level Control HW</v>
          </cell>
          <cell r="C180">
            <v>0</v>
          </cell>
          <cell r="D180">
            <v>4</v>
          </cell>
          <cell r="E180" t="str">
            <v>CC</v>
          </cell>
          <cell r="F180" t="str">
            <v>I_</v>
          </cell>
          <cell r="G180" t="str">
            <v>QA</v>
          </cell>
          <cell r="H180" t="str">
            <v>04-CC-I_-QA</v>
          </cell>
          <cell r="I180" t="str">
            <v>VFD: G110D 5,5kW</v>
          </cell>
          <cell r="Q180" t="str">
            <v>EXT</v>
          </cell>
          <cell r="R180" t="str">
            <v>Placeholder</v>
          </cell>
          <cell r="U180" t="str">
            <v>PC</v>
          </cell>
          <cell r="W180">
            <v>1</v>
          </cell>
          <cell r="X180" t="str">
            <v>USD</v>
          </cell>
          <cell r="Z180">
            <v>0</v>
          </cell>
          <cell r="AA180">
            <v>0</v>
          </cell>
          <cell r="AC180">
            <v>0</v>
          </cell>
          <cell r="AD180">
            <v>0</v>
          </cell>
          <cell r="AF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P180" t="str">
            <v>X</v>
          </cell>
          <cell r="AQ180" t="str">
            <v>CF.5</v>
          </cell>
        </row>
        <row r="181">
          <cell r="B181" t="str">
            <v>Low Level Control HW</v>
          </cell>
          <cell r="C181">
            <v>0</v>
          </cell>
          <cell r="D181">
            <v>4</v>
          </cell>
          <cell r="E181" t="str">
            <v>CC</v>
          </cell>
          <cell r="F181" t="str">
            <v>I_</v>
          </cell>
          <cell r="G181" t="str">
            <v>QA</v>
          </cell>
          <cell r="H181" t="str">
            <v>04-CC-I_-QA</v>
          </cell>
          <cell r="I181" t="str">
            <v>VFD: G110D 7,5kW</v>
          </cell>
          <cell r="Q181" t="str">
            <v>EXT</v>
          </cell>
          <cell r="R181" t="str">
            <v>Placeholder</v>
          </cell>
          <cell r="U181" t="str">
            <v>PC</v>
          </cell>
          <cell r="W181">
            <v>1</v>
          </cell>
          <cell r="X181" t="str">
            <v>USD</v>
          </cell>
          <cell r="Z181">
            <v>0</v>
          </cell>
          <cell r="AA181">
            <v>0</v>
          </cell>
          <cell r="AC181">
            <v>0</v>
          </cell>
          <cell r="AD181">
            <v>0</v>
          </cell>
          <cell r="AF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P181" t="str">
            <v>X</v>
          </cell>
          <cell r="AQ181" t="str">
            <v>CF.5</v>
          </cell>
        </row>
        <row r="182">
          <cell r="B182" t="str">
            <v>Low Level Control HW</v>
          </cell>
          <cell r="C182">
            <v>0</v>
          </cell>
          <cell r="D182">
            <v>4</v>
          </cell>
          <cell r="E182" t="str">
            <v>CC</v>
          </cell>
          <cell r="F182" t="str">
            <v>I_</v>
          </cell>
          <cell r="G182" t="str">
            <v>QA</v>
          </cell>
          <cell r="H182" t="str">
            <v>04-CC-I_-QA</v>
          </cell>
          <cell r="I182" t="str">
            <v>VFD: G115D WM FSA PN CON 0,75kW</v>
          </cell>
          <cell r="J182" t="str">
            <v>221024_LTIA_Ph1_Z-4-CA-003_PLC_Material_Costs_Long Than_Tray_2022-10-06.xlsx</v>
          </cell>
          <cell r="L182" t="str">
            <v>Offshore:
GER
(MAT)</v>
          </cell>
          <cell r="M182" t="str">
            <v>S. Zenk</v>
          </cell>
          <cell r="N182">
            <v>44859</v>
          </cell>
          <cell r="P182" t="str">
            <v>Siemens</v>
          </cell>
          <cell r="Q182" t="str">
            <v>OSE</v>
          </cell>
          <cell r="R182" t="str">
            <v>Binding Quote</v>
          </cell>
          <cell r="T182">
            <v>1163</v>
          </cell>
          <cell r="U182" t="str">
            <v>PC</v>
          </cell>
          <cell r="V182">
            <v>521.95000000000005</v>
          </cell>
          <cell r="W182">
            <v>2</v>
          </cell>
          <cell r="X182" t="str">
            <v>EUR</v>
          </cell>
          <cell r="Y182" t="str">
            <v>German MGK 1</v>
          </cell>
          <cell r="Z182">
            <v>0</v>
          </cell>
          <cell r="AA182">
            <v>0</v>
          </cell>
          <cell r="AC182">
            <v>607027.85000000009</v>
          </cell>
          <cell r="AD182">
            <v>645574.11847500002</v>
          </cell>
          <cell r="AF182">
            <v>0</v>
          </cell>
          <cell r="AH182">
            <v>645574.11847500002</v>
          </cell>
          <cell r="AI182">
            <v>0.23709783177495308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846208.26281956956</v>
          </cell>
          <cell r="AP182" t="str">
            <v>II</v>
          </cell>
          <cell r="AQ182" t="str">
            <v>CF.5</v>
          </cell>
        </row>
        <row r="183">
          <cell r="B183" t="str">
            <v>Low Level Control HW</v>
          </cell>
          <cell r="C183">
            <v>0</v>
          </cell>
          <cell r="D183">
            <v>4</v>
          </cell>
          <cell r="E183" t="str">
            <v>CC</v>
          </cell>
          <cell r="F183" t="str">
            <v>I_</v>
          </cell>
          <cell r="G183" t="str">
            <v>QA</v>
          </cell>
          <cell r="H183" t="str">
            <v>04-CC-I_-QA</v>
          </cell>
          <cell r="I183" t="str">
            <v>VFD: G115D WM FSA PN CON 1,1kW</v>
          </cell>
          <cell r="J183" t="str">
            <v>221024_LTIA_Ph1_Z-4-CA-003_PLC_Material_Costs_Long Than_Tray_2022-10-06.xlsx</v>
          </cell>
          <cell r="L183" t="str">
            <v>Offshore:
GER
(MAT)</v>
          </cell>
          <cell r="M183" t="str">
            <v>S. Zenk</v>
          </cell>
          <cell r="N183">
            <v>44859</v>
          </cell>
          <cell r="P183" t="str">
            <v>Siemens</v>
          </cell>
          <cell r="Q183" t="str">
            <v>OSE</v>
          </cell>
          <cell r="R183" t="str">
            <v>Binding Quote</v>
          </cell>
          <cell r="T183">
            <v>2165</v>
          </cell>
          <cell r="U183" t="str">
            <v>PC</v>
          </cell>
          <cell r="V183">
            <v>552.54999999999995</v>
          </cell>
          <cell r="W183">
            <v>2</v>
          </cell>
          <cell r="X183" t="str">
            <v>EUR</v>
          </cell>
          <cell r="Y183" t="str">
            <v>German MGK 1</v>
          </cell>
          <cell r="Z183">
            <v>0</v>
          </cell>
          <cell r="AA183">
            <v>0</v>
          </cell>
          <cell r="AC183">
            <v>1196270.75</v>
          </cell>
          <cell r="AD183">
            <v>1272233.9426249999</v>
          </cell>
          <cell r="AF183">
            <v>0</v>
          </cell>
          <cell r="AH183">
            <v>1272233.9426249999</v>
          </cell>
          <cell r="AI183">
            <v>0.23709783177495308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1667623.9701677007</v>
          </cell>
          <cell r="AP183" t="str">
            <v>II</v>
          </cell>
          <cell r="AQ183" t="str">
            <v>CF.5</v>
          </cell>
        </row>
        <row r="184">
          <cell r="B184" t="str">
            <v>Low Level Control HW</v>
          </cell>
          <cell r="C184">
            <v>0</v>
          </cell>
          <cell r="D184">
            <v>4</v>
          </cell>
          <cell r="E184" t="str">
            <v>CC</v>
          </cell>
          <cell r="F184" t="str">
            <v>I_</v>
          </cell>
          <cell r="G184" t="str">
            <v>QA</v>
          </cell>
          <cell r="H184" t="str">
            <v>04-CC-I_-QA</v>
          </cell>
          <cell r="I184" t="str">
            <v>VFD: G115D WM FSA PN CON 1,5kW</v>
          </cell>
          <cell r="J184" t="str">
            <v>221024_LTIA_Ph1_Z-4-CA-003_PLC_Material_Costs_Long Than_Tray_2022-10-06.xlsx</v>
          </cell>
          <cell r="L184" t="str">
            <v>Offshore:
GER
(MAT)</v>
          </cell>
          <cell r="M184" t="str">
            <v>S. Zenk</v>
          </cell>
          <cell r="N184">
            <v>44859</v>
          </cell>
          <cell r="P184" t="str">
            <v>Siemens</v>
          </cell>
          <cell r="Q184" t="str">
            <v>OSE</v>
          </cell>
          <cell r="R184" t="str">
            <v>Binding Quote</v>
          </cell>
          <cell r="T184">
            <v>669</v>
          </cell>
          <cell r="U184" t="str">
            <v>PC</v>
          </cell>
          <cell r="V184">
            <v>583.16</v>
          </cell>
          <cell r="W184">
            <v>2</v>
          </cell>
          <cell r="X184" t="str">
            <v>EUR</v>
          </cell>
          <cell r="Y184" t="str">
            <v>German MGK 1</v>
          </cell>
          <cell r="Z184">
            <v>0</v>
          </cell>
          <cell r="AA184">
            <v>0</v>
          </cell>
          <cell r="AC184">
            <v>390134.04</v>
          </cell>
          <cell r="AD184">
            <v>414907.55153999996</v>
          </cell>
          <cell r="AF184">
            <v>0</v>
          </cell>
          <cell r="AH184">
            <v>414907.55153999996</v>
          </cell>
          <cell r="AI184">
            <v>0.23709783177495308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543854.20414430811</v>
          </cell>
          <cell r="AP184" t="str">
            <v>II</v>
          </cell>
          <cell r="AQ184" t="str">
            <v>CF.5</v>
          </cell>
        </row>
        <row r="185">
          <cell r="B185" t="str">
            <v>Low Level Control HW</v>
          </cell>
          <cell r="C185">
            <v>0</v>
          </cell>
          <cell r="D185">
            <v>4</v>
          </cell>
          <cell r="E185" t="str">
            <v>CC</v>
          </cell>
          <cell r="F185" t="str">
            <v>I_</v>
          </cell>
          <cell r="G185" t="str">
            <v>QA</v>
          </cell>
          <cell r="H185" t="str">
            <v>04-CC-I_-QA</v>
          </cell>
          <cell r="I185" t="str">
            <v>VFD: G115D WM FSB PN CON 2,2kW</v>
          </cell>
          <cell r="J185" t="str">
            <v>221024_LTIA_Ph1_Z-4-CA-003_PLC_Material_Costs_Long Than_Tray_2022-10-06.xlsx</v>
          </cell>
          <cell r="L185" t="str">
            <v>Offshore:
GER
(MAT)</v>
          </cell>
          <cell r="M185" t="str">
            <v>S. Zenk</v>
          </cell>
          <cell r="N185">
            <v>44859</v>
          </cell>
          <cell r="P185" t="str">
            <v>Siemens</v>
          </cell>
          <cell r="Q185" t="str">
            <v>OSE</v>
          </cell>
          <cell r="R185" t="str">
            <v>Binding Quote</v>
          </cell>
          <cell r="T185">
            <v>517</v>
          </cell>
          <cell r="U185" t="str">
            <v>PC</v>
          </cell>
          <cell r="V185">
            <v>648.98</v>
          </cell>
          <cell r="W185">
            <v>2</v>
          </cell>
          <cell r="X185" t="str">
            <v>EUR</v>
          </cell>
          <cell r="Y185" t="str">
            <v>German MGK 1</v>
          </cell>
          <cell r="Z185">
            <v>0</v>
          </cell>
          <cell r="AA185">
            <v>0</v>
          </cell>
          <cell r="AC185">
            <v>335522.66000000003</v>
          </cell>
          <cell r="AD185">
            <v>356828.34891</v>
          </cell>
          <cell r="AF185">
            <v>0</v>
          </cell>
          <cell r="AH185">
            <v>356828.34891</v>
          </cell>
          <cell r="AI185">
            <v>0.23709783177495308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467724.91122969246</v>
          </cell>
          <cell r="AP185" t="str">
            <v>II</v>
          </cell>
          <cell r="AQ185" t="str">
            <v>CF.5</v>
          </cell>
        </row>
        <row r="186">
          <cell r="B186" t="str">
            <v>Low Level Control HW</v>
          </cell>
          <cell r="C186">
            <v>0</v>
          </cell>
          <cell r="D186">
            <v>4</v>
          </cell>
          <cell r="E186" t="str">
            <v>CC</v>
          </cell>
          <cell r="F186" t="str">
            <v>I_</v>
          </cell>
          <cell r="G186" t="str">
            <v>QA</v>
          </cell>
          <cell r="H186" t="str">
            <v>04-CC-I_-QA</v>
          </cell>
          <cell r="I186" t="str">
            <v>VFD: G115D WM FSB PN CON 3,0kW</v>
          </cell>
          <cell r="J186" t="str">
            <v>221024_LTIA_Ph1_Z-4-CA-003_PLC_Material_Costs_Long Than_Tray_2022-10-06.xlsx</v>
          </cell>
          <cell r="L186" t="str">
            <v>Offshore:
GER
(MAT)</v>
          </cell>
          <cell r="M186" t="str">
            <v>S. Zenk</v>
          </cell>
          <cell r="N186">
            <v>44859</v>
          </cell>
          <cell r="P186" t="str">
            <v>Siemens</v>
          </cell>
          <cell r="Q186" t="str">
            <v>OSE</v>
          </cell>
          <cell r="R186" t="str">
            <v>Binding Quote</v>
          </cell>
          <cell r="T186">
            <v>134</v>
          </cell>
          <cell r="U186" t="str">
            <v>PC</v>
          </cell>
          <cell r="V186">
            <v>703.12</v>
          </cell>
          <cell r="W186">
            <v>2</v>
          </cell>
          <cell r="X186" t="str">
            <v>EUR</v>
          </cell>
          <cell r="Y186" t="str">
            <v>German MGK 1</v>
          </cell>
          <cell r="Z186">
            <v>0</v>
          </cell>
          <cell r="AA186">
            <v>0</v>
          </cell>
          <cell r="AC186">
            <v>94218.08</v>
          </cell>
          <cell r="AD186">
            <v>100200.92808</v>
          </cell>
          <cell r="AF186">
            <v>0</v>
          </cell>
          <cell r="AH186">
            <v>100200.92808</v>
          </cell>
          <cell r="AI186">
            <v>0.23709783177495308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131341.77913417848</v>
          </cell>
          <cell r="AP186" t="str">
            <v>II</v>
          </cell>
          <cell r="AQ186" t="str">
            <v>CF.5</v>
          </cell>
        </row>
        <row r="187">
          <cell r="B187" t="str">
            <v>Low Level Control HW</v>
          </cell>
          <cell r="C187">
            <v>0</v>
          </cell>
          <cell r="D187">
            <v>4</v>
          </cell>
          <cell r="E187" t="str">
            <v>CC</v>
          </cell>
          <cell r="F187" t="str">
            <v>I_</v>
          </cell>
          <cell r="G187" t="str">
            <v>QA</v>
          </cell>
          <cell r="H187" t="str">
            <v>04-CC-I_-QA</v>
          </cell>
          <cell r="I187" t="str">
            <v>VFD: G115D WM FSB PN CON 4,0kW</v>
          </cell>
          <cell r="J187" t="str">
            <v>221024_LTIA_Ph1_Z-4-CA-003_PLC_Material_Costs_Long Than_Tray_2022-10-06.xlsx</v>
          </cell>
          <cell r="L187" t="str">
            <v>Offshore:
GER
(MAT)</v>
          </cell>
          <cell r="M187" t="str">
            <v>S. Zenk</v>
          </cell>
          <cell r="N187">
            <v>44859</v>
          </cell>
          <cell r="P187" t="str">
            <v>Siemens</v>
          </cell>
          <cell r="Q187" t="str">
            <v>OSE</v>
          </cell>
          <cell r="R187" t="str">
            <v>Binding Quote</v>
          </cell>
          <cell r="T187">
            <v>202</v>
          </cell>
          <cell r="U187" t="str">
            <v>PC</v>
          </cell>
          <cell r="V187">
            <v>790.22</v>
          </cell>
          <cell r="W187">
            <v>2</v>
          </cell>
          <cell r="X187" t="str">
            <v>EUR</v>
          </cell>
          <cell r="Y187" t="str">
            <v>German MGK 1</v>
          </cell>
          <cell r="Z187">
            <v>0</v>
          </cell>
          <cell r="AA187">
            <v>0</v>
          </cell>
          <cell r="AC187">
            <v>159624.44</v>
          </cell>
          <cell r="AD187">
            <v>169760.59193999998</v>
          </cell>
          <cell r="AF187">
            <v>0</v>
          </cell>
          <cell r="AH187">
            <v>169760.59193999998</v>
          </cell>
          <cell r="AI187">
            <v>0.23709783177495308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222519.47760872354</v>
          </cell>
          <cell r="AP187" t="str">
            <v>II</v>
          </cell>
          <cell r="AQ187" t="str">
            <v>CF.5</v>
          </cell>
        </row>
        <row r="188">
          <cell r="B188" t="str">
            <v>Low Level Control HW</v>
          </cell>
          <cell r="C188">
            <v>0</v>
          </cell>
          <cell r="D188">
            <v>4</v>
          </cell>
          <cell r="E188" t="str">
            <v>CC</v>
          </cell>
          <cell r="F188" t="str">
            <v>I_</v>
          </cell>
          <cell r="G188" t="str">
            <v>QA</v>
          </cell>
          <cell r="H188" t="str">
            <v>04-CC-I_-QA</v>
          </cell>
          <cell r="I188" t="str">
            <v>VFD Brake Resistor FSA 240W f. G115D</v>
          </cell>
          <cell r="J188" t="str">
            <v>221024_LTIA_Ph1_Z-4-CA-003_PLC_Material_Costs_Long Than_Tray_2022-10-06.xlsx</v>
          </cell>
          <cell r="L188" t="str">
            <v>Offshore:
GER
(MAT)</v>
          </cell>
          <cell r="M188" t="str">
            <v>S. Zenk</v>
          </cell>
          <cell r="N188">
            <v>44859</v>
          </cell>
          <cell r="P188" t="str">
            <v>Siemens</v>
          </cell>
          <cell r="Q188" t="str">
            <v>OSE</v>
          </cell>
          <cell r="R188" t="str">
            <v>Binding Quote</v>
          </cell>
          <cell r="T188">
            <v>2075.0713815066988</v>
          </cell>
          <cell r="U188" t="str">
            <v>PC</v>
          </cell>
          <cell r="V188">
            <v>161.56</v>
          </cell>
          <cell r="W188">
            <v>2</v>
          </cell>
          <cell r="X188" t="str">
            <v>EUR</v>
          </cell>
          <cell r="Y188" t="str">
            <v>German MGK 1</v>
          </cell>
          <cell r="Z188">
            <v>0</v>
          </cell>
          <cell r="AA188">
            <v>0</v>
          </cell>
          <cell r="AC188">
            <v>335248.53239622229</v>
          </cell>
          <cell r="AD188">
            <v>356536.81420338235</v>
          </cell>
          <cell r="AF188">
            <v>0</v>
          </cell>
          <cell r="AH188">
            <v>356536.81420338235</v>
          </cell>
          <cell r="AI188">
            <v>0.23709783177495308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467342.77218387491</v>
          </cell>
          <cell r="AP188" t="str">
            <v>II</v>
          </cell>
          <cell r="AQ188" t="str">
            <v>CF.5</v>
          </cell>
        </row>
        <row r="189">
          <cell r="B189" t="str">
            <v>Low Level Control HW</v>
          </cell>
          <cell r="C189">
            <v>0</v>
          </cell>
          <cell r="D189">
            <v>4</v>
          </cell>
          <cell r="E189" t="str">
            <v>CC</v>
          </cell>
          <cell r="F189" t="str">
            <v>I_</v>
          </cell>
          <cell r="G189" t="str">
            <v>QA</v>
          </cell>
          <cell r="H189" t="str">
            <v>04-CC-I_-QA</v>
          </cell>
          <cell r="I189" t="str">
            <v>VFD Brake Resistor FSA 480W f. G115D</v>
          </cell>
          <cell r="J189" t="str">
            <v>221024_LTIA_Ph1_Z-4-CA-003_PLC_Material_Costs_Long Than_Tray_2022-10-06.xlsx</v>
          </cell>
          <cell r="L189" t="str">
            <v>Offshore:
GER
(MAT)</v>
          </cell>
          <cell r="M189" t="str">
            <v>S. Zenk</v>
          </cell>
          <cell r="N189">
            <v>44859</v>
          </cell>
          <cell r="P189" t="str">
            <v>Siemens</v>
          </cell>
          <cell r="Q189" t="str">
            <v>OSE</v>
          </cell>
          <cell r="R189" t="str">
            <v>Binding Quote</v>
          </cell>
          <cell r="T189">
            <v>1.0652317153525148</v>
          </cell>
          <cell r="U189" t="str">
            <v>PC</v>
          </cell>
          <cell r="V189">
            <v>161.56</v>
          </cell>
          <cell r="W189">
            <v>2</v>
          </cell>
          <cell r="X189" t="str">
            <v>EUR</v>
          </cell>
          <cell r="Y189" t="str">
            <v>German MGK 1</v>
          </cell>
          <cell r="Z189">
            <v>0</v>
          </cell>
          <cell r="AA189">
            <v>0</v>
          </cell>
          <cell r="AC189">
            <v>172.0988359323523</v>
          </cell>
          <cell r="AD189">
            <v>183.02711201405666</v>
          </cell>
          <cell r="AF189">
            <v>0</v>
          </cell>
          <cell r="AH189">
            <v>183.02711201405666</v>
          </cell>
          <cell r="AI189">
            <v>0.23709783177495308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239.90902062827257</v>
          </cell>
          <cell r="AP189" t="str">
            <v>II</v>
          </cell>
          <cell r="AQ189" t="str">
            <v>CF.5</v>
          </cell>
        </row>
        <row r="190">
          <cell r="B190" t="str">
            <v>Low Level Control HW</v>
          </cell>
          <cell r="C190">
            <v>0</v>
          </cell>
          <cell r="D190">
            <v>4</v>
          </cell>
          <cell r="E190" t="str">
            <v>CC</v>
          </cell>
          <cell r="F190" t="str">
            <v>I_</v>
          </cell>
          <cell r="G190" t="str">
            <v>QA</v>
          </cell>
          <cell r="H190" t="str">
            <v>04-CC-I_-QA</v>
          </cell>
          <cell r="I190" t="str">
            <v>VFD Brake Resistor FSB 240W f. G115D</v>
          </cell>
          <cell r="J190" t="str">
            <v>221024_LTIA_Ph1_Z-4-CA-003_PLC_Material_Costs_Long Than_Tray_2022-10-06.xlsx</v>
          </cell>
          <cell r="L190" t="str">
            <v>Offshore:
GER
(MAT)</v>
          </cell>
          <cell r="M190" t="str">
            <v>S. Zenk</v>
          </cell>
          <cell r="N190">
            <v>44859</v>
          </cell>
          <cell r="P190" t="str">
            <v>Siemens</v>
          </cell>
          <cell r="Q190" t="str">
            <v>OSE</v>
          </cell>
          <cell r="R190" t="str">
            <v>Binding Quote</v>
          </cell>
          <cell r="T190">
            <v>850.05490885130689</v>
          </cell>
          <cell r="U190" t="str">
            <v>PC</v>
          </cell>
          <cell r="V190">
            <v>161.56</v>
          </cell>
          <cell r="W190">
            <v>2</v>
          </cell>
          <cell r="X190" t="str">
            <v>EUR</v>
          </cell>
          <cell r="Y190" t="str">
            <v>German MGK 1</v>
          </cell>
          <cell r="Z190">
            <v>0</v>
          </cell>
          <cell r="AA190">
            <v>0</v>
          </cell>
          <cell r="AC190">
            <v>137334.87107401714</v>
          </cell>
          <cell r="AD190">
            <v>146055.63538721722</v>
          </cell>
          <cell r="AF190">
            <v>0</v>
          </cell>
          <cell r="AH190">
            <v>146055.63538721722</v>
          </cell>
          <cell r="AI190">
            <v>0.23709783177495308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191447.3984613615</v>
          </cell>
          <cell r="AP190" t="str">
            <v>II</v>
          </cell>
          <cell r="AQ190" t="str">
            <v>CF.5</v>
          </cell>
        </row>
        <row r="191">
          <cell r="B191" t="str">
            <v>Low Level Control HW</v>
          </cell>
          <cell r="C191">
            <v>0</v>
          </cell>
          <cell r="D191">
            <v>4</v>
          </cell>
          <cell r="E191" t="str">
            <v>CC</v>
          </cell>
          <cell r="F191" t="str">
            <v>I_</v>
          </cell>
          <cell r="G191" t="str">
            <v>QA</v>
          </cell>
          <cell r="H191" t="str">
            <v>04-CC-I_-QA</v>
          </cell>
          <cell r="I191" t="str">
            <v>VFD Brake Resistor FSB 600W f. G115D</v>
          </cell>
          <cell r="J191" t="str">
            <v>221024_LTIA_Ph1_Z-4-CA-003_PLC_Material_Costs_Long Than_Tray_2022-10-06.xlsx</v>
          </cell>
          <cell r="L191" t="str">
            <v>Offshore:
GER
(MAT)</v>
          </cell>
          <cell r="M191" t="str">
            <v>S. Zenk</v>
          </cell>
          <cell r="N191">
            <v>44859</v>
          </cell>
          <cell r="P191" t="str">
            <v>Siemens</v>
          </cell>
          <cell r="Q191" t="str">
            <v>OSE</v>
          </cell>
          <cell r="R191" t="str">
            <v>Binding Quote</v>
          </cell>
          <cell r="T191">
            <v>3.1956951460575445</v>
          </cell>
          <cell r="U191" t="str">
            <v>PC</v>
          </cell>
          <cell r="V191">
            <v>184.63</v>
          </cell>
          <cell r="W191">
            <v>2</v>
          </cell>
          <cell r="X191" t="str">
            <v>EUR</v>
          </cell>
          <cell r="Y191" t="str">
            <v>German MGK 1</v>
          </cell>
          <cell r="Z191">
            <v>0</v>
          </cell>
          <cell r="AA191">
            <v>0</v>
          </cell>
          <cell r="AC191">
            <v>590.02119481660441</v>
          </cell>
          <cell r="AD191">
            <v>627.4875406874587</v>
          </cell>
          <cell r="AF191">
            <v>0</v>
          </cell>
          <cell r="AH191">
            <v>627.4875406874587</v>
          </cell>
          <cell r="AI191">
            <v>0.23709783177495308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822.50066499005857</v>
          </cell>
          <cell r="AP191" t="str">
            <v>II</v>
          </cell>
          <cell r="AQ191" t="str">
            <v>CF.5</v>
          </cell>
        </row>
        <row r="192">
          <cell r="B192" t="str">
            <v>Low Level Control HW</v>
          </cell>
          <cell r="C192">
            <v>0</v>
          </cell>
          <cell r="D192">
            <v>4</v>
          </cell>
          <cell r="E192" t="str">
            <v>CC</v>
          </cell>
          <cell r="F192" t="str">
            <v>I_</v>
          </cell>
          <cell r="G192" t="str">
            <v>QA</v>
          </cell>
          <cell r="H192" t="str">
            <v>04-CC-I_-QA</v>
          </cell>
          <cell r="I192" t="str">
            <v>VFD: Power T-Connector</v>
          </cell>
          <cell r="J192" t="str">
            <v>221024_LTIA_Ph1_Z-4-CA-003_PLC_Material_Costs_Long Than_Tray_2022-10-06.xlsx</v>
          </cell>
          <cell r="L192" t="str">
            <v>Offshore:
GER
(MAT)</v>
          </cell>
          <cell r="M192" t="str">
            <v>S. Zenk</v>
          </cell>
          <cell r="N192">
            <v>44859</v>
          </cell>
          <cell r="O192" t="str">
            <v>HAR-05.20201</v>
          </cell>
          <cell r="P192" t="str">
            <v>Harting</v>
          </cell>
          <cell r="Q192" t="str">
            <v>OSE</v>
          </cell>
          <cell r="R192" t="str">
            <v>Binding Quote</v>
          </cell>
          <cell r="T192">
            <v>5143</v>
          </cell>
          <cell r="U192" t="str">
            <v>PC</v>
          </cell>
          <cell r="V192">
            <v>27.28</v>
          </cell>
          <cell r="W192">
            <v>2</v>
          </cell>
          <cell r="X192" t="str">
            <v>EUR</v>
          </cell>
          <cell r="Y192" t="str">
            <v>German MGK 1</v>
          </cell>
          <cell r="Z192">
            <v>0</v>
          </cell>
          <cell r="AA192">
            <v>0</v>
          </cell>
          <cell r="AC192">
            <v>140301.04</v>
          </cell>
          <cell r="AD192">
            <v>149210.15604</v>
          </cell>
          <cell r="AF192">
            <v>0</v>
          </cell>
          <cell r="AH192">
            <v>149210.15604</v>
          </cell>
          <cell r="AI192">
            <v>0.23709783177495308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195582.29384397922</v>
          </cell>
          <cell r="AP192" t="str">
            <v>II</v>
          </cell>
          <cell r="AQ192" t="str">
            <v>CF.5</v>
          </cell>
        </row>
        <row r="193">
          <cell r="B193" t="str">
            <v>Low Level Control HW</v>
          </cell>
          <cell r="C193">
            <v>0</v>
          </cell>
          <cell r="D193">
            <v>4</v>
          </cell>
          <cell r="E193" t="str">
            <v>CC</v>
          </cell>
          <cell r="F193" t="str">
            <v>I_</v>
          </cell>
          <cell r="G193" t="str">
            <v>QW</v>
          </cell>
          <cell r="H193" t="str">
            <v>04-CC-I_-QW</v>
          </cell>
          <cell r="I193" t="str">
            <v>VFD: Premanu. Power and Motor cable</v>
          </cell>
          <cell r="J193" t="str">
            <v>221024_LTIA_Ph1_Z-4-CA-003_PLC_Material_Costs_Long Than_Tray_2022-10-06.xlsx</v>
          </cell>
          <cell r="L193" t="str">
            <v>Offshore:
GER
(MAT)</v>
          </cell>
          <cell r="M193" t="str">
            <v>S. Zenk</v>
          </cell>
          <cell r="N193">
            <v>44859</v>
          </cell>
          <cell r="O193" t="str">
            <v>HAR-05.20201</v>
          </cell>
          <cell r="P193" t="str">
            <v>Harting</v>
          </cell>
          <cell r="Q193" t="str">
            <v>OSE</v>
          </cell>
          <cell r="R193" t="str">
            <v>Binding Quote</v>
          </cell>
          <cell r="T193">
            <v>9993</v>
          </cell>
          <cell r="U193" t="str">
            <v>ST</v>
          </cell>
          <cell r="V193">
            <v>66.908736115280703</v>
          </cell>
          <cell r="W193">
            <v>2</v>
          </cell>
          <cell r="X193" t="str">
            <v>EUR</v>
          </cell>
          <cell r="Y193" t="str">
            <v>German MGK 1</v>
          </cell>
          <cell r="Z193">
            <v>0</v>
          </cell>
          <cell r="AA193">
            <v>0</v>
          </cell>
          <cell r="AC193">
            <v>668619.00000000012</v>
          </cell>
          <cell r="AD193">
            <v>711076.30650000006</v>
          </cell>
          <cell r="AF193">
            <v>0</v>
          </cell>
          <cell r="AH193">
            <v>711076.30650000006</v>
          </cell>
          <cell r="AI193">
            <v>0.23709783177495308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932067.48665346706</v>
          </cell>
          <cell r="AP193" t="str">
            <v>II</v>
          </cell>
          <cell r="AQ193" t="str">
            <v>CF.5</v>
          </cell>
        </row>
        <row r="194">
          <cell r="B194" t="str">
            <v>Low Level Control HW</v>
          </cell>
          <cell r="C194">
            <v>0</v>
          </cell>
          <cell r="D194">
            <v>4</v>
          </cell>
          <cell r="E194" t="str">
            <v>CC</v>
          </cell>
          <cell r="F194" t="str">
            <v>I_</v>
          </cell>
          <cell r="G194" t="str">
            <v>QU</v>
          </cell>
          <cell r="H194" t="str">
            <v>04-CC-I_-QU</v>
          </cell>
          <cell r="I194" t="str">
            <v>VFD: Bracket G110D/G115D/G120D</v>
          </cell>
          <cell r="Q194" t="str">
            <v>EXT</v>
          </cell>
          <cell r="R194" t="str">
            <v>Placeholder</v>
          </cell>
          <cell r="U194" t="str">
            <v>ST</v>
          </cell>
          <cell r="W194">
            <v>1</v>
          </cell>
          <cell r="X194" t="str">
            <v>USD</v>
          </cell>
          <cell r="Z194">
            <v>0</v>
          </cell>
          <cell r="AA194">
            <v>0</v>
          </cell>
          <cell r="AC194">
            <v>0</v>
          </cell>
          <cell r="AD194">
            <v>0</v>
          </cell>
          <cell r="AF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P194" t="str">
            <v>X</v>
          </cell>
          <cell r="AQ194" t="str">
            <v>CF.5</v>
          </cell>
        </row>
        <row r="195">
          <cell r="B195" t="str">
            <v/>
          </cell>
          <cell r="H195" t="str">
            <v>--</v>
          </cell>
          <cell r="Q195" t="str">
            <v>EXT</v>
          </cell>
          <cell r="R195" t="str">
            <v>Placeholder</v>
          </cell>
          <cell r="W195">
            <v>1</v>
          </cell>
          <cell r="X195" t="str">
            <v>USD</v>
          </cell>
          <cell r="Z195">
            <v>0</v>
          </cell>
          <cell r="AA195">
            <v>0</v>
          </cell>
          <cell r="AC195">
            <v>0</v>
          </cell>
          <cell r="AD195">
            <v>0</v>
          </cell>
          <cell r="AF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P195" t="str">
            <v>X</v>
          </cell>
          <cell r="AQ195" t="str">
            <v/>
          </cell>
        </row>
        <row r="196">
          <cell r="B196" t="str">
            <v/>
          </cell>
          <cell r="H196" t="str">
            <v>--</v>
          </cell>
          <cell r="Q196" t="str">
            <v>EXT</v>
          </cell>
          <cell r="R196" t="str">
            <v>Placeholder</v>
          </cell>
          <cell r="W196">
            <v>1</v>
          </cell>
          <cell r="X196" t="str">
            <v>USD</v>
          </cell>
          <cell r="Z196">
            <v>0</v>
          </cell>
          <cell r="AA196">
            <v>0</v>
          </cell>
          <cell r="AC196">
            <v>0</v>
          </cell>
          <cell r="AD196">
            <v>0</v>
          </cell>
          <cell r="AF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P196" t="str">
            <v>X</v>
          </cell>
          <cell r="AQ196" t="str">
            <v/>
          </cell>
        </row>
        <row r="197">
          <cell r="I197" t="str">
            <v>4.5 Field Devices Sensors…</v>
          </cell>
        </row>
        <row r="198">
          <cell r="B198" t="str">
            <v>Low Level Control HW</v>
          </cell>
          <cell r="C198">
            <v>0</v>
          </cell>
          <cell r="D198">
            <v>4</v>
          </cell>
          <cell r="E198" t="str">
            <v>CC</v>
          </cell>
          <cell r="F198" t="str">
            <v>I_</v>
          </cell>
          <cell r="G198" t="str">
            <v>BG</v>
          </cell>
          <cell r="H198" t="str">
            <v>04-CC-I_-BG</v>
          </cell>
          <cell r="I198" t="str">
            <v>Field Devices: Actors, Sensors</v>
          </cell>
          <cell r="J198" t="str">
            <v>221024_LTIA_Ph1_Z-4-CA-003_PLC_Material_Costs_Long Than_Tray_2022-10-06.xlsx</v>
          </cell>
          <cell r="L198" t="str">
            <v>Offshore:
GER
(MAT)</v>
          </cell>
          <cell r="M198" t="str">
            <v>S. Zenk</v>
          </cell>
          <cell r="N198">
            <v>44859</v>
          </cell>
          <cell r="P198" t="str">
            <v>SICK</v>
          </cell>
          <cell r="Q198" t="str">
            <v>EXT</v>
          </cell>
          <cell r="R198" t="str">
            <v>Binding Quote</v>
          </cell>
          <cell r="T198">
            <v>1</v>
          </cell>
          <cell r="U198" t="str">
            <v>LS</v>
          </cell>
          <cell r="V198">
            <v>102449</v>
          </cell>
          <cell r="W198">
            <v>2</v>
          </cell>
          <cell r="X198" t="str">
            <v>EUR</v>
          </cell>
          <cell r="Y198" t="str">
            <v>German MGK 1</v>
          </cell>
          <cell r="Z198">
            <v>0</v>
          </cell>
          <cell r="AA198">
            <v>0</v>
          </cell>
          <cell r="AC198">
            <v>102449</v>
          </cell>
          <cell r="AD198">
            <v>108954.51149999999</v>
          </cell>
          <cell r="AF198">
            <v>0</v>
          </cell>
          <cell r="AH198">
            <v>108954.51149999999</v>
          </cell>
          <cell r="AI198">
            <v>0.23709783177495308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142815.83673237081</v>
          </cell>
          <cell r="AP198" t="str">
            <v>II</v>
          </cell>
          <cell r="AQ198" t="str">
            <v>CF.5</v>
          </cell>
        </row>
        <row r="199">
          <cell r="B199" t="str">
            <v>Low Level Control HW</v>
          </cell>
          <cell r="C199">
            <v>0</v>
          </cell>
          <cell r="D199">
            <v>4</v>
          </cell>
          <cell r="E199" t="str">
            <v>CC</v>
          </cell>
          <cell r="F199" t="str">
            <v>I_</v>
          </cell>
          <cell r="G199" t="str">
            <v>BA</v>
          </cell>
          <cell r="H199" t="str">
            <v>04-CC-I_-BA</v>
          </cell>
          <cell r="I199" t="str">
            <v>Field Devices: I/O Devices</v>
          </cell>
          <cell r="J199" t="str">
            <v>221024_LTIA_Ph1_Z-4-CA-003_PLC_Material_Costs_Long Than_Tray_2022-10-06.xlsx</v>
          </cell>
          <cell r="L199" t="str">
            <v>Offshore:
GER
(MAT)</v>
          </cell>
          <cell r="M199" t="str">
            <v>S. Zenk</v>
          </cell>
          <cell r="N199">
            <v>44859</v>
          </cell>
          <cell r="P199" t="str">
            <v>Siemens</v>
          </cell>
          <cell r="Q199" t="str">
            <v>OSE</v>
          </cell>
          <cell r="R199" t="str">
            <v>Binding Quote</v>
          </cell>
          <cell r="T199">
            <v>2024.5833333333335</v>
          </cell>
          <cell r="U199" t="str">
            <v>PC</v>
          </cell>
          <cell r="V199">
            <v>288.3</v>
          </cell>
          <cell r="W199">
            <v>2</v>
          </cell>
          <cell r="X199" t="str">
            <v>EUR</v>
          </cell>
          <cell r="Y199" t="str">
            <v>German MGK 1</v>
          </cell>
          <cell r="Z199">
            <v>0</v>
          </cell>
          <cell r="AA199">
            <v>0</v>
          </cell>
          <cell r="AC199">
            <v>583687.37500000012</v>
          </cell>
          <cell r="AD199">
            <v>620751.5233125001</v>
          </cell>
          <cell r="AF199">
            <v>0</v>
          </cell>
          <cell r="AH199">
            <v>620751.5233125001</v>
          </cell>
          <cell r="AI199">
            <v>0.23709783177495308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813671.20079987228</v>
          </cell>
          <cell r="AP199" t="str">
            <v>II</v>
          </cell>
          <cell r="AQ199" t="str">
            <v>CF.5</v>
          </cell>
        </row>
        <row r="200">
          <cell r="B200" t="str">
            <v>Low Level Control HW</v>
          </cell>
          <cell r="C200">
            <v>0</v>
          </cell>
          <cell r="D200">
            <v>4</v>
          </cell>
          <cell r="E200" t="str">
            <v>CC</v>
          </cell>
          <cell r="F200" t="str">
            <v>I_</v>
          </cell>
          <cell r="G200" t="str">
            <v>BY</v>
          </cell>
          <cell r="H200" t="str">
            <v>04-CC-I_-BY</v>
          </cell>
          <cell r="I200" t="str">
            <v>Field Devices: Barcode Reader (Moby, BPS…) - Interface Module for Profinet RF185C</v>
          </cell>
          <cell r="J200" t="str">
            <v>221024_LTIA_Ph1_Z-4-CA-003_PLC_Material_Costs_Long Than_Tray_2022-10-06.xlsx</v>
          </cell>
          <cell r="L200" t="str">
            <v>Offshore:
GER
(MAT)</v>
          </cell>
          <cell r="M200" t="str">
            <v>S. Zenk</v>
          </cell>
          <cell r="N200">
            <v>44859</v>
          </cell>
          <cell r="Q200" t="str">
            <v>EXT</v>
          </cell>
          <cell r="R200" t="str">
            <v>Binding Quote</v>
          </cell>
          <cell r="T200">
            <v>182</v>
          </cell>
          <cell r="U200" t="str">
            <v>PC</v>
          </cell>
          <cell r="V200">
            <v>368.9</v>
          </cell>
          <cell r="W200">
            <v>2</v>
          </cell>
          <cell r="X200" t="str">
            <v>EUR</v>
          </cell>
          <cell r="Y200" t="str">
            <v>German MGK 1</v>
          </cell>
          <cell r="Z200">
            <v>0</v>
          </cell>
          <cell r="AA200">
            <v>0</v>
          </cell>
          <cell r="AC200">
            <v>67139.8</v>
          </cell>
          <cell r="AD200">
            <v>71403.177299999996</v>
          </cell>
          <cell r="AF200">
            <v>0</v>
          </cell>
          <cell r="AH200">
            <v>71403.177299999996</v>
          </cell>
          <cell r="AI200">
            <v>0.23709783177495308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93594.146502591815</v>
          </cell>
          <cell r="AP200" t="str">
            <v>II</v>
          </cell>
          <cell r="AQ200" t="str">
            <v>CF.5</v>
          </cell>
        </row>
        <row r="201">
          <cell r="B201" t="str">
            <v>Low Level Control HW</v>
          </cell>
          <cell r="C201">
            <v>0</v>
          </cell>
          <cell r="D201">
            <v>4</v>
          </cell>
          <cell r="E201" t="str">
            <v>CC</v>
          </cell>
          <cell r="F201" t="str">
            <v>I_</v>
          </cell>
          <cell r="G201" t="str">
            <v>BY</v>
          </cell>
          <cell r="H201" t="str">
            <v>04-CC-I_-BY</v>
          </cell>
          <cell r="I201" t="str">
            <v>Field Devices: Barcode Reader (Moby, BPS…) - Reader RF380R</v>
          </cell>
          <cell r="J201" t="str">
            <v>221024_LTIA_Ph1_Z-4-CA-003_PLC_Material_Costs_Long Than_Tray_2022-10-06.xlsx</v>
          </cell>
          <cell r="L201" t="str">
            <v>Offshore:
GER
(MAT)</v>
          </cell>
          <cell r="M201" t="str">
            <v>S. Zenk</v>
          </cell>
          <cell r="N201">
            <v>44859</v>
          </cell>
          <cell r="P201" t="str">
            <v>Siemens</v>
          </cell>
          <cell r="Q201" t="str">
            <v>OSE</v>
          </cell>
          <cell r="R201" t="str">
            <v>Binding Quote</v>
          </cell>
          <cell r="T201">
            <v>182</v>
          </cell>
          <cell r="U201" t="str">
            <v>PC</v>
          </cell>
          <cell r="V201">
            <v>533.20000000000005</v>
          </cell>
          <cell r="W201">
            <v>2</v>
          </cell>
          <cell r="X201" t="str">
            <v>EUR</v>
          </cell>
          <cell r="Y201" t="str">
            <v>German MGK 1</v>
          </cell>
          <cell r="Z201">
            <v>0</v>
          </cell>
          <cell r="AA201">
            <v>0</v>
          </cell>
          <cell r="AC201">
            <v>97042.400000000009</v>
          </cell>
          <cell r="AD201">
            <v>103204.59239999999</v>
          </cell>
          <cell r="AF201">
            <v>0</v>
          </cell>
          <cell r="AH201">
            <v>103204.59239999999</v>
          </cell>
          <cell r="AI201">
            <v>0.23709783177495308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135278.93444072094</v>
          </cell>
          <cell r="AP201" t="str">
            <v>II</v>
          </cell>
          <cell r="AQ201" t="str">
            <v>CF.5</v>
          </cell>
        </row>
        <row r="202">
          <cell r="B202" t="str">
            <v>Low Level Control HW</v>
          </cell>
          <cell r="C202">
            <v>0</v>
          </cell>
          <cell r="D202">
            <v>4</v>
          </cell>
          <cell r="E202" t="str">
            <v>CC</v>
          </cell>
          <cell r="F202" t="str">
            <v>I_</v>
          </cell>
          <cell r="G202" t="str">
            <v>BY</v>
          </cell>
          <cell r="H202" t="str">
            <v>04-CC-I_-BY</v>
          </cell>
          <cell r="I202" t="str">
            <v>Field Devices: Barcode Reader (Moby, BPS…) - Cable RF180C - RF380R; 1 m</v>
          </cell>
          <cell r="J202" t="str">
            <v>221024_LTIA_Ph1_Z-4-CA-003_PLC_Material_Costs_Long Than_Tray_2022-10-06.xlsx</v>
          </cell>
          <cell r="L202" t="str">
            <v>Offshore:
GER
(MAT)</v>
          </cell>
          <cell r="M202" t="str">
            <v>S. Zenk</v>
          </cell>
          <cell r="N202">
            <v>44859</v>
          </cell>
          <cell r="Q202" t="str">
            <v>EXT</v>
          </cell>
          <cell r="R202" t="str">
            <v>Binding Quote</v>
          </cell>
          <cell r="T202">
            <v>182</v>
          </cell>
          <cell r="U202" t="str">
            <v>PC</v>
          </cell>
          <cell r="V202">
            <v>103.54</v>
          </cell>
          <cell r="W202">
            <v>2</v>
          </cell>
          <cell r="X202" t="str">
            <v>EUR</v>
          </cell>
          <cell r="Y202" t="str">
            <v>German MGK 1</v>
          </cell>
          <cell r="Z202">
            <v>0</v>
          </cell>
          <cell r="AA202">
            <v>0</v>
          </cell>
          <cell r="AC202">
            <v>18844.280000000002</v>
          </cell>
          <cell r="AD202">
            <v>20040.891780000002</v>
          </cell>
          <cell r="AF202">
            <v>0</v>
          </cell>
          <cell r="AH202">
            <v>20040.891780000002</v>
          </cell>
          <cell r="AI202">
            <v>0.23709783177495308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26269.281455349304</v>
          </cell>
          <cell r="AP202" t="str">
            <v>II</v>
          </cell>
          <cell r="AQ202" t="str">
            <v>CF.5</v>
          </cell>
        </row>
        <row r="203">
          <cell r="B203" t="str">
            <v>Low Level Control HW</v>
          </cell>
          <cell r="C203">
            <v>0</v>
          </cell>
          <cell r="D203">
            <v>4</v>
          </cell>
          <cell r="E203" t="str">
            <v>CC</v>
          </cell>
          <cell r="F203" t="str">
            <v>I_</v>
          </cell>
          <cell r="G203" t="str">
            <v>BU</v>
          </cell>
          <cell r="H203" t="str">
            <v>04-CC-I_-BU</v>
          </cell>
          <cell r="I203" t="str">
            <v>Field Devices: Equipment Brackets &amp; Supports</v>
          </cell>
          <cell r="Q203" t="str">
            <v>EXT</v>
          </cell>
          <cell r="R203" t="str">
            <v>Placeholder</v>
          </cell>
          <cell r="U203" t="str">
            <v>PC</v>
          </cell>
          <cell r="W203">
            <v>1</v>
          </cell>
          <cell r="X203" t="str">
            <v>USD</v>
          </cell>
          <cell r="Z203">
            <v>0</v>
          </cell>
          <cell r="AA203">
            <v>0</v>
          </cell>
          <cell r="AC203">
            <v>0</v>
          </cell>
          <cell r="AD203">
            <v>0</v>
          </cell>
          <cell r="AF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P203" t="str">
            <v>X</v>
          </cell>
          <cell r="AQ203" t="str">
            <v>CF.5</v>
          </cell>
        </row>
        <row r="204">
          <cell r="B204" t="str">
            <v>Low Level Control HW</v>
          </cell>
          <cell r="C204">
            <v>0</v>
          </cell>
          <cell r="D204">
            <v>4</v>
          </cell>
          <cell r="E204" t="str">
            <v>CC</v>
          </cell>
          <cell r="F204" t="str">
            <v>I_</v>
          </cell>
          <cell r="G204" t="str">
            <v>BW</v>
          </cell>
          <cell r="H204" t="str">
            <v>04-CC-I_-BW</v>
          </cell>
          <cell r="I204" t="str">
            <v>Field Devices: Premanu. Sensor cable</v>
          </cell>
          <cell r="J204" t="str">
            <v>221024_LTIA_Ph1_Z-4-CA-003_PLC_Material_Costs_Long Than_Tray_2022-10-06.xlsx</v>
          </cell>
          <cell r="L204" t="str">
            <v>Offshore:
GER
(MAT)</v>
          </cell>
          <cell r="M204" t="str">
            <v>S. Zenk</v>
          </cell>
          <cell r="N204">
            <v>44859</v>
          </cell>
          <cell r="P204" t="str">
            <v>MURR</v>
          </cell>
          <cell r="Q204" t="str">
            <v>EXT</v>
          </cell>
          <cell r="R204" t="str">
            <v>Binding Quote</v>
          </cell>
          <cell r="T204">
            <v>1</v>
          </cell>
          <cell r="U204" t="str">
            <v>LS</v>
          </cell>
          <cell r="V204">
            <v>314437</v>
          </cell>
          <cell r="W204">
            <v>2</v>
          </cell>
          <cell r="X204" t="str">
            <v>EUR</v>
          </cell>
          <cell r="Y204" t="str">
            <v>German MGK 1</v>
          </cell>
          <cell r="Z204">
            <v>0</v>
          </cell>
          <cell r="AA204">
            <v>0</v>
          </cell>
          <cell r="AC204">
            <v>314437</v>
          </cell>
          <cell r="AD204">
            <v>334403.74949999998</v>
          </cell>
          <cell r="AF204">
            <v>0</v>
          </cell>
          <cell r="AH204">
            <v>334403.74949999998</v>
          </cell>
          <cell r="AI204">
            <v>0.23709783177495308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438331.10381376563</v>
          </cell>
          <cell r="AP204" t="str">
            <v>II</v>
          </cell>
          <cell r="AQ204" t="str">
            <v>CF.5</v>
          </cell>
        </row>
        <row r="205">
          <cell r="B205" t="str">
            <v>Low Level Control HW</v>
          </cell>
          <cell r="C205">
            <v>0</v>
          </cell>
          <cell r="D205">
            <v>4</v>
          </cell>
          <cell r="E205" t="str">
            <v>CC</v>
          </cell>
          <cell r="F205" t="str">
            <v>I_</v>
          </cell>
          <cell r="G205" t="str">
            <v>SJ</v>
          </cell>
          <cell r="H205" t="str">
            <v>04-CC-I_-SJ</v>
          </cell>
          <cell r="I205" t="str">
            <v>Field Devices: Control Stations (CS)</v>
          </cell>
          <cell r="J205" t="str">
            <v>221024_LTIA_Ph1_Z-4-CA-003_PLC_Material_Costs_Long Than_Tray_2022-10-06.xlsx</v>
          </cell>
          <cell r="L205" t="str">
            <v>Offshore:
GER
(MAT)</v>
          </cell>
          <cell r="M205" t="str">
            <v>S. Zenk</v>
          </cell>
          <cell r="N205">
            <v>44859</v>
          </cell>
          <cell r="P205" t="str">
            <v>Siemens</v>
          </cell>
          <cell r="Q205" t="str">
            <v>OSE</v>
          </cell>
          <cell r="R205" t="str">
            <v>Binding Quote</v>
          </cell>
          <cell r="T205">
            <v>1529.3333333333335</v>
          </cell>
          <cell r="U205" t="str">
            <v>PC</v>
          </cell>
          <cell r="V205">
            <v>97.204708960104639</v>
          </cell>
          <cell r="W205">
            <v>2</v>
          </cell>
          <cell r="X205" t="str">
            <v>EUR</v>
          </cell>
          <cell r="Y205" t="str">
            <v>German MGK 1</v>
          </cell>
          <cell r="Z205">
            <v>0</v>
          </cell>
          <cell r="AA205">
            <v>0</v>
          </cell>
          <cell r="AC205">
            <v>148658.40156965339</v>
          </cell>
          <cell r="AD205">
            <v>158098.21006932636</v>
          </cell>
          <cell r="AF205">
            <v>0</v>
          </cell>
          <cell r="AH205">
            <v>158098.21006932636</v>
          </cell>
          <cell r="AI205">
            <v>0.23709783177495308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207232.61337315966</v>
          </cell>
          <cell r="AP205" t="str">
            <v>II</v>
          </cell>
          <cell r="AQ205" t="str">
            <v>CF.5</v>
          </cell>
        </row>
        <row r="206">
          <cell r="B206" t="str">
            <v>Low Level Control HW</v>
          </cell>
          <cell r="C206">
            <v>0</v>
          </cell>
          <cell r="D206">
            <v>4</v>
          </cell>
          <cell r="E206" t="str">
            <v>CC</v>
          </cell>
          <cell r="F206" t="str">
            <v>I_</v>
          </cell>
          <cell r="G206" t="str">
            <v>SP</v>
          </cell>
          <cell r="H206" t="str">
            <v>04-CC-I_-SP</v>
          </cell>
          <cell r="I206" t="str">
            <v>Field Devices: Light Beacons / Tower Lamps (LB)</v>
          </cell>
          <cell r="J206" t="str">
            <v>221024_LTIA_Ph1_Z-4-CA-003_PLC_Material_Costs_Long Than_Tray_2022-10-06.xlsx</v>
          </cell>
          <cell r="L206" t="str">
            <v>Offshore:
GER
(MAT)</v>
          </cell>
          <cell r="M206" t="str">
            <v>S. Zenk</v>
          </cell>
          <cell r="N206">
            <v>44859</v>
          </cell>
          <cell r="P206" t="str">
            <v>Siemens</v>
          </cell>
          <cell r="Q206" t="str">
            <v>OSE</v>
          </cell>
          <cell r="R206" t="str">
            <v>Binding Quote</v>
          </cell>
          <cell r="T206">
            <v>1613.8333333333335</v>
          </cell>
          <cell r="U206" t="str">
            <v>PC</v>
          </cell>
          <cell r="V206">
            <v>186.75650557620818</v>
          </cell>
          <cell r="W206">
            <v>2</v>
          </cell>
          <cell r="X206" t="str">
            <v>EUR</v>
          </cell>
          <cell r="Y206" t="str">
            <v>German MGK 1</v>
          </cell>
          <cell r="Z206">
            <v>0</v>
          </cell>
          <cell r="AA206">
            <v>0</v>
          </cell>
          <cell r="AC206">
            <v>301393.87391573732</v>
          </cell>
          <cell r="AD206">
            <v>320532.38490938663</v>
          </cell>
          <cell r="AF206">
            <v>0</v>
          </cell>
          <cell r="AH206">
            <v>320532.38490938663</v>
          </cell>
          <cell r="AI206">
            <v>0.23709783177495308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420148.74024428439</v>
          </cell>
          <cell r="AP206" t="str">
            <v>II</v>
          </cell>
          <cell r="AQ206" t="str">
            <v>CF.5</v>
          </cell>
        </row>
        <row r="207">
          <cell r="B207" t="str">
            <v/>
          </cell>
          <cell r="H207" t="str">
            <v>--</v>
          </cell>
          <cell r="Q207" t="str">
            <v>EXT</v>
          </cell>
          <cell r="R207" t="str">
            <v>Placeholder</v>
          </cell>
          <cell r="W207">
            <v>1</v>
          </cell>
          <cell r="X207" t="str">
            <v>USD</v>
          </cell>
          <cell r="Z207">
            <v>0</v>
          </cell>
          <cell r="AA207">
            <v>0</v>
          </cell>
          <cell r="AC207">
            <v>0</v>
          </cell>
          <cell r="AD207">
            <v>0</v>
          </cell>
          <cell r="AF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P207" t="str">
            <v>X</v>
          </cell>
          <cell r="AQ207" t="str">
            <v/>
          </cell>
        </row>
        <row r="208">
          <cell r="B208" t="str">
            <v/>
          </cell>
          <cell r="H208" t="str">
            <v>--</v>
          </cell>
          <cell r="Q208" t="str">
            <v>EXT</v>
          </cell>
          <cell r="R208" t="str">
            <v>Placeholder</v>
          </cell>
          <cell r="W208">
            <v>1</v>
          </cell>
          <cell r="X208" t="str">
            <v>USD</v>
          </cell>
          <cell r="Z208">
            <v>0</v>
          </cell>
          <cell r="AA208">
            <v>0</v>
          </cell>
          <cell r="AC208">
            <v>0</v>
          </cell>
          <cell r="AD208">
            <v>0</v>
          </cell>
          <cell r="AF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P208" t="str">
            <v>X</v>
          </cell>
          <cell r="AQ208" t="str">
            <v/>
          </cell>
        </row>
        <row r="209">
          <cell r="I209" t="str">
            <v>4.6 Cable Supporting System</v>
          </cell>
        </row>
        <row r="210">
          <cell r="B210" t="str">
            <v>Low Level Control HW</v>
          </cell>
          <cell r="C210">
            <v>0</v>
          </cell>
          <cell r="D210">
            <v>4</v>
          </cell>
          <cell r="E210" t="str">
            <v>CL</v>
          </cell>
          <cell r="F210" t="str">
            <v>I_</v>
          </cell>
          <cell r="G210" t="str">
            <v>BU</v>
          </cell>
          <cell r="H210" t="str">
            <v>04-CL-I_-BU</v>
          </cell>
          <cell r="I210" t="str">
            <v>Cable Tray Cable Rack, Cable Trunking, Cable Ladder, Conduit</v>
          </cell>
          <cell r="Q210" t="str">
            <v>EXT</v>
          </cell>
          <cell r="R210" t="str">
            <v>Placeholder</v>
          </cell>
          <cell r="U210" t="str">
            <v>MT</v>
          </cell>
          <cell r="W210">
            <v>1</v>
          </cell>
          <cell r="X210" t="str">
            <v>USD</v>
          </cell>
          <cell r="Z210">
            <v>0</v>
          </cell>
          <cell r="AA210">
            <v>0</v>
          </cell>
          <cell r="AC210">
            <v>0</v>
          </cell>
          <cell r="AD210">
            <v>0</v>
          </cell>
          <cell r="AF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P210" t="str">
            <v>X</v>
          </cell>
          <cell r="AQ210" t="str">
            <v>CF.5</v>
          </cell>
        </row>
        <row r="211">
          <cell r="B211" t="str">
            <v/>
          </cell>
          <cell r="H211" t="str">
            <v>--</v>
          </cell>
          <cell r="Q211" t="str">
            <v>EXT</v>
          </cell>
          <cell r="R211" t="str">
            <v>Placeholder</v>
          </cell>
          <cell r="W211">
            <v>1</v>
          </cell>
          <cell r="X211" t="str">
            <v>USD</v>
          </cell>
          <cell r="Z211">
            <v>0</v>
          </cell>
          <cell r="AA211">
            <v>0</v>
          </cell>
          <cell r="AC211">
            <v>0</v>
          </cell>
          <cell r="AD211">
            <v>0</v>
          </cell>
          <cell r="AF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P211" t="str">
            <v>X</v>
          </cell>
          <cell r="AQ211" t="str">
            <v/>
          </cell>
        </row>
        <row r="212">
          <cell r="B212" t="str">
            <v/>
          </cell>
          <cell r="H212" t="str">
            <v>--</v>
          </cell>
          <cell r="Q212" t="str">
            <v>EXT</v>
          </cell>
          <cell r="R212" t="str">
            <v>Placeholder</v>
          </cell>
          <cell r="W212">
            <v>1</v>
          </cell>
          <cell r="X212" t="str">
            <v>USD</v>
          </cell>
          <cell r="Z212">
            <v>0</v>
          </cell>
          <cell r="AA212">
            <v>0</v>
          </cell>
          <cell r="AC212">
            <v>0</v>
          </cell>
          <cell r="AD212">
            <v>0</v>
          </cell>
          <cell r="AF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P212" t="str">
            <v>X</v>
          </cell>
          <cell r="AQ212" t="str">
            <v/>
          </cell>
        </row>
        <row r="213">
          <cell r="I213" t="str">
            <v>4.7 Wire and Cable</v>
          </cell>
        </row>
        <row r="214">
          <cell r="B214" t="str">
            <v>Low Level Control HW</v>
          </cell>
          <cell r="C214">
            <v>0</v>
          </cell>
          <cell r="D214">
            <v>4</v>
          </cell>
          <cell r="E214" t="str">
            <v>CW</v>
          </cell>
          <cell r="F214" t="str">
            <v>I_</v>
          </cell>
          <cell r="G214" t="str">
            <v>DB</v>
          </cell>
          <cell r="H214" t="str">
            <v>04-CW-I_-DB</v>
          </cell>
          <cell r="I214" t="str">
            <v>Low Voltage Power Cable</v>
          </cell>
          <cell r="Q214" t="str">
            <v>EXT</v>
          </cell>
          <cell r="R214" t="str">
            <v>Placeholder</v>
          </cell>
          <cell r="U214" t="str">
            <v>MT</v>
          </cell>
          <cell r="W214">
            <v>1</v>
          </cell>
          <cell r="X214" t="str">
            <v>USD</v>
          </cell>
          <cell r="Z214">
            <v>0</v>
          </cell>
          <cell r="AA214">
            <v>0</v>
          </cell>
          <cell r="AC214">
            <v>0</v>
          </cell>
          <cell r="AD214">
            <v>0</v>
          </cell>
          <cell r="AF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P214" t="str">
            <v>X</v>
          </cell>
          <cell r="AQ214" t="str">
            <v>CF.5</v>
          </cell>
        </row>
        <row r="215">
          <cell r="B215" t="str">
            <v>Low Level Control HW</v>
          </cell>
          <cell r="C215">
            <v>0</v>
          </cell>
          <cell r="D215">
            <v>4</v>
          </cell>
          <cell r="E215" t="str">
            <v>CW</v>
          </cell>
          <cell r="F215" t="str">
            <v>I_</v>
          </cell>
          <cell r="G215" t="str">
            <v>EB</v>
          </cell>
          <cell r="H215" t="str">
            <v>04-CW-I_-EB</v>
          </cell>
          <cell r="I215" t="str">
            <v>Earthing Cable</v>
          </cell>
          <cell r="Q215" t="str">
            <v>EXT</v>
          </cell>
          <cell r="R215" t="str">
            <v>Placeholder</v>
          </cell>
          <cell r="U215" t="str">
            <v>MT</v>
          </cell>
          <cell r="W215">
            <v>1</v>
          </cell>
          <cell r="X215" t="str">
            <v>USD</v>
          </cell>
          <cell r="Z215">
            <v>0</v>
          </cell>
          <cell r="AA215">
            <v>0</v>
          </cell>
          <cell r="AC215">
            <v>0</v>
          </cell>
          <cell r="AD215">
            <v>0</v>
          </cell>
          <cell r="AF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P215" t="str">
            <v>X</v>
          </cell>
          <cell r="AQ215" t="str">
            <v>CF.5</v>
          </cell>
        </row>
        <row r="216">
          <cell r="B216" t="str">
            <v>Low Level Control HW</v>
          </cell>
          <cell r="C216">
            <v>0</v>
          </cell>
          <cell r="D216">
            <v>4</v>
          </cell>
          <cell r="E216" t="str">
            <v>CW</v>
          </cell>
          <cell r="F216" t="str">
            <v>I_</v>
          </cell>
          <cell r="G216" t="str">
            <v>GA</v>
          </cell>
          <cell r="H216" t="str">
            <v>04-CW-I_-GA</v>
          </cell>
          <cell r="I216" t="str">
            <v>Signal Cable, CU Control Cable</v>
          </cell>
          <cell r="Q216" t="str">
            <v>EXT</v>
          </cell>
          <cell r="R216" t="str">
            <v>Placeholder</v>
          </cell>
          <cell r="U216" t="str">
            <v>MT</v>
          </cell>
          <cell r="W216">
            <v>1</v>
          </cell>
          <cell r="X216" t="str">
            <v>USD</v>
          </cell>
          <cell r="Z216">
            <v>0</v>
          </cell>
          <cell r="AA216">
            <v>0</v>
          </cell>
          <cell r="AC216">
            <v>0</v>
          </cell>
          <cell r="AD216">
            <v>0</v>
          </cell>
          <cell r="AF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P216" t="str">
            <v>X</v>
          </cell>
          <cell r="AQ216" t="str">
            <v>CF.5</v>
          </cell>
        </row>
        <row r="217">
          <cell r="B217" t="str">
            <v>Low Level Control HW</v>
          </cell>
          <cell r="C217">
            <v>0</v>
          </cell>
          <cell r="D217">
            <v>4</v>
          </cell>
          <cell r="E217" t="str">
            <v>CW</v>
          </cell>
          <cell r="F217" t="str">
            <v>I_</v>
          </cell>
          <cell r="G217" t="str">
            <v>GB</v>
          </cell>
          <cell r="H217" t="str">
            <v>04-CW-I_-GB</v>
          </cell>
          <cell r="I217" t="str">
            <v>Signal Cable, CU Data Cable</v>
          </cell>
          <cell r="Q217" t="str">
            <v>EXT</v>
          </cell>
          <cell r="R217" t="str">
            <v>Placeholder</v>
          </cell>
          <cell r="U217" t="str">
            <v>MT</v>
          </cell>
          <cell r="W217">
            <v>1</v>
          </cell>
          <cell r="X217" t="str">
            <v>USD</v>
          </cell>
          <cell r="Z217">
            <v>0</v>
          </cell>
          <cell r="AA217">
            <v>0</v>
          </cell>
          <cell r="AC217">
            <v>0</v>
          </cell>
          <cell r="AD217">
            <v>0</v>
          </cell>
          <cell r="AF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P217" t="str">
            <v>X</v>
          </cell>
          <cell r="AQ217" t="str">
            <v>CF.5</v>
          </cell>
        </row>
        <row r="218">
          <cell r="B218" t="str">
            <v>Low Level Control HW</v>
          </cell>
          <cell r="C218">
            <v>0</v>
          </cell>
          <cell r="D218">
            <v>4</v>
          </cell>
          <cell r="E218" t="str">
            <v>CW</v>
          </cell>
          <cell r="F218" t="str">
            <v>I_</v>
          </cell>
          <cell r="G218" t="str">
            <v>HA</v>
          </cell>
          <cell r="H218" t="str">
            <v>04-CW-I_-HA</v>
          </cell>
          <cell r="I218" t="str">
            <v>Signal Cable, Optical Fibre Optical Cable</v>
          </cell>
          <cell r="Q218" t="str">
            <v>EXT</v>
          </cell>
          <cell r="R218" t="str">
            <v>Placeholder</v>
          </cell>
          <cell r="U218" t="str">
            <v>MT</v>
          </cell>
          <cell r="W218">
            <v>1</v>
          </cell>
          <cell r="X218" t="str">
            <v>USD</v>
          </cell>
          <cell r="Z218">
            <v>0</v>
          </cell>
          <cell r="AA218">
            <v>0</v>
          </cell>
          <cell r="AC218">
            <v>0</v>
          </cell>
          <cell r="AD218">
            <v>0</v>
          </cell>
          <cell r="AF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P218" t="str">
            <v>X</v>
          </cell>
          <cell r="AQ218" t="str">
            <v>CF.5</v>
          </cell>
        </row>
        <row r="219">
          <cell r="B219" t="str">
            <v/>
          </cell>
          <cell r="H219" t="str">
            <v>--</v>
          </cell>
          <cell r="Q219" t="str">
            <v>EXT</v>
          </cell>
          <cell r="R219" t="str">
            <v>Placeholder</v>
          </cell>
          <cell r="W219">
            <v>1</v>
          </cell>
          <cell r="X219" t="str">
            <v>USD</v>
          </cell>
          <cell r="Z219">
            <v>0</v>
          </cell>
          <cell r="AA219">
            <v>0</v>
          </cell>
          <cell r="AC219">
            <v>0</v>
          </cell>
          <cell r="AD219">
            <v>0</v>
          </cell>
          <cell r="AF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P219" t="str">
            <v>X</v>
          </cell>
          <cell r="AQ219" t="str">
            <v/>
          </cell>
        </row>
        <row r="220">
          <cell r="B220" t="str">
            <v/>
          </cell>
          <cell r="H220" t="str">
            <v>--</v>
          </cell>
          <cell r="Q220" t="str">
            <v>EXT</v>
          </cell>
          <cell r="R220" t="str">
            <v>Placeholder</v>
          </cell>
          <cell r="W220">
            <v>1</v>
          </cell>
          <cell r="X220" t="str">
            <v>USD</v>
          </cell>
          <cell r="Z220">
            <v>0</v>
          </cell>
          <cell r="AA220">
            <v>0</v>
          </cell>
          <cell r="AC220">
            <v>0</v>
          </cell>
          <cell r="AD220">
            <v>0</v>
          </cell>
          <cell r="AF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P220" t="str">
            <v>X</v>
          </cell>
          <cell r="AQ220" t="str">
            <v/>
          </cell>
        </row>
        <row r="221">
          <cell r="I221" t="str">
            <v>4.8 Commissioning Spares</v>
          </cell>
        </row>
        <row r="222">
          <cell r="B222" t="str">
            <v>Low Level Control HW</v>
          </cell>
          <cell r="C222">
            <v>0</v>
          </cell>
          <cell r="D222">
            <v>4</v>
          </cell>
          <cell r="E222" t="str">
            <v>CP</v>
          </cell>
          <cell r="F222" t="str">
            <v>I_</v>
          </cell>
          <cell r="G222" t="str">
            <v>AB</v>
          </cell>
          <cell r="H222" t="str">
            <v>04-CP-I_-AB</v>
          </cell>
          <cell r="I222" t="str">
            <v>Electrical Spare Parts</v>
          </cell>
          <cell r="Q222" t="str">
            <v>EXT</v>
          </cell>
          <cell r="R222" t="str">
            <v>Placeholder</v>
          </cell>
          <cell r="U222" t="str">
            <v>LS</v>
          </cell>
          <cell r="W222">
            <v>1</v>
          </cell>
          <cell r="X222" t="str">
            <v>USD</v>
          </cell>
          <cell r="Z222">
            <v>0</v>
          </cell>
          <cell r="AA222">
            <v>0</v>
          </cell>
          <cell r="AC222">
            <v>0</v>
          </cell>
          <cell r="AD222">
            <v>0</v>
          </cell>
          <cell r="AF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P222" t="str">
            <v>X</v>
          </cell>
          <cell r="AQ222" t="str">
            <v>CF.5</v>
          </cell>
        </row>
        <row r="223">
          <cell r="B223" t="str">
            <v>Low Level Control HW</v>
          </cell>
          <cell r="C223">
            <v>0</v>
          </cell>
          <cell r="D223">
            <v>4</v>
          </cell>
          <cell r="E223" t="str">
            <v>CP</v>
          </cell>
          <cell r="F223" t="str">
            <v>I_</v>
          </cell>
          <cell r="G223" t="str">
            <v>AC</v>
          </cell>
          <cell r="H223" t="str">
            <v>04-CP-I_-AC</v>
          </cell>
          <cell r="I223" t="str">
            <v>Control Spare Parts</v>
          </cell>
          <cell r="J223" t="str">
            <v>=0,02% of Material</v>
          </cell>
          <cell r="L223" t="str">
            <v>Offshore:
GER
(MAT)</v>
          </cell>
          <cell r="Q223" t="str">
            <v>EXT</v>
          </cell>
          <cell r="R223" t="str">
            <v>Estimate</v>
          </cell>
          <cell r="T223">
            <v>1</v>
          </cell>
          <cell r="U223" t="str">
            <v>LS</v>
          </cell>
          <cell r="V223">
            <v>209645.45576695856</v>
          </cell>
          <cell r="W223">
            <v>2</v>
          </cell>
          <cell r="X223" t="str">
            <v>EUR</v>
          </cell>
          <cell r="Z223">
            <v>0</v>
          </cell>
          <cell r="AA223">
            <v>0</v>
          </cell>
          <cell r="AC223">
            <v>209645.45576695856</v>
          </cell>
          <cell r="AD223">
            <v>222957.94220816041</v>
          </cell>
          <cell r="AF223">
            <v>0</v>
          </cell>
          <cell r="AH223">
            <v>222957.94220816041</v>
          </cell>
          <cell r="AI223">
            <v>0.23709783177495308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292249.71627343772</v>
          </cell>
          <cell r="AP223" t="str">
            <v>IV.4.2</v>
          </cell>
          <cell r="AQ223" t="str">
            <v>CF.5</v>
          </cell>
        </row>
        <row r="224">
          <cell r="B224" t="str">
            <v/>
          </cell>
          <cell r="H224" t="str">
            <v>--</v>
          </cell>
          <cell r="Q224" t="str">
            <v>EXT</v>
          </cell>
          <cell r="R224" t="str">
            <v>Placeholder</v>
          </cell>
          <cell r="W224">
            <v>1</v>
          </cell>
          <cell r="X224" t="str">
            <v>USD</v>
          </cell>
          <cell r="Z224">
            <v>0</v>
          </cell>
          <cell r="AA224">
            <v>0</v>
          </cell>
          <cell r="AC224">
            <v>0</v>
          </cell>
          <cell r="AD224">
            <v>0</v>
          </cell>
          <cell r="AF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P224" t="str">
            <v>X</v>
          </cell>
          <cell r="AQ224" t="str">
            <v/>
          </cell>
        </row>
        <row r="225">
          <cell r="B225" t="str">
            <v/>
          </cell>
          <cell r="H225" t="str">
            <v>--</v>
          </cell>
          <cell r="Q225" t="str">
            <v>EXT</v>
          </cell>
          <cell r="R225" t="str">
            <v>Placeholder</v>
          </cell>
          <cell r="W225">
            <v>1</v>
          </cell>
          <cell r="X225" t="str">
            <v>USD</v>
          </cell>
          <cell r="Z225">
            <v>0</v>
          </cell>
          <cell r="AA225">
            <v>0</v>
          </cell>
          <cell r="AC225">
            <v>0</v>
          </cell>
          <cell r="AD225">
            <v>0</v>
          </cell>
          <cell r="AF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P225" t="str">
            <v>X</v>
          </cell>
          <cell r="AQ225" t="str">
            <v/>
          </cell>
        </row>
        <row r="226">
          <cell r="I226" t="str">
            <v>4.9 Inital Spare Part Package / Onsite Spares</v>
          </cell>
        </row>
        <row r="227">
          <cell r="B227" t="str">
            <v>Operation &amp; Maintenance - One-Time Cost</v>
          </cell>
          <cell r="C227" t="str">
            <v>W</v>
          </cell>
          <cell r="D227">
            <v>4</v>
          </cell>
          <cell r="E227" t="str">
            <v>CI</v>
          </cell>
          <cell r="F227" t="str">
            <v>I_</v>
          </cell>
          <cell r="G227" t="str">
            <v>AB</v>
          </cell>
          <cell r="H227" t="str">
            <v>W4-CI-I_-AB</v>
          </cell>
          <cell r="I227" t="str">
            <v>Electrical Spare Parts</v>
          </cell>
          <cell r="Q227" t="str">
            <v>EXT</v>
          </cell>
          <cell r="R227" t="str">
            <v>Placeholder</v>
          </cell>
          <cell r="U227" t="str">
            <v>LS</v>
          </cell>
          <cell r="W227">
            <v>1</v>
          </cell>
          <cell r="X227" t="str">
            <v>USD</v>
          </cell>
          <cell r="Z227">
            <v>0</v>
          </cell>
          <cell r="AA227">
            <v>0</v>
          </cell>
          <cell r="AC227">
            <v>0</v>
          </cell>
          <cell r="AD227">
            <v>0</v>
          </cell>
          <cell r="AF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P227" t="str">
            <v>X</v>
          </cell>
          <cell r="AQ227" t="str">
            <v>CF.15</v>
          </cell>
        </row>
        <row r="228">
          <cell r="B228" t="str">
            <v>Operation &amp; Maintenance - One-Time Cost</v>
          </cell>
          <cell r="C228" t="str">
            <v>W</v>
          </cell>
          <cell r="D228">
            <v>4</v>
          </cell>
          <cell r="E228" t="str">
            <v>CI</v>
          </cell>
          <cell r="F228" t="str">
            <v>I_</v>
          </cell>
          <cell r="G228" t="str">
            <v>AC</v>
          </cell>
          <cell r="H228" t="str">
            <v>W4-CI-I_-AC</v>
          </cell>
          <cell r="I228" t="str">
            <v>Control Spare Parts</v>
          </cell>
          <cell r="J228" t="str">
            <v>=0,02% of Material</v>
          </cell>
          <cell r="L228" t="str">
            <v>Offshore:
GER
(MAT)</v>
          </cell>
          <cell r="Q228" t="str">
            <v>EXT</v>
          </cell>
          <cell r="R228" t="str">
            <v>Estimate</v>
          </cell>
          <cell r="T228">
            <v>1</v>
          </cell>
          <cell r="U228" t="str">
            <v>LS</v>
          </cell>
          <cell r="V228">
            <v>209645.45576695856</v>
          </cell>
          <cell r="W228">
            <v>2</v>
          </cell>
          <cell r="X228" t="str">
            <v>EUR</v>
          </cell>
          <cell r="Z228">
            <v>0</v>
          </cell>
          <cell r="AA228">
            <v>0</v>
          </cell>
          <cell r="AC228">
            <v>209645.45576695856</v>
          </cell>
          <cell r="AD228">
            <v>222957.94220816041</v>
          </cell>
          <cell r="AF228">
            <v>0</v>
          </cell>
          <cell r="AH228">
            <v>222957.94220816041</v>
          </cell>
          <cell r="AI228">
            <v>0.23709783177495308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292249.71627343772</v>
          </cell>
          <cell r="AP228" t="str">
            <v>IV.4.2</v>
          </cell>
          <cell r="AQ228" t="str">
            <v>CF.15</v>
          </cell>
        </row>
        <row r="229">
          <cell r="B229" t="str">
            <v/>
          </cell>
          <cell r="H229" t="str">
            <v>--</v>
          </cell>
          <cell r="Q229" t="str">
            <v>EXT</v>
          </cell>
          <cell r="R229" t="str">
            <v>Placeholder</v>
          </cell>
          <cell r="W229">
            <v>1</v>
          </cell>
          <cell r="X229" t="str">
            <v>USD</v>
          </cell>
          <cell r="Z229">
            <v>0</v>
          </cell>
          <cell r="AA229">
            <v>0</v>
          </cell>
          <cell r="AC229">
            <v>0</v>
          </cell>
          <cell r="AD229">
            <v>0</v>
          </cell>
          <cell r="AF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P229" t="str">
            <v>X</v>
          </cell>
          <cell r="AQ229" t="str">
            <v/>
          </cell>
        </row>
        <row r="230">
          <cell r="B230" t="str">
            <v/>
          </cell>
          <cell r="H230" t="str">
            <v>--</v>
          </cell>
          <cell r="Q230" t="str">
            <v>EXT</v>
          </cell>
          <cell r="R230" t="str">
            <v>Placeholder</v>
          </cell>
          <cell r="W230">
            <v>1</v>
          </cell>
          <cell r="X230" t="str">
            <v>USD</v>
          </cell>
          <cell r="Z230">
            <v>0</v>
          </cell>
          <cell r="AA230">
            <v>0</v>
          </cell>
          <cell r="AC230">
            <v>0</v>
          </cell>
          <cell r="AD230">
            <v>0</v>
          </cell>
          <cell r="AF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P230" t="str">
            <v>X</v>
          </cell>
          <cell r="AQ230" t="str">
            <v/>
          </cell>
        </row>
        <row r="231">
          <cell r="B231" t="str">
            <v>Subtotal - 5</v>
          </cell>
          <cell r="I231" t="str">
            <v>5. Early Bag Storage System</v>
          </cell>
        </row>
        <row r="232">
          <cell r="I232" t="str">
            <v>5.1 Control Panel (LP = Power and PLC Part)</v>
          </cell>
        </row>
        <row r="233">
          <cell r="B233" t="str">
            <v>Low Level Control HW</v>
          </cell>
          <cell r="C233">
            <v>0</v>
          </cell>
          <cell r="D233">
            <v>4</v>
          </cell>
          <cell r="E233" t="str">
            <v>CU</v>
          </cell>
          <cell r="F233" t="str">
            <v>E_</v>
          </cell>
          <cell r="G233" t="str">
            <v>CB</v>
          </cell>
          <cell r="H233" t="str">
            <v>04-CU-E_-CB</v>
          </cell>
          <cell r="I233" t="str">
            <v>LP PLC Panel EBS (1500)</v>
          </cell>
          <cell r="L233" t="str">
            <v>Offshore:
GER
(MAT)</v>
          </cell>
          <cell r="M233" t="str">
            <v>StHo</v>
          </cell>
          <cell r="N233">
            <v>44867</v>
          </cell>
          <cell r="O233" t="str">
            <v>EBS_Estimate</v>
          </cell>
          <cell r="P233" t="str">
            <v>Siemens WKC/ESTIM</v>
          </cell>
          <cell r="Q233" t="str">
            <v>OSE</v>
          </cell>
          <cell r="R233" t="str">
            <v>Estimate</v>
          </cell>
          <cell r="T233">
            <v>3</v>
          </cell>
          <cell r="U233" t="str">
            <v>PC</v>
          </cell>
          <cell r="V233">
            <v>24850</v>
          </cell>
          <cell r="W233">
            <v>2</v>
          </cell>
          <cell r="X233" t="str">
            <v>EUR</v>
          </cell>
          <cell r="Z233">
            <v>0</v>
          </cell>
          <cell r="AA233">
            <v>0</v>
          </cell>
          <cell r="AC233">
            <v>74550</v>
          </cell>
          <cell r="AD233">
            <v>79283.924999999988</v>
          </cell>
          <cell r="AF233">
            <v>0</v>
          </cell>
          <cell r="AH233">
            <v>79283.924999999988</v>
          </cell>
          <cell r="AI233">
            <v>0.23709783177495308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103924.10495366712</v>
          </cell>
          <cell r="AP233" t="str">
            <v>I.19</v>
          </cell>
          <cell r="AQ233" t="str">
            <v>CF.5</v>
          </cell>
        </row>
        <row r="234">
          <cell r="B234" t="str">
            <v/>
          </cell>
          <cell r="H234" t="str">
            <v>--</v>
          </cell>
          <cell r="Q234" t="str">
            <v>EXT</v>
          </cell>
          <cell r="R234" t="str">
            <v>Placeholder</v>
          </cell>
          <cell r="W234">
            <v>1</v>
          </cell>
          <cell r="X234" t="str">
            <v>USD</v>
          </cell>
          <cell r="Z234">
            <v>0</v>
          </cell>
          <cell r="AA234">
            <v>0</v>
          </cell>
          <cell r="AC234">
            <v>0</v>
          </cell>
          <cell r="AD234">
            <v>0</v>
          </cell>
          <cell r="AF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P234" t="str">
            <v>X</v>
          </cell>
          <cell r="AQ234" t="str">
            <v/>
          </cell>
        </row>
        <row r="235">
          <cell r="B235" t="str">
            <v/>
          </cell>
          <cell r="H235" t="str">
            <v>--</v>
          </cell>
          <cell r="Q235" t="str">
            <v>EXT</v>
          </cell>
          <cell r="R235" t="str">
            <v>Placeholder</v>
          </cell>
          <cell r="W235">
            <v>1</v>
          </cell>
          <cell r="X235" t="str">
            <v>USD</v>
          </cell>
          <cell r="Z235">
            <v>0</v>
          </cell>
          <cell r="AA235">
            <v>0</v>
          </cell>
          <cell r="AC235">
            <v>0</v>
          </cell>
          <cell r="AD235">
            <v>0</v>
          </cell>
          <cell r="AF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P235" t="str">
            <v>X</v>
          </cell>
          <cell r="AQ235" t="str">
            <v/>
          </cell>
        </row>
        <row r="236">
          <cell r="I236" t="str">
            <v>5.2 Field Panels (PM, PFC, …)</v>
          </cell>
        </row>
        <row r="237">
          <cell r="B237" t="str">
            <v>Low Level Control HW</v>
          </cell>
          <cell r="C237">
            <v>0</v>
          </cell>
          <cell r="D237">
            <v>4</v>
          </cell>
          <cell r="E237" t="str">
            <v>CU</v>
          </cell>
          <cell r="F237" t="str">
            <v>E_</v>
          </cell>
          <cell r="G237" t="str">
            <v>CL</v>
          </cell>
          <cell r="H237" t="str">
            <v>04-CU-E_-CL</v>
          </cell>
          <cell r="I237" t="str">
            <v>Lift Control Board (EL001) IN</v>
          </cell>
          <cell r="L237" t="str">
            <v>Offshore:
GER
(MAT)</v>
          </cell>
          <cell r="M237" t="str">
            <v>StHo</v>
          </cell>
          <cell r="N237">
            <v>44867</v>
          </cell>
          <cell r="O237" t="str">
            <v>EBS_Estimate</v>
          </cell>
          <cell r="P237" t="str">
            <v>Siemens WKC/ESTIM</v>
          </cell>
          <cell r="Q237" t="str">
            <v>OSE</v>
          </cell>
          <cell r="R237" t="str">
            <v>Estimate</v>
          </cell>
          <cell r="T237">
            <v>9</v>
          </cell>
          <cell r="U237" t="str">
            <v>PC</v>
          </cell>
          <cell r="V237">
            <v>10120</v>
          </cell>
          <cell r="W237">
            <v>2</v>
          </cell>
          <cell r="X237" t="str">
            <v>EUR</v>
          </cell>
          <cell r="Z237">
            <v>0</v>
          </cell>
          <cell r="AA237">
            <v>0</v>
          </cell>
          <cell r="AC237">
            <v>91080</v>
          </cell>
          <cell r="AD237">
            <v>96863.579999999987</v>
          </cell>
          <cell r="AF237">
            <v>0</v>
          </cell>
          <cell r="AH237">
            <v>96863.579999999987</v>
          </cell>
          <cell r="AI237">
            <v>0.23709783177495308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126967.23647458083</v>
          </cell>
          <cell r="AP237" t="str">
            <v>I.19</v>
          </cell>
          <cell r="AQ237" t="str">
            <v>CF.5</v>
          </cell>
        </row>
        <row r="238">
          <cell r="B238" t="str">
            <v>Low Level Control HW</v>
          </cell>
          <cell r="C238">
            <v>0</v>
          </cell>
          <cell r="D238">
            <v>4</v>
          </cell>
          <cell r="E238" t="str">
            <v>CU</v>
          </cell>
          <cell r="F238" t="str">
            <v>E_</v>
          </cell>
          <cell r="G238" t="str">
            <v>CL</v>
          </cell>
          <cell r="H238" t="str">
            <v>04-CU-E_-CL</v>
          </cell>
          <cell r="I238" t="str">
            <v>Lift Control Board (EL002) OUT</v>
          </cell>
          <cell r="Q238" t="str">
            <v>EXT</v>
          </cell>
          <cell r="R238" t="str">
            <v>Placeholder</v>
          </cell>
          <cell r="U238" t="str">
            <v>PC</v>
          </cell>
          <cell r="W238">
            <v>1</v>
          </cell>
          <cell r="X238" t="str">
            <v>USD</v>
          </cell>
          <cell r="Z238">
            <v>0</v>
          </cell>
          <cell r="AA238">
            <v>0</v>
          </cell>
          <cell r="AC238">
            <v>0</v>
          </cell>
          <cell r="AD238">
            <v>0</v>
          </cell>
          <cell r="AF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P238" t="str">
            <v>X</v>
          </cell>
          <cell r="AQ238" t="str">
            <v>CF.5</v>
          </cell>
        </row>
        <row r="239">
          <cell r="B239" t="str">
            <v/>
          </cell>
          <cell r="H239" t="str">
            <v>--</v>
          </cell>
          <cell r="Q239" t="str">
            <v>EXT</v>
          </cell>
          <cell r="R239" t="str">
            <v>Placeholder</v>
          </cell>
          <cell r="W239">
            <v>1</v>
          </cell>
          <cell r="X239" t="str">
            <v>USD</v>
          </cell>
          <cell r="Z239">
            <v>0</v>
          </cell>
          <cell r="AA239">
            <v>0</v>
          </cell>
          <cell r="AC239">
            <v>0</v>
          </cell>
          <cell r="AD239">
            <v>0</v>
          </cell>
          <cell r="AF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P239" t="str">
            <v>X</v>
          </cell>
          <cell r="AQ239" t="str">
            <v/>
          </cell>
        </row>
        <row r="240">
          <cell r="B240" t="str">
            <v/>
          </cell>
          <cell r="H240" t="str">
            <v>--</v>
          </cell>
          <cell r="Q240" t="str">
            <v>EXT</v>
          </cell>
          <cell r="R240" t="str">
            <v>Placeholder</v>
          </cell>
          <cell r="W240">
            <v>1</v>
          </cell>
          <cell r="X240" t="str">
            <v>USD</v>
          </cell>
          <cell r="Z240">
            <v>0</v>
          </cell>
          <cell r="AA240">
            <v>0</v>
          </cell>
          <cell r="AC240">
            <v>0</v>
          </cell>
          <cell r="AD240">
            <v>0</v>
          </cell>
          <cell r="AF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P240" t="str">
            <v>X</v>
          </cell>
          <cell r="AQ240" t="str">
            <v/>
          </cell>
        </row>
        <row r="241">
          <cell r="I241" t="str">
            <v>5.3 Field Devices Sensors…</v>
          </cell>
        </row>
        <row r="242">
          <cell r="B242" t="str">
            <v>Low Level Control HW</v>
          </cell>
          <cell r="C242">
            <v>0</v>
          </cell>
          <cell r="D242">
            <v>4</v>
          </cell>
          <cell r="E242" t="str">
            <v>CC</v>
          </cell>
          <cell r="F242" t="str">
            <v>E_</v>
          </cell>
          <cell r="G242" t="str">
            <v>BA</v>
          </cell>
          <cell r="H242" t="str">
            <v>04-CC-E_-BA</v>
          </cell>
          <cell r="I242" t="str">
            <v>Field Devices I/O Devices</v>
          </cell>
          <cell r="Q242" t="str">
            <v>EXT</v>
          </cell>
          <cell r="R242" t="str">
            <v>Placeholder</v>
          </cell>
          <cell r="U242" t="str">
            <v>PC</v>
          </cell>
          <cell r="W242">
            <v>1</v>
          </cell>
          <cell r="X242" t="str">
            <v>USD</v>
          </cell>
          <cell r="Z242">
            <v>0</v>
          </cell>
          <cell r="AA242">
            <v>0</v>
          </cell>
          <cell r="AC242">
            <v>0</v>
          </cell>
          <cell r="AD242">
            <v>0</v>
          </cell>
          <cell r="AF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P242" t="str">
            <v>X</v>
          </cell>
          <cell r="AQ242" t="str">
            <v>CF.5</v>
          </cell>
        </row>
        <row r="243">
          <cell r="B243" t="str">
            <v>Low Level Control HW</v>
          </cell>
          <cell r="C243">
            <v>0</v>
          </cell>
          <cell r="D243">
            <v>4</v>
          </cell>
          <cell r="E243" t="str">
            <v>CC</v>
          </cell>
          <cell r="F243" t="str">
            <v>E_</v>
          </cell>
          <cell r="G243" t="str">
            <v>BG</v>
          </cell>
          <cell r="H243" t="str">
            <v>04-CC-E_-BG</v>
          </cell>
          <cell r="I243" t="str">
            <v>Field Devices Actors, Sensors</v>
          </cell>
          <cell r="L243" t="str">
            <v>Offshore:
GER
(MAT)</v>
          </cell>
          <cell r="M243" t="str">
            <v>StHo</v>
          </cell>
          <cell r="N243">
            <v>44867</v>
          </cell>
          <cell r="O243" t="str">
            <v>EBS_Estimate</v>
          </cell>
          <cell r="Q243" t="str">
            <v>EXT</v>
          </cell>
          <cell r="R243" t="str">
            <v>Estimate</v>
          </cell>
          <cell r="T243">
            <v>5</v>
          </cell>
          <cell r="U243" t="str">
            <v>LS</v>
          </cell>
          <cell r="V243">
            <v>22069</v>
          </cell>
          <cell r="W243">
            <v>2</v>
          </cell>
          <cell r="X243" t="str">
            <v>EUR</v>
          </cell>
          <cell r="Z243">
            <v>0</v>
          </cell>
          <cell r="AA243">
            <v>0</v>
          </cell>
          <cell r="AC243">
            <v>110345</v>
          </cell>
          <cell r="AD243">
            <v>117351.90749999999</v>
          </cell>
          <cell r="AF243">
            <v>0</v>
          </cell>
          <cell r="AH243">
            <v>117351.90749999999</v>
          </cell>
          <cell r="AI243">
            <v>0.23709783177495308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153823.00953873104</v>
          </cell>
          <cell r="AP243" t="str">
            <v>I.19</v>
          </cell>
          <cell r="AQ243" t="str">
            <v>CF.5</v>
          </cell>
        </row>
        <row r="244">
          <cell r="B244" t="str">
            <v>Low Level Control HW</v>
          </cell>
          <cell r="C244">
            <v>0</v>
          </cell>
          <cell r="D244">
            <v>4</v>
          </cell>
          <cell r="E244" t="str">
            <v>CC</v>
          </cell>
          <cell r="F244" t="str">
            <v>E_</v>
          </cell>
          <cell r="G244" t="str">
            <v>BU</v>
          </cell>
          <cell r="H244" t="str">
            <v>04-CC-E_-BU</v>
          </cell>
          <cell r="I244" t="str">
            <v>Field Devices Equipment Brackets &amp; Supports</v>
          </cell>
          <cell r="Q244" t="str">
            <v>EXT</v>
          </cell>
          <cell r="R244" t="str">
            <v>Placeholder</v>
          </cell>
          <cell r="U244" t="str">
            <v>PC</v>
          </cell>
          <cell r="W244">
            <v>1</v>
          </cell>
          <cell r="X244" t="str">
            <v>USD</v>
          </cell>
          <cell r="Z244">
            <v>0</v>
          </cell>
          <cell r="AA244">
            <v>0</v>
          </cell>
          <cell r="AC244">
            <v>0</v>
          </cell>
          <cell r="AD244">
            <v>0</v>
          </cell>
          <cell r="AF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P244" t="str">
            <v>X</v>
          </cell>
          <cell r="AQ244" t="str">
            <v>CF.5</v>
          </cell>
        </row>
        <row r="245">
          <cell r="B245" t="str">
            <v>Low Level Control HW</v>
          </cell>
          <cell r="C245">
            <v>0</v>
          </cell>
          <cell r="D245">
            <v>4</v>
          </cell>
          <cell r="E245" t="str">
            <v>CC</v>
          </cell>
          <cell r="F245" t="str">
            <v>E_</v>
          </cell>
          <cell r="G245" t="str">
            <v>BW</v>
          </cell>
          <cell r="H245" t="str">
            <v>04-CC-E_-BW</v>
          </cell>
          <cell r="I245" t="str">
            <v>Field Devices Premanu. Sensor cable</v>
          </cell>
          <cell r="Q245" t="str">
            <v>EXT</v>
          </cell>
          <cell r="R245" t="str">
            <v>Placeholder</v>
          </cell>
          <cell r="U245" t="str">
            <v>PC</v>
          </cell>
          <cell r="W245">
            <v>1</v>
          </cell>
          <cell r="X245" t="str">
            <v>USD</v>
          </cell>
          <cell r="Z245">
            <v>0</v>
          </cell>
          <cell r="AA245">
            <v>0</v>
          </cell>
          <cell r="AC245">
            <v>0</v>
          </cell>
          <cell r="AD245">
            <v>0</v>
          </cell>
          <cell r="AF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P245" t="str">
            <v>X</v>
          </cell>
          <cell r="AQ245" t="str">
            <v>CF.5</v>
          </cell>
        </row>
        <row r="246">
          <cell r="B246" t="str">
            <v>Low Level Control HW</v>
          </cell>
          <cell r="C246">
            <v>0</v>
          </cell>
          <cell r="D246">
            <v>4</v>
          </cell>
          <cell r="E246" t="str">
            <v>CC</v>
          </cell>
          <cell r="F246" t="str">
            <v>E_</v>
          </cell>
          <cell r="G246" t="str">
            <v>BY</v>
          </cell>
          <cell r="H246" t="str">
            <v>04-CC-E_-BY</v>
          </cell>
          <cell r="I246" t="str">
            <v>Field Devices Barcode Reader (Moby, BPS…)</v>
          </cell>
          <cell r="Q246" t="str">
            <v>EXT</v>
          </cell>
          <cell r="R246" t="str">
            <v>Placeholder</v>
          </cell>
          <cell r="U246" t="str">
            <v>PC</v>
          </cell>
          <cell r="W246">
            <v>1</v>
          </cell>
          <cell r="X246" t="str">
            <v>USD</v>
          </cell>
          <cell r="Z246">
            <v>0</v>
          </cell>
          <cell r="AA246">
            <v>0</v>
          </cell>
          <cell r="AC246">
            <v>0</v>
          </cell>
          <cell r="AD246">
            <v>0</v>
          </cell>
          <cell r="AF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P246" t="str">
            <v>X</v>
          </cell>
          <cell r="AQ246" t="str">
            <v>CF.5</v>
          </cell>
        </row>
        <row r="247">
          <cell r="B247" t="str">
            <v>Low Level Control HW</v>
          </cell>
          <cell r="C247">
            <v>0</v>
          </cell>
          <cell r="D247">
            <v>4</v>
          </cell>
          <cell r="E247" t="str">
            <v>CC</v>
          </cell>
          <cell r="F247" t="str">
            <v>E_</v>
          </cell>
          <cell r="G247" t="str">
            <v>SJ</v>
          </cell>
          <cell r="H247" t="str">
            <v>04-CC-E_-SJ</v>
          </cell>
          <cell r="I247" t="str">
            <v>Field Devices Control Stations (CS)</v>
          </cell>
          <cell r="L247" t="str">
            <v>Offshore:
GER
(MAT)</v>
          </cell>
          <cell r="M247" t="str">
            <v>StHo</v>
          </cell>
          <cell r="N247">
            <v>44867</v>
          </cell>
          <cell r="O247" t="str">
            <v>EBS_Estimate</v>
          </cell>
          <cell r="P247" t="str">
            <v>ESTIM</v>
          </cell>
          <cell r="Q247" t="str">
            <v>OSE</v>
          </cell>
          <cell r="R247" t="str">
            <v>Estimate</v>
          </cell>
          <cell r="T247">
            <v>15</v>
          </cell>
          <cell r="U247" t="str">
            <v>PC</v>
          </cell>
          <cell r="V247">
            <v>77</v>
          </cell>
          <cell r="W247">
            <v>2</v>
          </cell>
          <cell r="X247" t="str">
            <v>EUR</v>
          </cell>
          <cell r="Z247">
            <v>0</v>
          </cell>
          <cell r="AA247">
            <v>0</v>
          </cell>
          <cell r="AC247">
            <v>1155</v>
          </cell>
          <cell r="AD247">
            <v>1228.3425</v>
          </cell>
          <cell r="AF247">
            <v>0</v>
          </cell>
          <cell r="AH247">
            <v>1228.3425</v>
          </cell>
          <cell r="AI247">
            <v>0.23709783177495308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1610.0917668878005</v>
          </cell>
          <cell r="AP247" t="str">
            <v>I.19</v>
          </cell>
          <cell r="AQ247" t="str">
            <v>CF.5</v>
          </cell>
        </row>
        <row r="248">
          <cell r="B248" t="str">
            <v/>
          </cell>
          <cell r="H248" t="str">
            <v>--</v>
          </cell>
          <cell r="Q248" t="str">
            <v>EXT</v>
          </cell>
          <cell r="R248" t="str">
            <v>Placeholder</v>
          </cell>
          <cell r="W248">
            <v>1</v>
          </cell>
          <cell r="X248" t="str">
            <v>USD</v>
          </cell>
          <cell r="Z248">
            <v>0</v>
          </cell>
          <cell r="AA248">
            <v>0</v>
          </cell>
          <cell r="AC248">
            <v>0</v>
          </cell>
          <cell r="AD248">
            <v>0</v>
          </cell>
          <cell r="AF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P248" t="str">
            <v>X</v>
          </cell>
          <cell r="AQ248" t="str">
            <v/>
          </cell>
        </row>
        <row r="249">
          <cell r="B249" t="str">
            <v/>
          </cell>
          <cell r="H249" t="str">
            <v>--</v>
          </cell>
          <cell r="Q249" t="str">
            <v>EXT</v>
          </cell>
          <cell r="R249" t="str">
            <v>Placeholder</v>
          </cell>
          <cell r="W249">
            <v>1</v>
          </cell>
          <cell r="X249" t="str">
            <v>USD</v>
          </cell>
          <cell r="Z249">
            <v>0</v>
          </cell>
          <cell r="AA249">
            <v>0</v>
          </cell>
          <cell r="AC249">
            <v>0</v>
          </cell>
          <cell r="AD249">
            <v>0</v>
          </cell>
          <cell r="AF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P249" t="str">
            <v>X</v>
          </cell>
          <cell r="AQ249" t="str">
            <v/>
          </cell>
        </row>
        <row r="250">
          <cell r="I250" t="str">
            <v>5.4 Cable Supporting System</v>
          </cell>
        </row>
        <row r="251">
          <cell r="B251" t="str">
            <v>Low Level Control HW</v>
          </cell>
          <cell r="C251">
            <v>0</v>
          </cell>
          <cell r="D251">
            <v>4</v>
          </cell>
          <cell r="E251" t="str">
            <v>CL</v>
          </cell>
          <cell r="F251" t="str">
            <v>E_</v>
          </cell>
          <cell r="G251" t="str">
            <v>BU</v>
          </cell>
          <cell r="H251" t="str">
            <v>04-CL-E_-BU</v>
          </cell>
          <cell r="I251" t="str">
            <v>Cable Tray Cable Rack, Cable Trunking, Cable Ladder, Conduit</v>
          </cell>
          <cell r="Q251" t="str">
            <v>EXT</v>
          </cell>
          <cell r="R251" t="str">
            <v>Placeholder</v>
          </cell>
          <cell r="U251" t="str">
            <v>MT</v>
          </cell>
          <cell r="W251">
            <v>1</v>
          </cell>
          <cell r="X251" t="str">
            <v>USD</v>
          </cell>
          <cell r="Z251">
            <v>0</v>
          </cell>
          <cell r="AA251">
            <v>0</v>
          </cell>
          <cell r="AC251">
            <v>0</v>
          </cell>
          <cell r="AD251">
            <v>0</v>
          </cell>
          <cell r="AF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P251" t="str">
            <v>X</v>
          </cell>
          <cell r="AQ251" t="str">
            <v>CF.5</v>
          </cell>
        </row>
        <row r="252">
          <cell r="B252" t="str">
            <v/>
          </cell>
          <cell r="H252" t="str">
            <v>--</v>
          </cell>
          <cell r="Q252" t="str">
            <v>EXT</v>
          </cell>
          <cell r="R252" t="str">
            <v>Placeholder</v>
          </cell>
          <cell r="W252">
            <v>1</v>
          </cell>
          <cell r="X252" t="str">
            <v>USD</v>
          </cell>
          <cell r="Z252">
            <v>0</v>
          </cell>
          <cell r="AA252">
            <v>0</v>
          </cell>
          <cell r="AC252">
            <v>0</v>
          </cell>
          <cell r="AD252">
            <v>0</v>
          </cell>
          <cell r="AF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P252" t="str">
            <v>X</v>
          </cell>
          <cell r="AQ252" t="str">
            <v/>
          </cell>
        </row>
        <row r="253">
          <cell r="B253" t="str">
            <v/>
          </cell>
          <cell r="H253" t="str">
            <v>--</v>
          </cell>
          <cell r="Q253" t="str">
            <v>EXT</v>
          </cell>
          <cell r="R253" t="str">
            <v>Placeholder</v>
          </cell>
          <cell r="W253">
            <v>1</v>
          </cell>
          <cell r="X253" t="str">
            <v>USD</v>
          </cell>
          <cell r="Z253">
            <v>0</v>
          </cell>
          <cell r="AA253">
            <v>0</v>
          </cell>
          <cell r="AC253">
            <v>0</v>
          </cell>
          <cell r="AD253">
            <v>0</v>
          </cell>
          <cell r="AF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P253" t="str">
            <v>X</v>
          </cell>
          <cell r="AQ253" t="str">
            <v/>
          </cell>
        </row>
        <row r="254">
          <cell r="I254" t="str">
            <v>5.5 Wire and Cable</v>
          </cell>
        </row>
        <row r="255">
          <cell r="B255" t="str">
            <v>Low Level Control HW</v>
          </cell>
          <cell r="C255">
            <v>0</v>
          </cell>
          <cell r="D255">
            <v>4</v>
          </cell>
          <cell r="E255" t="str">
            <v>CW</v>
          </cell>
          <cell r="F255" t="str">
            <v>E_</v>
          </cell>
          <cell r="G255" t="str">
            <v>DA</v>
          </cell>
          <cell r="H255" t="str">
            <v>04-CW-E_-DA</v>
          </cell>
          <cell r="I255" t="str">
            <v>Power Feed Rail</v>
          </cell>
          <cell r="Q255" t="str">
            <v>EXT</v>
          </cell>
          <cell r="R255" t="str">
            <v>Placeholder</v>
          </cell>
          <cell r="U255" t="str">
            <v>MT</v>
          </cell>
          <cell r="W255">
            <v>1</v>
          </cell>
          <cell r="X255" t="str">
            <v>USD</v>
          </cell>
          <cell r="Z255">
            <v>0</v>
          </cell>
          <cell r="AA255">
            <v>0</v>
          </cell>
          <cell r="AC255">
            <v>0</v>
          </cell>
          <cell r="AD255">
            <v>0</v>
          </cell>
          <cell r="AF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P255" t="str">
            <v>X</v>
          </cell>
          <cell r="AQ255" t="str">
            <v>CF.5</v>
          </cell>
        </row>
        <row r="256">
          <cell r="B256" t="str">
            <v>Low Level Control HW</v>
          </cell>
          <cell r="C256">
            <v>0</v>
          </cell>
          <cell r="D256">
            <v>4</v>
          </cell>
          <cell r="E256" t="str">
            <v>CW</v>
          </cell>
          <cell r="F256" t="str">
            <v>E_</v>
          </cell>
          <cell r="G256" t="str">
            <v>DB</v>
          </cell>
          <cell r="H256" t="str">
            <v>04-CW-E_-DB</v>
          </cell>
          <cell r="I256" t="str">
            <v>Low Voltage Power Cable</v>
          </cell>
          <cell r="Q256" t="str">
            <v>EXT</v>
          </cell>
          <cell r="R256" t="str">
            <v>Placeholder</v>
          </cell>
          <cell r="U256" t="str">
            <v>MT</v>
          </cell>
          <cell r="W256">
            <v>1</v>
          </cell>
          <cell r="X256" t="str">
            <v>USD</v>
          </cell>
          <cell r="Z256">
            <v>0</v>
          </cell>
          <cell r="AA256">
            <v>0</v>
          </cell>
          <cell r="AC256">
            <v>0</v>
          </cell>
          <cell r="AD256">
            <v>0</v>
          </cell>
          <cell r="AF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P256" t="str">
            <v>X</v>
          </cell>
          <cell r="AQ256" t="str">
            <v>CF.5</v>
          </cell>
        </row>
        <row r="257">
          <cell r="B257" t="str">
            <v>Low Level Control HW</v>
          </cell>
          <cell r="C257">
            <v>0</v>
          </cell>
          <cell r="D257">
            <v>4</v>
          </cell>
          <cell r="E257" t="str">
            <v>CW</v>
          </cell>
          <cell r="F257" t="str">
            <v>E_</v>
          </cell>
          <cell r="G257" t="str">
            <v>EB</v>
          </cell>
          <cell r="H257" t="str">
            <v>04-CW-E_-EB</v>
          </cell>
          <cell r="I257" t="str">
            <v>Earthing Cable</v>
          </cell>
          <cell r="Q257" t="str">
            <v>EXT</v>
          </cell>
          <cell r="R257" t="str">
            <v>Placeholder</v>
          </cell>
          <cell r="U257" t="str">
            <v>MT</v>
          </cell>
          <cell r="W257">
            <v>1</v>
          </cell>
          <cell r="X257" t="str">
            <v>USD</v>
          </cell>
          <cell r="Z257">
            <v>0</v>
          </cell>
          <cell r="AA257">
            <v>0</v>
          </cell>
          <cell r="AC257">
            <v>0</v>
          </cell>
          <cell r="AD257">
            <v>0</v>
          </cell>
          <cell r="AF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P257" t="str">
            <v>X</v>
          </cell>
          <cell r="AQ257" t="str">
            <v>CF.5</v>
          </cell>
        </row>
        <row r="258">
          <cell r="B258" t="str">
            <v>Low Level Control HW</v>
          </cell>
          <cell r="C258">
            <v>0</v>
          </cell>
          <cell r="D258">
            <v>4</v>
          </cell>
          <cell r="E258" t="str">
            <v>CW</v>
          </cell>
          <cell r="F258" t="str">
            <v>E_</v>
          </cell>
          <cell r="G258" t="str">
            <v>GA</v>
          </cell>
          <cell r="H258" t="str">
            <v>04-CW-E_-GA</v>
          </cell>
          <cell r="I258" t="str">
            <v>Signal Cable, CU Control Cable</v>
          </cell>
          <cell r="Q258" t="str">
            <v>EXT</v>
          </cell>
          <cell r="R258" t="str">
            <v>Placeholder</v>
          </cell>
          <cell r="U258" t="str">
            <v>MT</v>
          </cell>
          <cell r="W258">
            <v>1</v>
          </cell>
          <cell r="X258" t="str">
            <v>USD</v>
          </cell>
          <cell r="Z258">
            <v>0</v>
          </cell>
          <cell r="AA258">
            <v>0</v>
          </cell>
          <cell r="AC258">
            <v>0</v>
          </cell>
          <cell r="AD258">
            <v>0</v>
          </cell>
          <cell r="AF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P258" t="str">
            <v>X</v>
          </cell>
          <cell r="AQ258" t="str">
            <v>CF.5</v>
          </cell>
        </row>
        <row r="259">
          <cell r="B259" t="str">
            <v>Low Level Control HW</v>
          </cell>
          <cell r="C259">
            <v>0</v>
          </cell>
          <cell r="D259">
            <v>4</v>
          </cell>
          <cell r="E259" t="str">
            <v>CW</v>
          </cell>
          <cell r="F259" t="str">
            <v>E_</v>
          </cell>
          <cell r="G259" t="str">
            <v>GB</v>
          </cell>
          <cell r="H259" t="str">
            <v>04-CW-E_-GB</v>
          </cell>
          <cell r="I259" t="str">
            <v>Signal Cable, CU Data Cable</v>
          </cell>
          <cell r="Q259" t="str">
            <v>EXT</v>
          </cell>
          <cell r="R259" t="str">
            <v>Placeholder</v>
          </cell>
          <cell r="U259" t="str">
            <v>MT</v>
          </cell>
          <cell r="W259">
            <v>1</v>
          </cell>
          <cell r="X259" t="str">
            <v>USD</v>
          </cell>
          <cell r="Z259">
            <v>0</v>
          </cell>
          <cell r="AA259">
            <v>0</v>
          </cell>
          <cell r="AC259">
            <v>0</v>
          </cell>
          <cell r="AD259">
            <v>0</v>
          </cell>
          <cell r="AF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P259" t="str">
            <v>X</v>
          </cell>
          <cell r="AQ259" t="str">
            <v>CF.5</v>
          </cell>
        </row>
        <row r="260">
          <cell r="B260" t="str">
            <v>Low Level Control HW</v>
          </cell>
          <cell r="C260">
            <v>0</v>
          </cell>
          <cell r="D260">
            <v>4</v>
          </cell>
          <cell r="E260" t="str">
            <v>CW</v>
          </cell>
          <cell r="F260" t="str">
            <v>E_</v>
          </cell>
          <cell r="G260" t="str">
            <v>HA</v>
          </cell>
          <cell r="H260" t="str">
            <v>04-CW-E_-HA</v>
          </cell>
          <cell r="I260" t="str">
            <v>Signal Cable, Optical Fibre Optical Cable</v>
          </cell>
          <cell r="Q260" t="str">
            <v>EXT</v>
          </cell>
          <cell r="R260" t="str">
            <v>Placeholder</v>
          </cell>
          <cell r="U260" t="str">
            <v>MT</v>
          </cell>
          <cell r="W260">
            <v>1</v>
          </cell>
          <cell r="X260" t="str">
            <v>USD</v>
          </cell>
          <cell r="Z260">
            <v>0</v>
          </cell>
          <cell r="AA260">
            <v>0</v>
          </cell>
          <cell r="AC260">
            <v>0</v>
          </cell>
          <cell r="AD260">
            <v>0</v>
          </cell>
          <cell r="AF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P260" t="str">
            <v>X</v>
          </cell>
          <cell r="AQ260" t="str">
            <v>CF.5</v>
          </cell>
        </row>
        <row r="261">
          <cell r="B261" t="str">
            <v/>
          </cell>
          <cell r="H261" t="str">
            <v>--</v>
          </cell>
          <cell r="Q261" t="str">
            <v>EXT</v>
          </cell>
          <cell r="R261" t="str">
            <v>Placeholder</v>
          </cell>
          <cell r="W261">
            <v>1</v>
          </cell>
          <cell r="X261" t="str">
            <v>USD</v>
          </cell>
          <cell r="Z261">
            <v>0</v>
          </cell>
          <cell r="AA261">
            <v>0</v>
          </cell>
          <cell r="AC261">
            <v>0</v>
          </cell>
          <cell r="AD261">
            <v>0</v>
          </cell>
          <cell r="AF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P261" t="str">
            <v>X</v>
          </cell>
          <cell r="AQ261" t="str">
            <v/>
          </cell>
        </row>
        <row r="262">
          <cell r="B262" t="str">
            <v/>
          </cell>
          <cell r="H262" t="str">
            <v>--</v>
          </cell>
          <cell r="Q262" t="str">
            <v>EXT</v>
          </cell>
          <cell r="R262" t="str">
            <v>Placeholder</v>
          </cell>
          <cell r="W262">
            <v>1</v>
          </cell>
          <cell r="X262" t="str">
            <v>USD</v>
          </cell>
          <cell r="Z262">
            <v>0</v>
          </cell>
          <cell r="AA262">
            <v>0</v>
          </cell>
          <cell r="AC262">
            <v>0</v>
          </cell>
          <cell r="AD262">
            <v>0</v>
          </cell>
          <cell r="AF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P262" t="str">
            <v>X</v>
          </cell>
          <cell r="AQ262" t="str">
            <v/>
          </cell>
        </row>
        <row r="263">
          <cell r="I263" t="str">
            <v>5.6 Commissioning Spares</v>
          </cell>
        </row>
        <row r="264">
          <cell r="B264" t="str">
            <v>Low Level Control HW</v>
          </cell>
          <cell r="C264">
            <v>0</v>
          </cell>
          <cell r="D264">
            <v>4</v>
          </cell>
          <cell r="E264" t="str">
            <v>CP</v>
          </cell>
          <cell r="F264" t="str">
            <v>E_</v>
          </cell>
          <cell r="G264" t="str">
            <v>AB</v>
          </cell>
          <cell r="H264" t="str">
            <v>04-CP-E_-AB</v>
          </cell>
          <cell r="I264" t="str">
            <v>Electrical Spare Parts</v>
          </cell>
          <cell r="Q264" t="str">
            <v>EXT</v>
          </cell>
          <cell r="R264" t="str">
            <v>Placeholder</v>
          </cell>
          <cell r="U264" t="str">
            <v>LS</v>
          </cell>
          <cell r="W264">
            <v>1</v>
          </cell>
          <cell r="X264" t="str">
            <v>USD</v>
          </cell>
          <cell r="Z264">
            <v>0</v>
          </cell>
          <cell r="AA264">
            <v>0</v>
          </cell>
          <cell r="AC264">
            <v>0</v>
          </cell>
          <cell r="AD264">
            <v>0</v>
          </cell>
          <cell r="AF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P264" t="str">
            <v>X</v>
          </cell>
          <cell r="AQ264" t="str">
            <v>CF.5</v>
          </cell>
        </row>
        <row r="265">
          <cell r="B265" t="str">
            <v>Low Level Control HW</v>
          </cell>
          <cell r="C265">
            <v>0</v>
          </cell>
          <cell r="D265">
            <v>4</v>
          </cell>
          <cell r="E265" t="str">
            <v>CP</v>
          </cell>
          <cell r="F265" t="str">
            <v>E_</v>
          </cell>
          <cell r="G265" t="str">
            <v>AC</v>
          </cell>
          <cell r="H265" t="str">
            <v>04-CP-E_-AC</v>
          </cell>
          <cell r="I265" t="str">
            <v>Control Spare Parts</v>
          </cell>
          <cell r="J265" t="str">
            <v>=0,02% of Material</v>
          </cell>
          <cell r="L265" t="str">
            <v>Offshore:
GER
(MAT)</v>
          </cell>
          <cell r="Q265" t="str">
            <v>EXT</v>
          </cell>
          <cell r="R265" t="str">
            <v>Estimate</v>
          </cell>
          <cell r="T265">
            <v>1</v>
          </cell>
          <cell r="U265" t="str">
            <v>LS</v>
          </cell>
          <cell r="V265">
            <v>5542.6</v>
          </cell>
          <cell r="W265">
            <v>2</v>
          </cell>
          <cell r="X265" t="str">
            <v>EUR</v>
          </cell>
          <cell r="Z265">
            <v>0</v>
          </cell>
          <cell r="AA265">
            <v>0</v>
          </cell>
          <cell r="AC265">
            <v>5542.6</v>
          </cell>
          <cell r="AD265">
            <v>5894.5550999999996</v>
          </cell>
          <cell r="AF265">
            <v>0</v>
          </cell>
          <cell r="AH265">
            <v>5894.5550999999996</v>
          </cell>
          <cell r="AI265">
            <v>0.23709783177495308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7726.4888546773363</v>
          </cell>
          <cell r="AP265" t="str">
            <v>IV.4.2</v>
          </cell>
          <cell r="AQ265" t="str">
            <v>CF.5</v>
          </cell>
        </row>
        <row r="266">
          <cell r="B266" t="str">
            <v/>
          </cell>
          <cell r="H266" t="str">
            <v>--</v>
          </cell>
          <cell r="Q266" t="str">
            <v>EXT</v>
          </cell>
          <cell r="R266" t="str">
            <v>Placeholder</v>
          </cell>
          <cell r="W266">
            <v>1</v>
          </cell>
          <cell r="X266" t="str">
            <v>USD</v>
          </cell>
          <cell r="Z266">
            <v>0</v>
          </cell>
          <cell r="AA266">
            <v>0</v>
          </cell>
          <cell r="AC266">
            <v>0</v>
          </cell>
          <cell r="AD266">
            <v>0</v>
          </cell>
          <cell r="AF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P266" t="str">
            <v>X</v>
          </cell>
          <cell r="AQ266" t="str">
            <v/>
          </cell>
        </row>
        <row r="267">
          <cell r="B267" t="str">
            <v/>
          </cell>
          <cell r="H267" t="str">
            <v>--</v>
          </cell>
          <cell r="Q267" t="str">
            <v>EXT</v>
          </cell>
          <cell r="R267" t="str">
            <v>Placeholder</v>
          </cell>
          <cell r="W267">
            <v>1</v>
          </cell>
          <cell r="X267" t="str">
            <v>USD</v>
          </cell>
          <cell r="Z267">
            <v>0</v>
          </cell>
          <cell r="AA267">
            <v>0</v>
          </cell>
          <cell r="AC267">
            <v>0</v>
          </cell>
          <cell r="AD267">
            <v>0</v>
          </cell>
          <cell r="AF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P267" t="str">
            <v>X</v>
          </cell>
          <cell r="AQ267" t="str">
            <v/>
          </cell>
        </row>
        <row r="268">
          <cell r="I268" t="str">
            <v>4.9 Inital Spare Part Package / Onsite Spares</v>
          </cell>
        </row>
        <row r="269">
          <cell r="B269" t="str">
            <v>Operation &amp; Maintenance - One-Time Cost</v>
          </cell>
          <cell r="C269" t="str">
            <v>W</v>
          </cell>
          <cell r="D269">
            <v>4</v>
          </cell>
          <cell r="E269" t="str">
            <v>CI</v>
          </cell>
          <cell r="F269" t="str">
            <v>E_</v>
          </cell>
          <cell r="G269" t="str">
            <v>AB</v>
          </cell>
          <cell r="H269" t="str">
            <v>W4-CI-E_-AB</v>
          </cell>
          <cell r="I269" t="str">
            <v>Electrical Spare Parts</v>
          </cell>
          <cell r="Q269" t="str">
            <v>EXT</v>
          </cell>
          <cell r="R269" t="str">
            <v>Placeholder</v>
          </cell>
          <cell r="U269" t="str">
            <v>LS</v>
          </cell>
          <cell r="W269">
            <v>1</v>
          </cell>
          <cell r="X269" t="str">
            <v>USD</v>
          </cell>
          <cell r="Z269">
            <v>0</v>
          </cell>
          <cell r="AA269">
            <v>0</v>
          </cell>
          <cell r="AC269">
            <v>0</v>
          </cell>
          <cell r="AD269">
            <v>0</v>
          </cell>
          <cell r="AF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P269" t="str">
            <v>X</v>
          </cell>
          <cell r="AQ269" t="str">
            <v>CF.15</v>
          </cell>
        </row>
        <row r="270">
          <cell r="B270" t="str">
            <v>Operation &amp; Maintenance - One-Time Cost</v>
          </cell>
          <cell r="C270" t="str">
            <v>W</v>
          </cell>
          <cell r="D270">
            <v>4</v>
          </cell>
          <cell r="E270" t="str">
            <v>CI</v>
          </cell>
          <cell r="F270" t="str">
            <v>E_</v>
          </cell>
          <cell r="G270" t="str">
            <v>AC</v>
          </cell>
          <cell r="H270" t="str">
            <v>W4-CI-E_-AC</v>
          </cell>
          <cell r="I270" t="str">
            <v>Control Spare Parts</v>
          </cell>
          <cell r="J270" t="str">
            <v>=0,02% of Material</v>
          </cell>
          <cell r="L270" t="str">
            <v>Offshore:
GER
(MAT)</v>
          </cell>
          <cell r="Q270" t="str">
            <v>EXT</v>
          </cell>
          <cell r="R270" t="str">
            <v>Estimate</v>
          </cell>
          <cell r="T270">
            <v>1</v>
          </cell>
          <cell r="U270" t="str">
            <v>LS</v>
          </cell>
          <cell r="V270">
            <v>2340.8520000000003</v>
          </cell>
          <cell r="W270">
            <v>2</v>
          </cell>
          <cell r="X270" t="str">
            <v>EUR</v>
          </cell>
          <cell r="Z270">
            <v>0</v>
          </cell>
          <cell r="AA270">
            <v>0</v>
          </cell>
          <cell r="AC270">
            <v>2340.8520000000003</v>
          </cell>
          <cell r="AD270">
            <v>2489.4961020000001</v>
          </cell>
          <cell r="AF270">
            <v>0</v>
          </cell>
          <cell r="AH270">
            <v>2489.4961020000001</v>
          </cell>
          <cell r="AI270">
            <v>0.23709783177495308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3263.1918032059239</v>
          </cell>
          <cell r="AP270" t="str">
            <v>IV.4.2</v>
          </cell>
          <cell r="AQ270" t="str">
            <v>CF.15</v>
          </cell>
        </row>
        <row r="271">
          <cell r="B271" t="str">
            <v/>
          </cell>
          <cell r="H271" t="str">
            <v>--</v>
          </cell>
          <cell r="Q271" t="str">
            <v>EXT</v>
          </cell>
          <cell r="R271" t="str">
            <v>Placeholder</v>
          </cell>
          <cell r="W271">
            <v>1</v>
          </cell>
          <cell r="X271" t="str">
            <v>USD</v>
          </cell>
          <cell r="Z271">
            <v>0</v>
          </cell>
          <cell r="AA271">
            <v>0</v>
          </cell>
          <cell r="AC271">
            <v>0</v>
          </cell>
          <cell r="AD271">
            <v>0</v>
          </cell>
          <cell r="AF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P271" t="str">
            <v>X</v>
          </cell>
          <cell r="AQ271" t="str">
            <v/>
          </cell>
        </row>
        <row r="272">
          <cell r="B272" t="str">
            <v/>
          </cell>
          <cell r="H272" t="str">
            <v>--</v>
          </cell>
          <cell r="Q272" t="str">
            <v>EXT</v>
          </cell>
          <cell r="R272" t="str">
            <v>Placeholder</v>
          </cell>
          <cell r="W272">
            <v>1</v>
          </cell>
          <cell r="X272" t="str">
            <v>USD</v>
          </cell>
          <cell r="Z272">
            <v>0</v>
          </cell>
          <cell r="AA272">
            <v>0</v>
          </cell>
          <cell r="AC272">
            <v>0</v>
          </cell>
          <cell r="AD272">
            <v>0</v>
          </cell>
          <cell r="AF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P272" t="str">
            <v>X</v>
          </cell>
          <cell r="AQ272" t="str">
            <v/>
          </cell>
        </row>
        <row r="273">
          <cell r="B273" t="str">
            <v>Subtotal - 6</v>
          </cell>
          <cell r="I273" t="str">
            <v>6. Emergency Stop System</v>
          </cell>
        </row>
        <row r="274">
          <cell r="I274" t="str">
            <v>6.1 Control Panel</v>
          </cell>
        </row>
        <row r="275">
          <cell r="B275" t="str">
            <v>Low Level Control HW</v>
          </cell>
          <cell r="C275">
            <v>0</v>
          </cell>
          <cell r="D275">
            <v>4</v>
          </cell>
          <cell r="E275" t="str">
            <v>EU</v>
          </cell>
          <cell r="F275" t="str">
            <v>B_</v>
          </cell>
          <cell r="G275" t="str">
            <v>CB</v>
          </cell>
          <cell r="H275" t="str">
            <v>04-EU-B_-CB</v>
          </cell>
          <cell r="I275" t="str">
            <v>Central Control Panel (EP)</v>
          </cell>
          <cell r="J275" t="str">
            <v>221024_LTIA_Ph1_Z-4-CA-002_PLC_Material_Costs_Long Than_Belt_2022-09-30.xlsx</v>
          </cell>
          <cell r="L275" t="str">
            <v>Offshore:
GER
(MAT)</v>
          </cell>
          <cell r="M275" t="str">
            <v>S. Zenk</v>
          </cell>
          <cell r="N275">
            <v>44859</v>
          </cell>
          <cell r="O275" t="str">
            <v>WKC-A28051_03_22</v>
          </cell>
          <cell r="P275" t="str">
            <v>Siemens WKC</v>
          </cell>
          <cell r="Q275" t="str">
            <v>OSE</v>
          </cell>
          <cell r="R275" t="str">
            <v>Binding Quote</v>
          </cell>
          <cell r="T275">
            <v>5</v>
          </cell>
          <cell r="U275" t="str">
            <v>PC</v>
          </cell>
          <cell r="V275">
            <v>22485</v>
          </cell>
          <cell r="W275">
            <v>2</v>
          </cell>
          <cell r="X275" t="str">
            <v>EUR</v>
          </cell>
          <cell r="Y275" t="str">
            <v>German MGK 1</v>
          </cell>
          <cell r="Z275">
            <v>0</v>
          </cell>
          <cell r="AA275">
            <v>0</v>
          </cell>
          <cell r="AC275">
            <v>112425</v>
          </cell>
          <cell r="AD275">
            <v>119563.98749999999</v>
          </cell>
          <cell r="AF275">
            <v>0</v>
          </cell>
          <cell r="AH275">
            <v>119563.98749999999</v>
          </cell>
          <cell r="AI275">
            <v>0.23709783177495308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156722.56873797486</v>
          </cell>
          <cell r="AP275" t="str">
            <v>II</v>
          </cell>
          <cell r="AQ275" t="str">
            <v>CF.5</v>
          </cell>
        </row>
        <row r="276">
          <cell r="B276" t="str">
            <v>Low Level Control HW</v>
          </cell>
          <cell r="C276">
            <v>0</v>
          </cell>
          <cell r="D276">
            <v>4</v>
          </cell>
          <cell r="E276" t="str">
            <v>EU</v>
          </cell>
          <cell r="F276" t="str">
            <v>B_</v>
          </cell>
          <cell r="G276" t="str">
            <v>CH</v>
          </cell>
          <cell r="H276" t="str">
            <v>04-EU-B_-CH</v>
          </cell>
          <cell r="I276" t="str">
            <v>Field Panel (EB)</v>
          </cell>
          <cell r="J276" t="str">
            <v>221024_LTIA_Ph1_Z-4-CA-002_PLC_Material_Costs_Long Than_Belt_2022-09-30.xlsx</v>
          </cell>
          <cell r="L276" t="str">
            <v>Offshore:
GER
(MAT)</v>
          </cell>
          <cell r="M276" t="str">
            <v>S. Zenk</v>
          </cell>
          <cell r="N276">
            <v>44859</v>
          </cell>
          <cell r="O276" t="str">
            <v>WKC-A28051_03_22</v>
          </cell>
          <cell r="P276" t="str">
            <v>Siemens WKC</v>
          </cell>
          <cell r="Q276" t="str">
            <v>OSE</v>
          </cell>
          <cell r="R276" t="str">
            <v>Binding Quote</v>
          </cell>
          <cell r="T276">
            <v>53</v>
          </cell>
          <cell r="U276" t="str">
            <v>PC</v>
          </cell>
          <cell r="V276">
            <v>2288</v>
          </cell>
          <cell r="W276">
            <v>2</v>
          </cell>
          <cell r="X276" t="str">
            <v>EUR</v>
          </cell>
          <cell r="Y276" t="str">
            <v>German MGK 1</v>
          </cell>
          <cell r="Z276">
            <v>0</v>
          </cell>
          <cell r="AA276">
            <v>0</v>
          </cell>
          <cell r="AC276">
            <v>121264</v>
          </cell>
          <cell r="AD276">
            <v>128964.26399999998</v>
          </cell>
          <cell r="AF276">
            <v>0</v>
          </cell>
          <cell r="AH276">
            <v>128964.26399999998</v>
          </cell>
          <cell r="AI276">
            <v>0.23709783177495308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169044.30131591536</v>
          </cell>
          <cell r="AP276" t="str">
            <v>II</v>
          </cell>
          <cell r="AQ276" t="str">
            <v>CF.5</v>
          </cell>
        </row>
        <row r="277">
          <cell r="B277" t="str">
            <v>Low Level Control HW</v>
          </cell>
          <cell r="C277">
            <v>0</v>
          </cell>
          <cell r="D277">
            <v>4</v>
          </cell>
          <cell r="E277" t="str">
            <v>EU</v>
          </cell>
          <cell r="F277" t="str">
            <v>I_</v>
          </cell>
          <cell r="G277" t="str">
            <v>CB</v>
          </cell>
          <cell r="H277" t="str">
            <v>04-EU-I_-CB</v>
          </cell>
          <cell r="I277" t="str">
            <v>Central Control Panel (EP)</v>
          </cell>
          <cell r="J277" t="str">
            <v>221024_LTIA_Ph1_Z-4-CA-003_PLC_Material_Costs_Long Than_Tray_2022-10-06.xlsx</v>
          </cell>
          <cell r="L277" t="str">
            <v>Offshore:
GER
(MAT)</v>
          </cell>
          <cell r="M277" t="str">
            <v>S. Zenk</v>
          </cell>
          <cell r="N277">
            <v>44859</v>
          </cell>
          <cell r="O277" t="str">
            <v>WKC-A28051_03_22</v>
          </cell>
          <cell r="P277" t="str">
            <v>Siemens WKC</v>
          </cell>
          <cell r="Q277" t="str">
            <v>OSE</v>
          </cell>
          <cell r="R277" t="str">
            <v>Binding Quote</v>
          </cell>
          <cell r="T277">
            <v>4</v>
          </cell>
          <cell r="U277" t="str">
            <v>PC</v>
          </cell>
          <cell r="V277">
            <v>22485</v>
          </cell>
          <cell r="W277">
            <v>2</v>
          </cell>
          <cell r="X277" t="str">
            <v>EUR</v>
          </cell>
          <cell r="Y277" t="str">
            <v>German MGK 1</v>
          </cell>
          <cell r="Z277">
            <v>0</v>
          </cell>
          <cell r="AA277">
            <v>0</v>
          </cell>
          <cell r="AC277">
            <v>89940</v>
          </cell>
          <cell r="AD277">
            <v>95651.189999999988</v>
          </cell>
          <cell r="AF277">
            <v>0</v>
          </cell>
          <cell r="AH277">
            <v>95651.189999999988</v>
          </cell>
          <cell r="AI277">
            <v>0.23709783177495308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125378.05499037988</v>
          </cell>
          <cell r="AP277" t="str">
            <v>II</v>
          </cell>
          <cell r="AQ277" t="str">
            <v>CF.5</v>
          </cell>
        </row>
        <row r="278">
          <cell r="B278" t="str">
            <v>Low Level Control HW</v>
          </cell>
          <cell r="C278">
            <v>0</v>
          </cell>
          <cell r="D278">
            <v>4</v>
          </cell>
          <cell r="E278" t="str">
            <v>EU</v>
          </cell>
          <cell r="F278" t="str">
            <v>I_</v>
          </cell>
          <cell r="G278" t="str">
            <v>CH</v>
          </cell>
          <cell r="H278" t="str">
            <v>04-EU-I_-CH</v>
          </cell>
          <cell r="I278" t="str">
            <v>Field Panel (EB)</v>
          </cell>
          <cell r="J278" t="str">
            <v>221024_LTIA_Ph1_Z-4-CA-003_PLC_Material_Costs_Long Than_Tray_2022-10-06.xlsx</v>
          </cell>
          <cell r="L278" t="str">
            <v>Offshore:
GER
(MAT)</v>
          </cell>
          <cell r="M278" t="str">
            <v>S. Zenk</v>
          </cell>
          <cell r="N278">
            <v>44859</v>
          </cell>
          <cell r="O278" t="str">
            <v>WKC-A28051_03_22</v>
          </cell>
          <cell r="P278" t="str">
            <v>Siemens WKC</v>
          </cell>
          <cell r="Q278" t="str">
            <v>OSE</v>
          </cell>
          <cell r="R278" t="str">
            <v>Binding Quote</v>
          </cell>
          <cell r="T278">
            <v>46</v>
          </cell>
          <cell r="U278" t="str">
            <v>PC</v>
          </cell>
          <cell r="V278">
            <v>2288</v>
          </cell>
          <cell r="W278">
            <v>2</v>
          </cell>
          <cell r="X278" t="str">
            <v>EUR</v>
          </cell>
          <cell r="Y278" t="str">
            <v>German MGK 1</v>
          </cell>
          <cell r="Z278">
            <v>0</v>
          </cell>
          <cell r="AA278">
            <v>0</v>
          </cell>
          <cell r="AC278">
            <v>105248</v>
          </cell>
          <cell r="AD278">
            <v>111931.24799999999</v>
          </cell>
          <cell r="AF278">
            <v>0</v>
          </cell>
          <cell r="AH278">
            <v>111931.24799999999</v>
          </cell>
          <cell r="AI278">
            <v>0.23709783177495308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146717.69548173787</v>
          </cell>
          <cell r="AP278" t="str">
            <v>II</v>
          </cell>
          <cell r="AQ278" t="str">
            <v>CF.5</v>
          </cell>
        </row>
        <row r="279">
          <cell r="B279" t="str">
            <v/>
          </cell>
          <cell r="H279" t="str">
            <v>--</v>
          </cell>
          <cell r="Q279" t="str">
            <v>EXT</v>
          </cell>
          <cell r="R279" t="str">
            <v>Placeholder</v>
          </cell>
          <cell r="W279">
            <v>1</v>
          </cell>
          <cell r="X279" t="str">
            <v>USD</v>
          </cell>
          <cell r="Z279">
            <v>0</v>
          </cell>
          <cell r="AA279">
            <v>0</v>
          </cell>
          <cell r="AC279">
            <v>0</v>
          </cell>
          <cell r="AD279">
            <v>0</v>
          </cell>
          <cell r="AF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P279" t="str">
            <v>X</v>
          </cell>
          <cell r="AQ279" t="str">
            <v/>
          </cell>
        </row>
        <row r="280">
          <cell r="B280" t="str">
            <v/>
          </cell>
          <cell r="H280" t="str">
            <v>--</v>
          </cell>
          <cell r="Q280" t="str">
            <v>EXT</v>
          </cell>
          <cell r="R280" t="str">
            <v>Placeholder</v>
          </cell>
          <cell r="W280">
            <v>1</v>
          </cell>
          <cell r="X280" t="str">
            <v>USD</v>
          </cell>
          <cell r="Z280">
            <v>0</v>
          </cell>
          <cell r="AA280">
            <v>0</v>
          </cell>
          <cell r="AC280">
            <v>0</v>
          </cell>
          <cell r="AD280">
            <v>0</v>
          </cell>
          <cell r="AF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P280" t="str">
            <v>X</v>
          </cell>
          <cell r="AQ280" t="str">
            <v/>
          </cell>
        </row>
        <row r="281">
          <cell r="I281" t="str">
            <v>6.2 Field Devices Sensors…</v>
          </cell>
        </row>
        <row r="282">
          <cell r="B282" t="str">
            <v>Low Level Control HW</v>
          </cell>
          <cell r="C282">
            <v>0</v>
          </cell>
          <cell r="D282">
            <v>4</v>
          </cell>
          <cell r="E282" t="str">
            <v>EC</v>
          </cell>
          <cell r="F282" t="str">
            <v>O_</v>
          </cell>
          <cell r="G282" t="str">
            <v>BA</v>
          </cell>
          <cell r="H282" t="str">
            <v>04-EC-O_-BA</v>
          </cell>
          <cell r="I282" t="str">
            <v>Field Devices I/O Devices</v>
          </cell>
          <cell r="Q282" t="str">
            <v>EXT</v>
          </cell>
          <cell r="R282" t="str">
            <v>Placeholder</v>
          </cell>
          <cell r="U282" t="str">
            <v>PC</v>
          </cell>
          <cell r="W282">
            <v>1</v>
          </cell>
          <cell r="X282" t="str">
            <v>USD</v>
          </cell>
          <cell r="Z282">
            <v>0</v>
          </cell>
          <cell r="AA282">
            <v>0</v>
          </cell>
          <cell r="AC282">
            <v>0</v>
          </cell>
          <cell r="AD282">
            <v>0</v>
          </cell>
          <cell r="AF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P282" t="str">
            <v>X</v>
          </cell>
          <cell r="AQ282" t="str">
            <v>CF.5</v>
          </cell>
        </row>
        <row r="283">
          <cell r="B283" t="str">
            <v>Low Level Control HW</v>
          </cell>
          <cell r="C283">
            <v>0</v>
          </cell>
          <cell r="D283">
            <v>4</v>
          </cell>
          <cell r="E283" t="str">
            <v>EC</v>
          </cell>
          <cell r="F283" t="str">
            <v>O_</v>
          </cell>
          <cell r="G283" t="str">
            <v>BG</v>
          </cell>
          <cell r="H283" t="str">
            <v>04-EC-O_-BG</v>
          </cell>
          <cell r="I283" t="str">
            <v>Field Devices Actors, Sensors</v>
          </cell>
          <cell r="Q283" t="str">
            <v>EXT</v>
          </cell>
          <cell r="R283" t="str">
            <v>Placeholder</v>
          </cell>
          <cell r="U283" t="str">
            <v>PC</v>
          </cell>
          <cell r="W283">
            <v>1</v>
          </cell>
          <cell r="X283" t="str">
            <v>USD</v>
          </cell>
          <cell r="Z283">
            <v>0</v>
          </cell>
          <cell r="AA283">
            <v>0</v>
          </cell>
          <cell r="AC283">
            <v>0</v>
          </cell>
          <cell r="AD283">
            <v>0</v>
          </cell>
          <cell r="AF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P283" t="str">
            <v>X</v>
          </cell>
          <cell r="AQ283" t="str">
            <v>CF.5</v>
          </cell>
        </row>
        <row r="284">
          <cell r="B284" t="str">
            <v>Low Level Control HW</v>
          </cell>
          <cell r="C284">
            <v>0</v>
          </cell>
          <cell r="D284">
            <v>4</v>
          </cell>
          <cell r="E284" t="str">
            <v>EC</v>
          </cell>
          <cell r="F284" t="str">
            <v>O_</v>
          </cell>
          <cell r="G284" t="str">
            <v>BU</v>
          </cell>
          <cell r="H284" t="str">
            <v>04-EC-O_-BU</v>
          </cell>
          <cell r="I284" t="str">
            <v>Field Devices Equipment Brackets &amp; Supports</v>
          </cell>
          <cell r="Q284" t="str">
            <v>EXT</v>
          </cell>
          <cell r="R284" t="str">
            <v>Placeholder</v>
          </cell>
          <cell r="U284" t="str">
            <v>PC</v>
          </cell>
          <cell r="W284">
            <v>1</v>
          </cell>
          <cell r="X284" t="str">
            <v>USD</v>
          </cell>
          <cell r="Z284">
            <v>0</v>
          </cell>
          <cell r="AA284">
            <v>0</v>
          </cell>
          <cell r="AC284">
            <v>0</v>
          </cell>
          <cell r="AD284">
            <v>0</v>
          </cell>
          <cell r="AF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P284" t="str">
            <v>X</v>
          </cell>
          <cell r="AQ284" t="str">
            <v>CF.5</v>
          </cell>
        </row>
        <row r="285">
          <cell r="B285" t="str">
            <v>Low Level Control HW</v>
          </cell>
          <cell r="C285">
            <v>0</v>
          </cell>
          <cell r="D285">
            <v>4</v>
          </cell>
          <cell r="E285" t="str">
            <v>EC</v>
          </cell>
          <cell r="F285" t="str">
            <v>O_</v>
          </cell>
          <cell r="G285" t="str">
            <v>BW</v>
          </cell>
          <cell r="H285" t="str">
            <v>04-EC-O_-BW</v>
          </cell>
          <cell r="I285" t="str">
            <v>Field Devices Premanu. Sensor cable</v>
          </cell>
          <cell r="Q285" t="str">
            <v>EXT</v>
          </cell>
          <cell r="R285" t="str">
            <v>Placeholder</v>
          </cell>
          <cell r="U285" t="str">
            <v>PC</v>
          </cell>
          <cell r="W285">
            <v>1</v>
          </cell>
          <cell r="X285" t="str">
            <v>USD</v>
          </cell>
          <cell r="Z285">
            <v>0</v>
          </cell>
          <cell r="AA285">
            <v>0</v>
          </cell>
          <cell r="AC285">
            <v>0</v>
          </cell>
          <cell r="AD285">
            <v>0</v>
          </cell>
          <cell r="AF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P285" t="str">
            <v>X</v>
          </cell>
          <cell r="AQ285" t="str">
            <v>CF.5</v>
          </cell>
        </row>
        <row r="286">
          <cell r="B286" t="str">
            <v>Low Level Control HW</v>
          </cell>
          <cell r="C286">
            <v>0</v>
          </cell>
          <cell r="D286">
            <v>4</v>
          </cell>
          <cell r="E286" t="str">
            <v>EC</v>
          </cell>
          <cell r="F286" t="str">
            <v>B_</v>
          </cell>
          <cell r="G286" t="str">
            <v>SJ</v>
          </cell>
          <cell r="H286" t="str">
            <v>04-EC-B_-SJ</v>
          </cell>
          <cell r="I286" t="str">
            <v>Field Devices Control Stations (CS)</v>
          </cell>
          <cell r="J286" t="str">
            <v>221024_LTIA_Ph1_Z-4-CA-002_PLC_Material_Costs_Long Than_Belt_2022-09-30.xlsx</v>
          </cell>
          <cell r="L286" t="str">
            <v>Offshore:
GER
(MAT)</v>
          </cell>
          <cell r="M286" t="str">
            <v>S. Zenk</v>
          </cell>
          <cell r="N286">
            <v>44859</v>
          </cell>
          <cell r="O286" t="str">
            <v>HAR-20200507</v>
          </cell>
          <cell r="P286" t="str">
            <v>Harting</v>
          </cell>
          <cell r="Q286" t="str">
            <v>EXT</v>
          </cell>
          <cell r="R286" t="str">
            <v>Binding Quote</v>
          </cell>
          <cell r="T286">
            <v>1260.5999999999999</v>
          </cell>
          <cell r="U286" t="str">
            <v>PC</v>
          </cell>
          <cell r="V286">
            <v>73.52</v>
          </cell>
          <cell r="W286">
            <v>2</v>
          </cell>
          <cell r="X286" t="str">
            <v>EUR</v>
          </cell>
          <cell r="Y286" t="str">
            <v>German MGK 1</v>
          </cell>
          <cell r="Z286">
            <v>0</v>
          </cell>
          <cell r="AA286">
            <v>0</v>
          </cell>
          <cell r="AC286">
            <v>92679.311999999991</v>
          </cell>
          <cell r="AD286">
            <v>98564.448311999979</v>
          </cell>
          <cell r="AF286">
            <v>0</v>
          </cell>
          <cell r="AH286">
            <v>98564.448311999979</v>
          </cell>
          <cell r="AI286">
            <v>0.23709783177495308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129196.70754287941</v>
          </cell>
          <cell r="AP286" t="str">
            <v>II</v>
          </cell>
          <cell r="AQ286" t="str">
            <v>CF.5</v>
          </cell>
        </row>
        <row r="287">
          <cell r="B287" t="str">
            <v>Low Level Control HW</v>
          </cell>
          <cell r="C287">
            <v>0</v>
          </cell>
          <cell r="D287">
            <v>4</v>
          </cell>
          <cell r="E287" t="str">
            <v>EC</v>
          </cell>
          <cell r="F287" t="str">
            <v>B_</v>
          </cell>
          <cell r="G287" t="str">
            <v>SJ</v>
          </cell>
          <cell r="H287" t="str">
            <v>04-EC-B_-SJ</v>
          </cell>
          <cell r="I287" t="str">
            <v>Lanyard Switch (incl. E-Stop Acknowledgement)</v>
          </cell>
          <cell r="J287" t="str">
            <v>221024_LTIA_Ph1_Z-4-CA-002_PLC_Material_Costs_Long Than_Belt_2022-09-30.xlsx</v>
          </cell>
          <cell r="L287" t="str">
            <v>Offshore:
GER
(MAT)</v>
          </cell>
          <cell r="M287" t="str">
            <v>S. Zenk</v>
          </cell>
          <cell r="N287">
            <v>44859</v>
          </cell>
          <cell r="Q287" t="str">
            <v>EXT</v>
          </cell>
          <cell r="R287" t="str">
            <v>Estimate</v>
          </cell>
          <cell r="T287">
            <v>55</v>
          </cell>
          <cell r="U287" t="str">
            <v>PC</v>
          </cell>
          <cell r="V287">
            <v>236.92727272727274</v>
          </cell>
          <cell r="W287">
            <v>2</v>
          </cell>
          <cell r="X287" t="str">
            <v>EUR</v>
          </cell>
          <cell r="Y287" t="str">
            <v>German MGK 1</v>
          </cell>
          <cell r="Z287">
            <v>0</v>
          </cell>
          <cell r="AA287">
            <v>0</v>
          </cell>
          <cell r="AC287">
            <v>13031</v>
          </cell>
          <cell r="AD287">
            <v>13858.468499999999</v>
          </cell>
          <cell r="AF287">
            <v>0</v>
          </cell>
          <cell r="AH287">
            <v>13858.468499999999</v>
          </cell>
          <cell r="AI287">
            <v>0.23709783177495308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18165.459579493443</v>
          </cell>
          <cell r="AP287" t="str">
            <v>II</v>
          </cell>
          <cell r="AQ287" t="str">
            <v>CF.5</v>
          </cell>
        </row>
        <row r="288">
          <cell r="B288" t="str">
            <v>Low Level Control HW</v>
          </cell>
          <cell r="C288">
            <v>0</v>
          </cell>
          <cell r="D288">
            <v>4</v>
          </cell>
          <cell r="E288" t="str">
            <v>EC</v>
          </cell>
          <cell r="F288" t="str">
            <v>I_</v>
          </cell>
          <cell r="G288" t="str">
            <v>SJ</v>
          </cell>
          <cell r="H288" t="str">
            <v>04-EC-I_-SJ</v>
          </cell>
          <cell r="I288" t="str">
            <v>Field Devices Control Stations (CS)</v>
          </cell>
          <cell r="J288" t="str">
            <v>221024_LTIA_Ph1_Z-4-CA-003_PLC_Material_Costs_Long Than_Tray_2022-10-06.xlsx</v>
          </cell>
          <cell r="L288" t="str">
            <v>Offshore:
GER
(MAT)</v>
          </cell>
          <cell r="M288" t="str">
            <v>S. Zenk</v>
          </cell>
          <cell r="N288">
            <v>44859</v>
          </cell>
          <cell r="O288" t="str">
            <v>HAR-20200507</v>
          </cell>
          <cell r="P288" t="str">
            <v>Harting</v>
          </cell>
          <cell r="Q288" t="str">
            <v>EXT</v>
          </cell>
          <cell r="R288" t="str">
            <v>Binding Quote</v>
          </cell>
          <cell r="T288">
            <v>884.40000000000009</v>
          </cell>
          <cell r="U288" t="str">
            <v>PC</v>
          </cell>
          <cell r="V288">
            <v>73.52</v>
          </cell>
          <cell r="W288">
            <v>2</v>
          </cell>
          <cell r="X288" t="str">
            <v>EUR</v>
          </cell>
          <cell r="Y288" t="str">
            <v>German MGK 1</v>
          </cell>
          <cell r="Z288">
            <v>0</v>
          </cell>
          <cell r="AA288">
            <v>0</v>
          </cell>
          <cell r="AC288">
            <v>65021.088000000003</v>
          </cell>
          <cell r="AD288">
            <v>69149.927087999997</v>
          </cell>
          <cell r="AF288">
            <v>0</v>
          </cell>
          <cell r="AH288">
            <v>69149.927087999997</v>
          </cell>
          <cell r="AI288">
            <v>0.23709783177495308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90640.622045789758</v>
          </cell>
          <cell r="AP288" t="str">
            <v>II</v>
          </cell>
          <cell r="AQ288" t="str">
            <v>CF.5</v>
          </cell>
        </row>
        <row r="289">
          <cell r="B289" t="str">
            <v>Low Level Control HW</v>
          </cell>
          <cell r="C289">
            <v>0</v>
          </cell>
          <cell r="D289">
            <v>4</v>
          </cell>
          <cell r="E289" t="str">
            <v>EC</v>
          </cell>
          <cell r="F289" t="str">
            <v>I_</v>
          </cell>
          <cell r="G289" t="str">
            <v>SJ</v>
          </cell>
          <cell r="H289" t="str">
            <v>04-EC-I_-SJ</v>
          </cell>
          <cell r="I289" t="str">
            <v>Lanyard Switch (incl. E-Stop Acknowledgement)</v>
          </cell>
          <cell r="J289" t="str">
            <v>221024_LTIA_Ph1_Z-4-CA-003_PLC_Material_Costs_Long Than_Tray_2022-10-06.xlsx</v>
          </cell>
          <cell r="L289" t="str">
            <v>Offshore:
GER
(MAT)</v>
          </cell>
          <cell r="M289" t="str">
            <v>S. Zenk</v>
          </cell>
          <cell r="N289">
            <v>44859</v>
          </cell>
          <cell r="Q289" t="str">
            <v>EXT</v>
          </cell>
          <cell r="R289" t="str">
            <v>Estimate</v>
          </cell>
          <cell r="T289">
            <v>222</v>
          </cell>
          <cell r="U289" t="str">
            <v>PC</v>
          </cell>
          <cell r="V289">
            <v>236.93779279279281</v>
          </cell>
          <cell r="W289">
            <v>2</v>
          </cell>
          <cell r="X289" t="str">
            <v>EUR</v>
          </cell>
          <cell r="Y289" t="str">
            <v>German MGK 1</v>
          </cell>
          <cell r="Z289">
            <v>0</v>
          </cell>
          <cell r="AA289">
            <v>0</v>
          </cell>
          <cell r="AC289">
            <v>52600.19</v>
          </cell>
          <cell r="AD289">
            <v>55940.302064999996</v>
          </cell>
          <cell r="AF289">
            <v>0</v>
          </cell>
          <cell r="AH289">
            <v>55940.302064999996</v>
          </cell>
          <cell r="AI289">
            <v>0.23709783177495308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73325.656152150666</v>
          </cell>
          <cell r="AP289" t="str">
            <v>II</v>
          </cell>
          <cell r="AQ289" t="str">
            <v>CF.5</v>
          </cell>
        </row>
        <row r="290">
          <cell r="B290" t="str">
            <v>Low Level Control HW</v>
          </cell>
          <cell r="C290">
            <v>0</v>
          </cell>
          <cell r="D290">
            <v>4</v>
          </cell>
          <cell r="E290" t="str">
            <v>EC</v>
          </cell>
          <cell r="F290" t="str">
            <v>O_</v>
          </cell>
          <cell r="G290" t="str">
            <v>SP</v>
          </cell>
          <cell r="H290" t="str">
            <v>04-EC-O_-SP</v>
          </cell>
          <cell r="I290" t="str">
            <v>Field Devices: Light Beacons / Tower Lamps (LB)</v>
          </cell>
          <cell r="Q290" t="str">
            <v>EXT</v>
          </cell>
          <cell r="R290" t="str">
            <v>Placeholder</v>
          </cell>
          <cell r="U290" t="str">
            <v>PC</v>
          </cell>
          <cell r="W290">
            <v>1</v>
          </cell>
          <cell r="X290" t="str">
            <v>USD</v>
          </cell>
          <cell r="Z290">
            <v>0</v>
          </cell>
          <cell r="AA290">
            <v>0</v>
          </cell>
          <cell r="AC290">
            <v>0</v>
          </cell>
          <cell r="AD290">
            <v>0</v>
          </cell>
          <cell r="AF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P290" t="str">
            <v>X</v>
          </cell>
          <cell r="AQ290" t="str">
            <v>CF.5</v>
          </cell>
        </row>
        <row r="291">
          <cell r="B291" t="str">
            <v/>
          </cell>
          <cell r="H291" t="str">
            <v>--</v>
          </cell>
          <cell r="Q291" t="str">
            <v>EXT</v>
          </cell>
          <cell r="R291" t="str">
            <v>Placeholder</v>
          </cell>
          <cell r="W291">
            <v>1</v>
          </cell>
          <cell r="X291" t="str">
            <v>USD</v>
          </cell>
          <cell r="Z291">
            <v>0</v>
          </cell>
          <cell r="AA291">
            <v>0</v>
          </cell>
          <cell r="AC291">
            <v>0</v>
          </cell>
          <cell r="AD291">
            <v>0</v>
          </cell>
          <cell r="AF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P291" t="str">
            <v>X</v>
          </cell>
          <cell r="AQ291" t="str">
            <v/>
          </cell>
        </row>
        <row r="292">
          <cell r="I292" t="str">
            <v>6.3 Wire and Cable</v>
          </cell>
        </row>
        <row r="293">
          <cell r="B293" t="str">
            <v>Low Level Control HW</v>
          </cell>
          <cell r="C293">
            <v>0</v>
          </cell>
          <cell r="D293">
            <v>4</v>
          </cell>
          <cell r="E293" t="str">
            <v>EW</v>
          </cell>
          <cell r="F293" t="str">
            <v>O_</v>
          </cell>
          <cell r="G293" t="str">
            <v>GA</v>
          </cell>
          <cell r="H293" t="str">
            <v>04-EW-O_-GA</v>
          </cell>
          <cell r="I293" t="str">
            <v>Signal Cable, CU Control Cable</v>
          </cell>
          <cell r="Q293" t="str">
            <v>EXT</v>
          </cell>
          <cell r="R293" t="str">
            <v>Placeholder</v>
          </cell>
          <cell r="U293" t="str">
            <v>MT</v>
          </cell>
          <cell r="W293">
            <v>1</v>
          </cell>
          <cell r="X293" t="str">
            <v>USD</v>
          </cell>
          <cell r="Z293">
            <v>0</v>
          </cell>
          <cell r="AA293">
            <v>0</v>
          </cell>
          <cell r="AC293">
            <v>0</v>
          </cell>
          <cell r="AD293">
            <v>0</v>
          </cell>
          <cell r="AF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P293" t="str">
            <v>X</v>
          </cell>
          <cell r="AQ293" t="str">
            <v>CF.5</v>
          </cell>
        </row>
        <row r="294">
          <cell r="B294" t="str">
            <v>Low Level Control HW</v>
          </cell>
          <cell r="C294">
            <v>0</v>
          </cell>
          <cell r="D294">
            <v>4</v>
          </cell>
          <cell r="E294" t="str">
            <v>EW</v>
          </cell>
          <cell r="F294" t="str">
            <v>O_</v>
          </cell>
          <cell r="G294" t="str">
            <v>GB</v>
          </cell>
          <cell r="H294" t="str">
            <v>04-EW-O_-GB</v>
          </cell>
          <cell r="I294" t="str">
            <v>Signal Cable, CU Data Cable</v>
          </cell>
          <cell r="Q294" t="str">
            <v>EXT</v>
          </cell>
          <cell r="R294" t="str">
            <v>Placeholder</v>
          </cell>
          <cell r="U294" t="str">
            <v>MT</v>
          </cell>
          <cell r="W294">
            <v>1</v>
          </cell>
          <cell r="X294" t="str">
            <v>USD</v>
          </cell>
          <cell r="Z294">
            <v>0</v>
          </cell>
          <cell r="AA294">
            <v>0</v>
          </cell>
          <cell r="AC294">
            <v>0</v>
          </cell>
          <cell r="AD294">
            <v>0</v>
          </cell>
          <cell r="AF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P294" t="str">
            <v>X</v>
          </cell>
          <cell r="AQ294" t="str">
            <v>CF.5</v>
          </cell>
        </row>
        <row r="295">
          <cell r="B295" t="str">
            <v>Low Level Control HW</v>
          </cell>
          <cell r="C295">
            <v>0</v>
          </cell>
          <cell r="D295">
            <v>4</v>
          </cell>
          <cell r="E295" t="str">
            <v>EW</v>
          </cell>
          <cell r="F295" t="str">
            <v>O_</v>
          </cell>
          <cell r="G295" t="str">
            <v>HA</v>
          </cell>
          <cell r="H295" t="str">
            <v>04-EW-O_-HA</v>
          </cell>
          <cell r="I295" t="str">
            <v>Signal Cable, Optical Fibre Optical Cable</v>
          </cell>
          <cell r="Q295" t="str">
            <v>EXT</v>
          </cell>
          <cell r="R295" t="str">
            <v>Placeholder</v>
          </cell>
          <cell r="U295" t="str">
            <v>MT</v>
          </cell>
          <cell r="W295">
            <v>1</v>
          </cell>
          <cell r="X295" t="str">
            <v>USD</v>
          </cell>
          <cell r="Z295">
            <v>0</v>
          </cell>
          <cell r="AA295">
            <v>0</v>
          </cell>
          <cell r="AC295">
            <v>0</v>
          </cell>
          <cell r="AD295">
            <v>0</v>
          </cell>
          <cell r="AF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P295" t="str">
            <v>X</v>
          </cell>
          <cell r="AQ295" t="str">
            <v>CF.5</v>
          </cell>
        </row>
        <row r="296">
          <cell r="B296" t="str">
            <v/>
          </cell>
          <cell r="H296" t="str">
            <v>--</v>
          </cell>
          <cell r="Q296" t="str">
            <v>EXT</v>
          </cell>
          <cell r="R296" t="str">
            <v>Placeholder</v>
          </cell>
          <cell r="U296" t="str">
            <v>MT</v>
          </cell>
          <cell r="W296">
            <v>1</v>
          </cell>
          <cell r="X296" t="str">
            <v>USD</v>
          </cell>
          <cell r="Z296">
            <v>0</v>
          </cell>
          <cell r="AA296">
            <v>0</v>
          </cell>
          <cell r="AC296">
            <v>0</v>
          </cell>
          <cell r="AD296">
            <v>0</v>
          </cell>
          <cell r="AF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P296" t="str">
            <v>X</v>
          </cell>
          <cell r="AQ296" t="str">
            <v/>
          </cell>
        </row>
        <row r="297">
          <cell r="B297" t="str">
            <v/>
          </cell>
          <cell r="H297" t="str">
            <v>--</v>
          </cell>
          <cell r="Q297" t="str">
            <v>EXT</v>
          </cell>
          <cell r="R297" t="str">
            <v>Placeholder</v>
          </cell>
          <cell r="U297" t="str">
            <v>MT</v>
          </cell>
          <cell r="W297">
            <v>1</v>
          </cell>
          <cell r="X297" t="str">
            <v>USD</v>
          </cell>
          <cell r="Z297">
            <v>0</v>
          </cell>
          <cell r="AA297">
            <v>0</v>
          </cell>
          <cell r="AC297">
            <v>0</v>
          </cell>
          <cell r="AD297">
            <v>0</v>
          </cell>
          <cell r="AF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P297" t="str">
            <v>X</v>
          </cell>
          <cell r="AQ297" t="str">
            <v/>
          </cell>
        </row>
        <row r="298">
          <cell r="B298" t="str">
            <v>Subtotal - 7</v>
          </cell>
          <cell r="I298" t="str">
            <v>7. Sorter</v>
          </cell>
        </row>
        <row r="299">
          <cell r="I299" t="str">
            <v>7.1 Control Panel (LP = Power and PLC Part)</v>
          </cell>
        </row>
        <row r="300">
          <cell r="B300" t="str">
            <v>Low Level Control HW</v>
          </cell>
          <cell r="C300">
            <v>0</v>
          </cell>
          <cell r="D300">
            <v>4</v>
          </cell>
          <cell r="E300" t="str">
            <v>CU</v>
          </cell>
          <cell r="F300" t="str">
            <v>ST</v>
          </cell>
          <cell r="G300" t="str">
            <v>BG</v>
          </cell>
          <cell r="H300" t="str">
            <v>04-CU-ST-BG</v>
          </cell>
          <cell r="I300" t="str">
            <v>Central Control Panel (LP001)</v>
          </cell>
          <cell r="Q300" t="str">
            <v>EXT</v>
          </cell>
          <cell r="R300" t="str">
            <v>Placeholder</v>
          </cell>
          <cell r="U300" t="str">
            <v>PC</v>
          </cell>
          <cell r="W300">
            <v>1</v>
          </cell>
          <cell r="X300" t="str">
            <v>USD</v>
          </cell>
          <cell r="Z300">
            <v>0</v>
          </cell>
          <cell r="AA300">
            <v>0</v>
          </cell>
          <cell r="AC300">
            <v>0</v>
          </cell>
          <cell r="AD300">
            <v>0</v>
          </cell>
          <cell r="AF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P300" t="str">
            <v>X</v>
          </cell>
          <cell r="AQ300" t="str">
            <v>CF.5</v>
          </cell>
        </row>
        <row r="301">
          <cell r="B301" t="str">
            <v/>
          </cell>
          <cell r="H301" t="str">
            <v>--</v>
          </cell>
          <cell r="Q301" t="str">
            <v>EXT</v>
          </cell>
          <cell r="R301" t="str">
            <v>Placeholder</v>
          </cell>
          <cell r="W301">
            <v>1</v>
          </cell>
          <cell r="X301" t="str">
            <v>USD</v>
          </cell>
          <cell r="Z301">
            <v>0</v>
          </cell>
          <cell r="AA301">
            <v>0</v>
          </cell>
          <cell r="AC301">
            <v>0</v>
          </cell>
          <cell r="AD301">
            <v>0</v>
          </cell>
          <cell r="AF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P301" t="str">
            <v>X</v>
          </cell>
          <cell r="AQ301" t="str">
            <v/>
          </cell>
        </row>
        <row r="302">
          <cell r="B302" t="str">
            <v/>
          </cell>
          <cell r="H302" t="str">
            <v>--</v>
          </cell>
          <cell r="Q302" t="str">
            <v>EXT</v>
          </cell>
          <cell r="R302" t="str">
            <v>Placeholder</v>
          </cell>
          <cell r="W302">
            <v>1</v>
          </cell>
          <cell r="X302" t="str">
            <v>USD</v>
          </cell>
          <cell r="Z302">
            <v>0</v>
          </cell>
          <cell r="AA302">
            <v>0</v>
          </cell>
          <cell r="AC302">
            <v>0</v>
          </cell>
          <cell r="AD302">
            <v>0</v>
          </cell>
          <cell r="AF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P302" t="str">
            <v>X</v>
          </cell>
          <cell r="AQ302" t="str">
            <v/>
          </cell>
        </row>
        <row r="303">
          <cell r="I303" t="str">
            <v>7.2 Field Panels (PM, PFC, …)</v>
          </cell>
        </row>
        <row r="304">
          <cell r="B304" t="str">
            <v>Low Level Control HW</v>
          </cell>
          <cell r="C304">
            <v>0</v>
          </cell>
          <cell r="D304">
            <v>4</v>
          </cell>
          <cell r="E304" t="str">
            <v>CU</v>
          </cell>
          <cell r="F304" t="str">
            <v>ST</v>
          </cell>
          <cell r="G304" t="str">
            <v>CC</v>
          </cell>
          <cell r="H304" t="str">
            <v>04-CU-ST-CC</v>
          </cell>
          <cell r="I304" t="str">
            <v>Field Panels: Field Control Panel (PM)</v>
          </cell>
          <cell r="Q304" t="str">
            <v>EXT</v>
          </cell>
          <cell r="R304" t="str">
            <v>Placeholder</v>
          </cell>
          <cell r="U304" t="str">
            <v>PC</v>
          </cell>
          <cell r="W304">
            <v>1</v>
          </cell>
          <cell r="X304" t="str">
            <v>USD</v>
          </cell>
          <cell r="Z304">
            <v>0</v>
          </cell>
          <cell r="AA304">
            <v>0</v>
          </cell>
          <cell r="AC304">
            <v>0</v>
          </cell>
          <cell r="AD304">
            <v>0</v>
          </cell>
          <cell r="AF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P304" t="str">
            <v>X</v>
          </cell>
          <cell r="AQ304" t="str">
            <v>CF.5</v>
          </cell>
        </row>
        <row r="305">
          <cell r="B305" t="str">
            <v>Low Level Control HW</v>
          </cell>
          <cell r="C305">
            <v>0</v>
          </cell>
          <cell r="D305">
            <v>4</v>
          </cell>
          <cell r="E305" t="str">
            <v>CU</v>
          </cell>
          <cell r="F305" t="str">
            <v>ST</v>
          </cell>
          <cell r="G305" t="str">
            <v>CE</v>
          </cell>
          <cell r="H305" t="str">
            <v>04-CU-ST-CE</v>
          </cell>
          <cell r="I305" t="str">
            <v>Field Panels: I/O Box IOB (FB)</v>
          </cell>
          <cell r="Q305" t="str">
            <v>EXT</v>
          </cell>
          <cell r="R305" t="str">
            <v>Placeholder</v>
          </cell>
          <cell r="U305" t="str">
            <v>PC</v>
          </cell>
          <cell r="W305">
            <v>1</v>
          </cell>
          <cell r="X305" t="str">
            <v>USD</v>
          </cell>
          <cell r="Z305">
            <v>0</v>
          </cell>
          <cell r="AA305">
            <v>0</v>
          </cell>
          <cell r="AC305">
            <v>0</v>
          </cell>
          <cell r="AD305">
            <v>0</v>
          </cell>
          <cell r="AF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P305" t="str">
            <v>X</v>
          </cell>
          <cell r="AQ305" t="str">
            <v>CF.5</v>
          </cell>
        </row>
        <row r="306">
          <cell r="B306" t="str">
            <v>Low Level Control HW</v>
          </cell>
          <cell r="C306">
            <v>0</v>
          </cell>
          <cell r="D306">
            <v>4</v>
          </cell>
          <cell r="E306" t="str">
            <v>CU</v>
          </cell>
          <cell r="F306" t="str">
            <v>ST</v>
          </cell>
          <cell r="G306" t="str">
            <v>CE</v>
          </cell>
          <cell r="H306" t="str">
            <v>04-CU-ST-CE</v>
          </cell>
          <cell r="I306" t="str">
            <v>Field Panels: Panel Motor Unit (DC)</v>
          </cell>
          <cell r="Q306" t="str">
            <v>EXT</v>
          </cell>
          <cell r="R306" t="str">
            <v>Placeholder</v>
          </cell>
          <cell r="U306" t="str">
            <v>PC</v>
          </cell>
          <cell r="W306">
            <v>1</v>
          </cell>
          <cell r="X306" t="str">
            <v>USD</v>
          </cell>
          <cell r="Z306">
            <v>0</v>
          </cell>
          <cell r="AA306">
            <v>0</v>
          </cell>
          <cell r="AC306">
            <v>0</v>
          </cell>
          <cell r="AD306">
            <v>0</v>
          </cell>
          <cell r="AF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P306" t="str">
            <v>X</v>
          </cell>
          <cell r="AQ306" t="str">
            <v>CF.5</v>
          </cell>
        </row>
        <row r="307">
          <cell r="B307" t="str">
            <v>Low Level Control HW</v>
          </cell>
          <cell r="C307">
            <v>0</v>
          </cell>
          <cell r="D307">
            <v>4</v>
          </cell>
          <cell r="E307" t="str">
            <v>CU</v>
          </cell>
          <cell r="F307" t="str">
            <v>ST</v>
          </cell>
          <cell r="G307" t="str">
            <v>CE</v>
          </cell>
          <cell r="H307" t="str">
            <v>04-CU-ST-CE</v>
          </cell>
          <cell r="I307" t="str">
            <v>Field Panels: Induction Control Panel (IB)</v>
          </cell>
          <cell r="Q307" t="str">
            <v>EXT</v>
          </cell>
          <cell r="R307" t="str">
            <v>Placeholder</v>
          </cell>
          <cell r="U307" t="str">
            <v>PC</v>
          </cell>
          <cell r="W307">
            <v>1</v>
          </cell>
          <cell r="X307" t="str">
            <v>USD</v>
          </cell>
          <cell r="Z307">
            <v>0</v>
          </cell>
          <cell r="AA307">
            <v>0</v>
          </cell>
          <cell r="AC307">
            <v>0</v>
          </cell>
          <cell r="AD307">
            <v>0</v>
          </cell>
          <cell r="AF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P307" t="str">
            <v>X</v>
          </cell>
          <cell r="AQ307" t="str">
            <v>CF.5</v>
          </cell>
        </row>
        <row r="308">
          <cell r="B308" t="str">
            <v>Low Level Control HW</v>
          </cell>
          <cell r="C308">
            <v>0</v>
          </cell>
          <cell r="D308">
            <v>4</v>
          </cell>
          <cell r="E308" t="str">
            <v>CU</v>
          </cell>
          <cell r="F308" t="str">
            <v>ST</v>
          </cell>
          <cell r="G308" t="str">
            <v>CE</v>
          </cell>
          <cell r="H308" t="str">
            <v>04-CU-ST-CE</v>
          </cell>
          <cell r="I308" t="str">
            <v>Field Panels: Sorter Speed Control (SP)</v>
          </cell>
          <cell r="Q308" t="str">
            <v>EXT</v>
          </cell>
          <cell r="R308" t="str">
            <v>Placeholder</v>
          </cell>
          <cell r="U308" t="str">
            <v>PC</v>
          </cell>
          <cell r="W308">
            <v>1</v>
          </cell>
          <cell r="X308" t="str">
            <v>USD</v>
          </cell>
          <cell r="Z308">
            <v>0</v>
          </cell>
          <cell r="AA308">
            <v>0</v>
          </cell>
          <cell r="AC308">
            <v>0</v>
          </cell>
          <cell r="AD308">
            <v>0</v>
          </cell>
          <cell r="AF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P308" t="str">
            <v>X</v>
          </cell>
          <cell r="AQ308" t="str">
            <v>CF.5</v>
          </cell>
        </row>
        <row r="309">
          <cell r="B309" t="str">
            <v/>
          </cell>
          <cell r="H309" t="str">
            <v>--</v>
          </cell>
          <cell r="Q309" t="str">
            <v>EXT</v>
          </cell>
          <cell r="R309" t="str">
            <v>Placeholder</v>
          </cell>
          <cell r="W309">
            <v>1</v>
          </cell>
          <cell r="X309" t="str">
            <v>USD</v>
          </cell>
          <cell r="Z309">
            <v>0</v>
          </cell>
          <cell r="AA309">
            <v>0</v>
          </cell>
          <cell r="AC309">
            <v>0</v>
          </cell>
          <cell r="AD309">
            <v>0</v>
          </cell>
          <cell r="AF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P309" t="str">
            <v>X</v>
          </cell>
          <cell r="AQ309" t="str">
            <v/>
          </cell>
        </row>
        <row r="310">
          <cell r="B310" t="str">
            <v/>
          </cell>
          <cell r="H310" t="str">
            <v>--</v>
          </cell>
          <cell r="Q310" t="str">
            <v>EXT</v>
          </cell>
          <cell r="R310" t="str">
            <v>Placeholder</v>
          </cell>
          <cell r="W310">
            <v>1</v>
          </cell>
          <cell r="X310" t="str">
            <v>USD</v>
          </cell>
          <cell r="Z310">
            <v>0</v>
          </cell>
          <cell r="AA310">
            <v>0</v>
          </cell>
          <cell r="AC310">
            <v>0</v>
          </cell>
          <cell r="AD310">
            <v>0</v>
          </cell>
          <cell r="AF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P310" t="str">
            <v>X</v>
          </cell>
          <cell r="AQ310" t="str">
            <v/>
          </cell>
        </row>
        <row r="311">
          <cell r="I311" t="str">
            <v>7.3 Field Devices Sensors…</v>
          </cell>
        </row>
        <row r="312">
          <cell r="B312" t="str">
            <v>Low Level Control HW</v>
          </cell>
          <cell r="C312">
            <v>0</v>
          </cell>
          <cell r="D312">
            <v>4</v>
          </cell>
          <cell r="E312" t="str">
            <v>CC</v>
          </cell>
          <cell r="F312" t="str">
            <v>ST</v>
          </cell>
          <cell r="G312" t="str">
            <v>BG</v>
          </cell>
          <cell r="H312" t="str">
            <v>04-CC-ST-BG</v>
          </cell>
          <cell r="I312" t="str">
            <v>Field Devices: Actors, Sensors</v>
          </cell>
          <cell r="Q312" t="str">
            <v>EXT</v>
          </cell>
          <cell r="R312" t="str">
            <v>Placeholder</v>
          </cell>
          <cell r="U312" t="str">
            <v>PC</v>
          </cell>
          <cell r="W312">
            <v>1</v>
          </cell>
          <cell r="X312" t="str">
            <v>USD</v>
          </cell>
          <cell r="Z312">
            <v>0</v>
          </cell>
          <cell r="AA312">
            <v>0</v>
          </cell>
          <cell r="AC312">
            <v>0</v>
          </cell>
          <cell r="AD312">
            <v>0</v>
          </cell>
          <cell r="AF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P312" t="str">
            <v>X</v>
          </cell>
          <cell r="AQ312" t="str">
            <v>CF.5</v>
          </cell>
        </row>
        <row r="313">
          <cell r="B313" t="str">
            <v>Low Level Control HW</v>
          </cell>
          <cell r="C313">
            <v>0</v>
          </cell>
          <cell r="D313">
            <v>4</v>
          </cell>
          <cell r="E313" t="str">
            <v>CC</v>
          </cell>
          <cell r="F313" t="str">
            <v>ST</v>
          </cell>
          <cell r="G313" t="str">
            <v>BA</v>
          </cell>
          <cell r="H313" t="str">
            <v>04-CC-ST-BA</v>
          </cell>
          <cell r="I313" t="str">
            <v>Field Devices: I/O Devices</v>
          </cell>
          <cell r="Q313" t="str">
            <v>EXT</v>
          </cell>
          <cell r="R313" t="str">
            <v>Placeholder</v>
          </cell>
          <cell r="U313" t="str">
            <v>PC</v>
          </cell>
          <cell r="W313">
            <v>1</v>
          </cell>
          <cell r="X313" t="str">
            <v>USD</v>
          </cell>
          <cell r="Z313">
            <v>0</v>
          </cell>
          <cell r="AA313">
            <v>0</v>
          </cell>
          <cell r="AC313">
            <v>0</v>
          </cell>
          <cell r="AD313">
            <v>0</v>
          </cell>
          <cell r="AF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P313" t="str">
            <v>X</v>
          </cell>
          <cell r="AQ313" t="str">
            <v>CF.5</v>
          </cell>
        </row>
        <row r="314">
          <cell r="B314" t="str">
            <v>Low Level Control HW</v>
          </cell>
          <cell r="C314">
            <v>0</v>
          </cell>
          <cell r="D314">
            <v>4</v>
          </cell>
          <cell r="E314" t="str">
            <v>CC</v>
          </cell>
          <cell r="F314" t="str">
            <v>ST</v>
          </cell>
          <cell r="G314" t="str">
            <v>BU</v>
          </cell>
          <cell r="H314" t="str">
            <v>04-CC-ST-BU</v>
          </cell>
          <cell r="I314" t="str">
            <v>Field Devices: Equipment Brackets &amp; Supports</v>
          </cell>
          <cell r="Q314" t="str">
            <v>EXT</v>
          </cell>
          <cell r="R314" t="str">
            <v>Placeholder</v>
          </cell>
          <cell r="U314" t="str">
            <v>PC</v>
          </cell>
          <cell r="W314">
            <v>1</v>
          </cell>
          <cell r="X314" t="str">
            <v>USD</v>
          </cell>
          <cell r="Z314">
            <v>0</v>
          </cell>
          <cell r="AA314">
            <v>0</v>
          </cell>
          <cell r="AC314">
            <v>0</v>
          </cell>
          <cell r="AD314">
            <v>0</v>
          </cell>
          <cell r="AF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P314" t="str">
            <v>X</v>
          </cell>
          <cell r="AQ314" t="str">
            <v>CF.5</v>
          </cell>
        </row>
        <row r="315">
          <cell r="B315" t="str">
            <v>Low Level Control HW</v>
          </cell>
          <cell r="C315">
            <v>0</v>
          </cell>
          <cell r="D315">
            <v>4</v>
          </cell>
          <cell r="E315" t="str">
            <v>CC</v>
          </cell>
          <cell r="F315" t="str">
            <v>ST</v>
          </cell>
          <cell r="G315" t="str">
            <v>BW</v>
          </cell>
          <cell r="H315" t="str">
            <v>04-CC-ST-BW</v>
          </cell>
          <cell r="I315" t="str">
            <v>Field Devices: Premanu. Sensor cable</v>
          </cell>
          <cell r="Q315" t="str">
            <v>EXT</v>
          </cell>
          <cell r="R315" t="str">
            <v>Placeholder</v>
          </cell>
          <cell r="U315" t="str">
            <v>PC</v>
          </cell>
          <cell r="W315">
            <v>1</v>
          </cell>
          <cell r="X315" t="str">
            <v>USD</v>
          </cell>
          <cell r="Z315">
            <v>0</v>
          </cell>
          <cell r="AA315">
            <v>0</v>
          </cell>
          <cell r="AC315">
            <v>0</v>
          </cell>
          <cell r="AD315">
            <v>0</v>
          </cell>
          <cell r="AF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P315" t="str">
            <v>X</v>
          </cell>
          <cell r="AQ315" t="str">
            <v>CF.5</v>
          </cell>
        </row>
        <row r="316">
          <cell r="B316" t="str">
            <v>Low Level Control HW</v>
          </cell>
          <cell r="C316">
            <v>0</v>
          </cell>
          <cell r="D316">
            <v>4</v>
          </cell>
          <cell r="E316" t="str">
            <v>CC</v>
          </cell>
          <cell r="F316" t="str">
            <v>ST</v>
          </cell>
          <cell r="G316" t="str">
            <v>SJ</v>
          </cell>
          <cell r="H316" t="str">
            <v>04-CC-ST-SJ</v>
          </cell>
          <cell r="I316" t="str">
            <v>Field Devices: Control Stations (CS)</v>
          </cell>
          <cell r="Q316" t="str">
            <v>EXT</v>
          </cell>
          <cell r="R316" t="str">
            <v>Placeholder</v>
          </cell>
          <cell r="U316" t="str">
            <v>PC</v>
          </cell>
          <cell r="W316">
            <v>1</v>
          </cell>
          <cell r="X316" t="str">
            <v>USD</v>
          </cell>
          <cell r="Z316">
            <v>0</v>
          </cell>
          <cell r="AA316">
            <v>0</v>
          </cell>
          <cell r="AC316">
            <v>0</v>
          </cell>
          <cell r="AD316">
            <v>0</v>
          </cell>
          <cell r="AF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P316" t="str">
            <v>X</v>
          </cell>
          <cell r="AQ316" t="str">
            <v>CF.5</v>
          </cell>
        </row>
        <row r="317">
          <cell r="B317" t="str">
            <v>Low Level Control HW</v>
          </cell>
          <cell r="C317">
            <v>0</v>
          </cell>
          <cell r="D317">
            <v>4</v>
          </cell>
          <cell r="E317" t="str">
            <v>CC</v>
          </cell>
          <cell r="F317" t="str">
            <v>ST</v>
          </cell>
          <cell r="G317" t="str">
            <v>SP</v>
          </cell>
          <cell r="H317" t="str">
            <v>04-CC-ST-SP</v>
          </cell>
          <cell r="I317" t="str">
            <v>Field Devices: Light Beacons / Tower Lamps (LB)</v>
          </cell>
          <cell r="Q317" t="str">
            <v>EXT</v>
          </cell>
          <cell r="R317" t="str">
            <v>Placeholder</v>
          </cell>
          <cell r="U317" t="str">
            <v>PC</v>
          </cell>
          <cell r="W317">
            <v>1</v>
          </cell>
          <cell r="X317" t="str">
            <v>USD</v>
          </cell>
          <cell r="Z317">
            <v>0</v>
          </cell>
          <cell r="AA317">
            <v>0</v>
          </cell>
          <cell r="AC317">
            <v>0</v>
          </cell>
          <cell r="AD317">
            <v>0</v>
          </cell>
          <cell r="AF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P317" t="str">
            <v>X</v>
          </cell>
          <cell r="AQ317" t="str">
            <v>CF.5</v>
          </cell>
        </row>
        <row r="318">
          <cell r="B318" t="str">
            <v/>
          </cell>
          <cell r="H318" t="str">
            <v>--</v>
          </cell>
          <cell r="Q318" t="str">
            <v>EXT</v>
          </cell>
          <cell r="R318" t="str">
            <v>Placeholder</v>
          </cell>
          <cell r="W318">
            <v>1</v>
          </cell>
          <cell r="X318" t="str">
            <v>USD</v>
          </cell>
          <cell r="Z318">
            <v>0</v>
          </cell>
          <cell r="AA318">
            <v>0</v>
          </cell>
          <cell r="AC318">
            <v>0</v>
          </cell>
          <cell r="AD318">
            <v>0</v>
          </cell>
          <cell r="AF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P318" t="str">
            <v>X</v>
          </cell>
          <cell r="AQ318" t="str">
            <v/>
          </cell>
        </row>
        <row r="319">
          <cell r="B319" t="str">
            <v/>
          </cell>
          <cell r="H319" t="str">
            <v>--</v>
          </cell>
          <cell r="Q319" t="str">
            <v>EXT</v>
          </cell>
          <cell r="R319" t="str">
            <v>Placeholder</v>
          </cell>
          <cell r="W319">
            <v>1</v>
          </cell>
          <cell r="X319" t="str">
            <v>USD</v>
          </cell>
          <cell r="Z319">
            <v>0</v>
          </cell>
          <cell r="AA319">
            <v>0</v>
          </cell>
          <cell r="AC319">
            <v>0</v>
          </cell>
          <cell r="AD319">
            <v>0</v>
          </cell>
          <cell r="AF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P319" t="str">
            <v>X</v>
          </cell>
          <cell r="AQ319" t="str">
            <v/>
          </cell>
        </row>
        <row r="320">
          <cell r="I320" t="str">
            <v>7.4 Cable Supporting System</v>
          </cell>
        </row>
        <row r="321">
          <cell r="B321" t="str">
            <v>Low Level Control HW</v>
          </cell>
          <cell r="C321">
            <v>0</v>
          </cell>
          <cell r="D321">
            <v>4</v>
          </cell>
          <cell r="E321" t="str">
            <v>CL</v>
          </cell>
          <cell r="F321" t="str">
            <v>ST</v>
          </cell>
          <cell r="G321" t="str">
            <v>BU</v>
          </cell>
          <cell r="H321" t="str">
            <v>04-CL-ST-BU</v>
          </cell>
          <cell r="I321" t="str">
            <v>Cable Tray Cable Rack, Cable Trunking, Cable Ladder, Conduit</v>
          </cell>
          <cell r="Q321" t="str">
            <v>EXT</v>
          </cell>
          <cell r="R321" t="str">
            <v>Placeholder</v>
          </cell>
          <cell r="U321" t="str">
            <v>MT</v>
          </cell>
          <cell r="W321">
            <v>1</v>
          </cell>
          <cell r="X321" t="str">
            <v>USD</v>
          </cell>
          <cell r="Z321">
            <v>0</v>
          </cell>
          <cell r="AA321">
            <v>0</v>
          </cell>
          <cell r="AC321">
            <v>0</v>
          </cell>
          <cell r="AD321">
            <v>0</v>
          </cell>
          <cell r="AF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P321" t="str">
            <v>X</v>
          </cell>
          <cell r="AQ321" t="str">
            <v>CF.5</v>
          </cell>
        </row>
        <row r="322">
          <cell r="B322" t="str">
            <v/>
          </cell>
          <cell r="H322" t="str">
            <v>--</v>
          </cell>
          <cell r="Q322" t="str">
            <v>EXT</v>
          </cell>
          <cell r="R322" t="str">
            <v>Placeholder</v>
          </cell>
          <cell r="W322">
            <v>1</v>
          </cell>
          <cell r="X322" t="str">
            <v>USD</v>
          </cell>
          <cell r="Z322">
            <v>0</v>
          </cell>
          <cell r="AA322">
            <v>0</v>
          </cell>
          <cell r="AC322">
            <v>0</v>
          </cell>
          <cell r="AD322">
            <v>0</v>
          </cell>
          <cell r="AF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P322" t="str">
            <v>X</v>
          </cell>
          <cell r="AQ322" t="str">
            <v/>
          </cell>
        </row>
        <row r="323">
          <cell r="B323" t="str">
            <v/>
          </cell>
          <cell r="H323" t="str">
            <v>--</v>
          </cell>
          <cell r="Q323" t="str">
            <v>EXT</v>
          </cell>
          <cell r="R323" t="str">
            <v>Placeholder</v>
          </cell>
          <cell r="W323">
            <v>1</v>
          </cell>
          <cell r="X323" t="str">
            <v>USD</v>
          </cell>
          <cell r="Z323">
            <v>0</v>
          </cell>
          <cell r="AA323">
            <v>0</v>
          </cell>
          <cell r="AC323">
            <v>0</v>
          </cell>
          <cell r="AD323">
            <v>0</v>
          </cell>
          <cell r="AF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P323" t="str">
            <v>X</v>
          </cell>
          <cell r="AQ323" t="str">
            <v/>
          </cell>
        </row>
        <row r="324">
          <cell r="I324" t="str">
            <v>7.5 Wire and Cable</v>
          </cell>
        </row>
        <row r="325">
          <cell r="B325" t="str">
            <v>Low Level Control HW</v>
          </cell>
          <cell r="C325">
            <v>0</v>
          </cell>
          <cell r="D325">
            <v>4</v>
          </cell>
          <cell r="E325" t="str">
            <v>CW</v>
          </cell>
          <cell r="F325" t="str">
            <v>ST</v>
          </cell>
          <cell r="G325" t="str">
            <v>DB</v>
          </cell>
          <cell r="H325" t="str">
            <v>04-CW-ST-DB</v>
          </cell>
          <cell r="I325" t="str">
            <v>Low Voltage Power Cable</v>
          </cell>
          <cell r="Q325" t="str">
            <v>EXT</v>
          </cell>
          <cell r="R325" t="str">
            <v>Placeholder</v>
          </cell>
          <cell r="U325" t="str">
            <v>MT</v>
          </cell>
          <cell r="W325">
            <v>1</v>
          </cell>
          <cell r="X325" t="str">
            <v>USD</v>
          </cell>
          <cell r="Z325">
            <v>0</v>
          </cell>
          <cell r="AA325">
            <v>0</v>
          </cell>
          <cell r="AC325">
            <v>0</v>
          </cell>
          <cell r="AD325">
            <v>0</v>
          </cell>
          <cell r="AF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P325" t="str">
            <v>X</v>
          </cell>
          <cell r="AQ325" t="str">
            <v>CF.5</v>
          </cell>
        </row>
        <row r="326">
          <cell r="B326" t="str">
            <v>Low Level Control HW</v>
          </cell>
          <cell r="C326">
            <v>0</v>
          </cell>
          <cell r="D326">
            <v>4</v>
          </cell>
          <cell r="E326" t="str">
            <v>CW</v>
          </cell>
          <cell r="F326" t="str">
            <v>ST</v>
          </cell>
          <cell r="G326" t="str">
            <v>EB</v>
          </cell>
          <cell r="H326" t="str">
            <v>04-CW-ST-EB</v>
          </cell>
          <cell r="I326" t="str">
            <v>Earthing Cable</v>
          </cell>
          <cell r="Q326" t="str">
            <v>EXT</v>
          </cell>
          <cell r="R326" t="str">
            <v>Placeholder</v>
          </cell>
          <cell r="U326" t="str">
            <v>MT</v>
          </cell>
          <cell r="W326">
            <v>1</v>
          </cell>
          <cell r="X326" t="str">
            <v>USD</v>
          </cell>
          <cell r="Z326">
            <v>0</v>
          </cell>
          <cell r="AA326">
            <v>0</v>
          </cell>
          <cell r="AC326">
            <v>0</v>
          </cell>
          <cell r="AD326">
            <v>0</v>
          </cell>
          <cell r="AF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P326" t="str">
            <v>X</v>
          </cell>
          <cell r="AQ326" t="str">
            <v>CF.5</v>
          </cell>
        </row>
        <row r="327">
          <cell r="B327" t="str">
            <v>Low Level Control HW</v>
          </cell>
          <cell r="C327">
            <v>0</v>
          </cell>
          <cell r="D327">
            <v>4</v>
          </cell>
          <cell r="E327" t="str">
            <v>CW</v>
          </cell>
          <cell r="F327" t="str">
            <v>ST</v>
          </cell>
          <cell r="G327" t="str">
            <v>GA</v>
          </cell>
          <cell r="H327" t="str">
            <v>04-CW-ST-GA</v>
          </cell>
          <cell r="I327" t="str">
            <v>Signal Cable, CU Control Cable</v>
          </cell>
          <cell r="Q327" t="str">
            <v>EXT</v>
          </cell>
          <cell r="R327" t="str">
            <v>Placeholder</v>
          </cell>
          <cell r="U327" t="str">
            <v>MT</v>
          </cell>
          <cell r="W327">
            <v>1</v>
          </cell>
          <cell r="X327" t="str">
            <v>USD</v>
          </cell>
          <cell r="Z327">
            <v>0</v>
          </cell>
          <cell r="AA327">
            <v>0</v>
          </cell>
          <cell r="AC327">
            <v>0</v>
          </cell>
          <cell r="AD327">
            <v>0</v>
          </cell>
          <cell r="AF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P327" t="str">
            <v>X</v>
          </cell>
          <cell r="AQ327" t="str">
            <v>CF.5</v>
          </cell>
        </row>
        <row r="328">
          <cell r="B328" t="str">
            <v>Low Level Control HW</v>
          </cell>
          <cell r="C328">
            <v>0</v>
          </cell>
          <cell r="D328">
            <v>4</v>
          </cell>
          <cell r="E328" t="str">
            <v>CW</v>
          </cell>
          <cell r="F328" t="str">
            <v>ST</v>
          </cell>
          <cell r="G328" t="str">
            <v>GB</v>
          </cell>
          <cell r="H328" t="str">
            <v>04-CW-ST-GB</v>
          </cell>
          <cell r="I328" t="str">
            <v>Signal Cable, CU Data Cable</v>
          </cell>
          <cell r="Q328" t="str">
            <v>EXT</v>
          </cell>
          <cell r="R328" t="str">
            <v>Placeholder</v>
          </cell>
          <cell r="U328" t="str">
            <v>MT</v>
          </cell>
          <cell r="W328">
            <v>1</v>
          </cell>
          <cell r="X328" t="str">
            <v>USD</v>
          </cell>
          <cell r="Z328">
            <v>0</v>
          </cell>
          <cell r="AA328">
            <v>0</v>
          </cell>
          <cell r="AC328">
            <v>0</v>
          </cell>
          <cell r="AD328">
            <v>0</v>
          </cell>
          <cell r="AF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P328" t="str">
            <v>X</v>
          </cell>
          <cell r="AQ328" t="str">
            <v>CF.5</v>
          </cell>
        </row>
        <row r="329">
          <cell r="B329" t="str">
            <v>Low Level Control HW</v>
          </cell>
          <cell r="C329">
            <v>0</v>
          </cell>
          <cell r="D329">
            <v>4</v>
          </cell>
          <cell r="E329" t="str">
            <v>CW</v>
          </cell>
          <cell r="F329" t="str">
            <v>ST</v>
          </cell>
          <cell r="G329" t="str">
            <v>HA</v>
          </cell>
          <cell r="H329" t="str">
            <v>04-CW-ST-HA</v>
          </cell>
          <cell r="I329" t="str">
            <v>Signal Cable, Optical Fibre Optical Cable</v>
          </cell>
          <cell r="Q329" t="str">
            <v>EXT</v>
          </cell>
          <cell r="R329" t="str">
            <v>Placeholder</v>
          </cell>
          <cell r="U329" t="str">
            <v>MT</v>
          </cell>
          <cell r="W329">
            <v>1</v>
          </cell>
          <cell r="X329" t="str">
            <v>USD</v>
          </cell>
          <cell r="Z329">
            <v>0</v>
          </cell>
          <cell r="AA329">
            <v>0</v>
          </cell>
          <cell r="AC329">
            <v>0</v>
          </cell>
          <cell r="AD329">
            <v>0</v>
          </cell>
          <cell r="AF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P329" t="str">
            <v>X</v>
          </cell>
          <cell r="AQ329" t="str">
            <v>CF.5</v>
          </cell>
        </row>
        <row r="330">
          <cell r="B330" t="str">
            <v/>
          </cell>
          <cell r="H330" t="str">
            <v>--</v>
          </cell>
          <cell r="Q330" t="str">
            <v>EXT</v>
          </cell>
          <cell r="R330" t="str">
            <v>Placeholder</v>
          </cell>
          <cell r="W330">
            <v>1</v>
          </cell>
          <cell r="X330" t="str">
            <v>USD</v>
          </cell>
          <cell r="Z330">
            <v>0</v>
          </cell>
          <cell r="AA330">
            <v>0</v>
          </cell>
          <cell r="AC330">
            <v>0</v>
          </cell>
          <cell r="AD330">
            <v>0</v>
          </cell>
          <cell r="AF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P330" t="str">
            <v>X</v>
          </cell>
          <cell r="AQ330" t="str">
            <v/>
          </cell>
        </row>
        <row r="331">
          <cell r="B331" t="str">
            <v/>
          </cell>
          <cell r="H331" t="str">
            <v>--</v>
          </cell>
          <cell r="Q331" t="str">
            <v>EXT</v>
          </cell>
          <cell r="R331" t="str">
            <v>Placeholder</v>
          </cell>
          <cell r="W331">
            <v>1</v>
          </cell>
          <cell r="X331" t="str">
            <v>USD</v>
          </cell>
          <cell r="Z331">
            <v>0</v>
          </cell>
          <cell r="AA331">
            <v>0</v>
          </cell>
          <cell r="AC331">
            <v>0</v>
          </cell>
          <cell r="AD331">
            <v>0</v>
          </cell>
          <cell r="AF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P331" t="str">
            <v>X</v>
          </cell>
          <cell r="AQ331" t="str">
            <v/>
          </cell>
        </row>
        <row r="332">
          <cell r="I332" t="str">
            <v>7.8 Commissioning Spares</v>
          </cell>
        </row>
        <row r="333">
          <cell r="B333" t="str">
            <v>Low Level Control HW</v>
          </cell>
          <cell r="C333">
            <v>0</v>
          </cell>
          <cell r="D333">
            <v>4</v>
          </cell>
          <cell r="E333" t="str">
            <v>CP</v>
          </cell>
          <cell r="F333" t="str">
            <v>ST</v>
          </cell>
          <cell r="G333" t="str">
            <v>AB</v>
          </cell>
          <cell r="H333" t="str">
            <v>04-CP-ST-AB</v>
          </cell>
          <cell r="I333" t="str">
            <v>Electrical Spare Parts</v>
          </cell>
          <cell r="Q333" t="str">
            <v>EXT</v>
          </cell>
          <cell r="R333" t="str">
            <v>Placeholder</v>
          </cell>
          <cell r="U333" t="str">
            <v>LS</v>
          </cell>
          <cell r="W333">
            <v>1</v>
          </cell>
          <cell r="X333" t="str">
            <v>USD</v>
          </cell>
          <cell r="Z333">
            <v>0</v>
          </cell>
          <cell r="AA333">
            <v>0</v>
          </cell>
          <cell r="AC333">
            <v>0</v>
          </cell>
          <cell r="AD333">
            <v>0</v>
          </cell>
          <cell r="AF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P333" t="str">
            <v>X</v>
          </cell>
          <cell r="AQ333" t="str">
            <v>CF.5</v>
          </cell>
        </row>
        <row r="334">
          <cell r="B334" t="str">
            <v>Low Level Control HW</v>
          </cell>
          <cell r="C334">
            <v>0</v>
          </cell>
          <cell r="D334">
            <v>4</v>
          </cell>
          <cell r="E334" t="str">
            <v>CP</v>
          </cell>
          <cell r="F334" t="str">
            <v>ST</v>
          </cell>
          <cell r="G334" t="str">
            <v>AC</v>
          </cell>
          <cell r="H334" t="str">
            <v>04-CP-ST-AC</v>
          </cell>
          <cell r="I334" t="str">
            <v>Control Spare Parts</v>
          </cell>
          <cell r="Q334" t="str">
            <v>EXT</v>
          </cell>
          <cell r="R334" t="str">
            <v>Placeholder</v>
          </cell>
          <cell r="U334" t="str">
            <v>LS</v>
          </cell>
          <cell r="W334">
            <v>1</v>
          </cell>
          <cell r="X334" t="str">
            <v>USD</v>
          </cell>
          <cell r="Z334">
            <v>0</v>
          </cell>
          <cell r="AA334">
            <v>0</v>
          </cell>
          <cell r="AC334">
            <v>0</v>
          </cell>
          <cell r="AD334">
            <v>0</v>
          </cell>
          <cell r="AF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P334" t="str">
            <v>X</v>
          </cell>
          <cell r="AQ334" t="str">
            <v>CF.5</v>
          </cell>
        </row>
        <row r="335">
          <cell r="B335" t="str">
            <v/>
          </cell>
          <cell r="H335" t="str">
            <v>--</v>
          </cell>
          <cell r="Q335" t="str">
            <v>EXT</v>
          </cell>
          <cell r="R335" t="str">
            <v>Placeholder</v>
          </cell>
          <cell r="W335">
            <v>1</v>
          </cell>
          <cell r="X335" t="str">
            <v>USD</v>
          </cell>
          <cell r="Z335">
            <v>0</v>
          </cell>
          <cell r="AA335">
            <v>0</v>
          </cell>
          <cell r="AC335">
            <v>0</v>
          </cell>
          <cell r="AD335">
            <v>0</v>
          </cell>
          <cell r="AF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P335" t="str">
            <v>X</v>
          </cell>
          <cell r="AQ335" t="str">
            <v/>
          </cell>
        </row>
        <row r="336">
          <cell r="B336" t="str">
            <v/>
          </cell>
          <cell r="H336" t="str">
            <v>--</v>
          </cell>
          <cell r="Q336" t="str">
            <v>EXT</v>
          </cell>
          <cell r="R336" t="str">
            <v>Placeholder</v>
          </cell>
          <cell r="W336">
            <v>1</v>
          </cell>
          <cell r="X336" t="str">
            <v>USD</v>
          </cell>
          <cell r="Z336">
            <v>0</v>
          </cell>
          <cell r="AA336">
            <v>0</v>
          </cell>
          <cell r="AC336">
            <v>0</v>
          </cell>
          <cell r="AD336">
            <v>0</v>
          </cell>
          <cell r="AF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P336" t="str">
            <v>X</v>
          </cell>
          <cell r="AQ336" t="str">
            <v/>
          </cell>
        </row>
        <row r="337">
          <cell r="B337" t="str">
            <v>Subtotal - 8</v>
          </cell>
          <cell r="I337" t="str">
            <v>8. Vision and Recognition</v>
          </cell>
        </row>
        <row r="338">
          <cell r="I338" t="str">
            <v>8.1 ATR Laser Scanner</v>
          </cell>
        </row>
        <row r="339">
          <cell r="B339" t="str">
            <v>Low Level Control HW</v>
          </cell>
          <cell r="C339">
            <v>0</v>
          </cell>
          <cell r="D339">
            <v>4</v>
          </cell>
          <cell r="E339" t="str">
            <v>CC</v>
          </cell>
          <cell r="F339" t="str">
            <v>VR</v>
          </cell>
          <cell r="G339" t="str">
            <v>01</v>
          </cell>
          <cell r="H339" t="str">
            <v>04-CC-VR-01</v>
          </cell>
          <cell r="I339" t="str">
            <v>ATR270: LCT750/8 (T &amp; L code 270°)</v>
          </cell>
          <cell r="Q339" t="str">
            <v>EXT</v>
          </cell>
          <cell r="R339" t="str">
            <v>Placeholder</v>
          </cell>
          <cell r="U339" t="str">
            <v>PC</v>
          </cell>
          <cell r="W339">
            <v>1</v>
          </cell>
          <cell r="X339" t="str">
            <v>USD</v>
          </cell>
          <cell r="Z339">
            <v>0</v>
          </cell>
          <cell r="AA339">
            <v>0</v>
          </cell>
          <cell r="AC339">
            <v>0</v>
          </cell>
          <cell r="AD339">
            <v>0</v>
          </cell>
          <cell r="AF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P339" t="str">
            <v>X</v>
          </cell>
          <cell r="AQ339" t="str">
            <v>CF.5</v>
          </cell>
        </row>
        <row r="340">
          <cell r="B340" t="str">
            <v>Low Level Control HW</v>
          </cell>
          <cell r="C340">
            <v>0</v>
          </cell>
          <cell r="D340">
            <v>4</v>
          </cell>
          <cell r="E340" t="str">
            <v>CC</v>
          </cell>
          <cell r="F340" t="str">
            <v>VR</v>
          </cell>
          <cell r="G340" t="str">
            <v>02</v>
          </cell>
          <cell r="H340" t="str">
            <v>04-CC-VR-02</v>
          </cell>
          <cell r="I340" t="str">
            <v>ATR360: LCB750/10 (T &amp; L code 360°)</v>
          </cell>
          <cell r="L340" t="str">
            <v>Offshore:
GER
(MAT)</v>
          </cell>
          <cell r="M340" t="str">
            <v>StHo</v>
          </cell>
          <cell r="N340">
            <v>44867</v>
          </cell>
          <cell r="P340" t="str">
            <v>SICK</v>
          </cell>
          <cell r="Q340" t="str">
            <v>EXT</v>
          </cell>
          <cell r="R340" t="str">
            <v>Estimate</v>
          </cell>
          <cell r="T340">
            <v>8</v>
          </cell>
          <cell r="U340" t="str">
            <v>PC</v>
          </cell>
          <cell r="V340">
            <v>19960</v>
          </cell>
          <cell r="W340">
            <v>2</v>
          </cell>
          <cell r="X340" t="str">
            <v>EUR</v>
          </cell>
          <cell r="Y340" t="str">
            <v>German MGK 1</v>
          </cell>
          <cell r="Z340">
            <v>0</v>
          </cell>
          <cell r="AA340">
            <v>0</v>
          </cell>
          <cell r="AC340">
            <v>159680</v>
          </cell>
          <cell r="AD340">
            <v>169819.68</v>
          </cell>
          <cell r="AF340">
            <v>0</v>
          </cell>
          <cell r="AH340">
            <v>169819.68</v>
          </cell>
          <cell r="AI340">
            <v>0.23709783177495308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222596.92929579568</v>
          </cell>
          <cell r="AP340" t="str">
            <v>I.1.C</v>
          </cell>
          <cell r="AQ340" t="str">
            <v>CF.5</v>
          </cell>
        </row>
        <row r="341">
          <cell r="B341" t="str">
            <v>Low Level Control HW</v>
          </cell>
          <cell r="C341">
            <v>0</v>
          </cell>
          <cell r="D341">
            <v>4</v>
          </cell>
          <cell r="E341" t="str">
            <v>CC</v>
          </cell>
          <cell r="F341" t="str">
            <v>VR</v>
          </cell>
          <cell r="G341" t="str">
            <v>02</v>
          </cell>
          <cell r="H341" t="str">
            <v>04-CC-VR-02</v>
          </cell>
          <cell r="I341" t="str">
            <v>ATR360: LCB750/12 (T &amp; L code 360°)</v>
          </cell>
          <cell r="L341" t="str">
            <v>Offshore:
GER
(MAT)</v>
          </cell>
          <cell r="M341" t="str">
            <v>StHo</v>
          </cell>
          <cell r="N341">
            <v>44867</v>
          </cell>
          <cell r="P341" t="str">
            <v>SICK</v>
          </cell>
          <cell r="Q341" t="str">
            <v>EXT</v>
          </cell>
          <cell r="R341" t="str">
            <v>Estimate</v>
          </cell>
          <cell r="T341">
            <v>2</v>
          </cell>
          <cell r="U341" t="str">
            <v>PC</v>
          </cell>
          <cell r="V341">
            <v>19960</v>
          </cell>
          <cell r="W341">
            <v>2</v>
          </cell>
          <cell r="X341" t="str">
            <v>EUR</v>
          </cell>
          <cell r="Y341" t="str">
            <v>German MGK 1</v>
          </cell>
          <cell r="Z341">
            <v>0</v>
          </cell>
          <cell r="AA341">
            <v>0</v>
          </cell>
          <cell r="AC341">
            <v>39920</v>
          </cell>
          <cell r="AD341">
            <v>42454.92</v>
          </cell>
          <cell r="AF341">
            <v>0</v>
          </cell>
          <cell r="AH341">
            <v>42454.92</v>
          </cell>
          <cell r="AI341">
            <v>0.23709783177495308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55649.23232394892</v>
          </cell>
          <cell r="AP341" t="str">
            <v>I.2</v>
          </cell>
          <cell r="AQ341" t="str">
            <v>CF.5</v>
          </cell>
        </row>
        <row r="342">
          <cell r="B342" t="str">
            <v>Low Level Control HW</v>
          </cell>
          <cell r="C342">
            <v>0</v>
          </cell>
          <cell r="D342">
            <v>4</v>
          </cell>
          <cell r="E342" t="str">
            <v>CC</v>
          </cell>
          <cell r="F342" t="str">
            <v>VR</v>
          </cell>
          <cell r="G342" t="str">
            <v>02</v>
          </cell>
          <cell r="H342" t="str">
            <v>04-CC-VR-02</v>
          </cell>
          <cell r="I342" t="str">
            <v>ATR360: LCB750/14 (T &amp; L code 360°)</v>
          </cell>
          <cell r="L342" t="str">
            <v>Offshore:
GER
(MAT)</v>
          </cell>
          <cell r="M342" t="str">
            <v>StHo</v>
          </cell>
          <cell r="N342">
            <v>44867</v>
          </cell>
          <cell r="P342" t="str">
            <v>SICK</v>
          </cell>
          <cell r="Q342" t="str">
            <v>EXT</v>
          </cell>
          <cell r="R342" t="str">
            <v>Estimate</v>
          </cell>
          <cell r="T342">
            <v>2</v>
          </cell>
          <cell r="U342" t="str">
            <v>PC</v>
          </cell>
          <cell r="V342">
            <v>19960</v>
          </cell>
          <cell r="W342">
            <v>2</v>
          </cell>
          <cell r="X342" t="str">
            <v>EUR</v>
          </cell>
          <cell r="Y342" t="str">
            <v>German MGK 1</v>
          </cell>
          <cell r="Z342">
            <v>0</v>
          </cell>
          <cell r="AA342">
            <v>0</v>
          </cell>
          <cell r="AC342">
            <v>39920</v>
          </cell>
          <cell r="AD342">
            <v>42454.92</v>
          </cell>
          <cell r="AF342">
            <v>0</v>
          </cell>
          <cell r="AH342">
            <v>42454.92</v>
          </cell>
          <cell r="AI342">
            <v>0.23709783177495308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55649.23232394892</v>
          </cell>
          <cell r="AP342" t="str">
            <v>I.5</v>
          </cell>
          <cell r="AQ342" t="str">
            <v>CF.5</v>
          </cell>
        </row>
        <row r="343">
          <cell r="B343" t="str">
            <v>Low Level Control HW</v>
          </cell>
          <cell r="C343">
            <v>0</v>
          </cell>
          <cell r="D343">
            <v>4</v>
          </cell>
          <cell r="E343" t="str">
            <v>CC</v>
          </cell>
          <cell r="F343" t="str">
            <v>VR</v>
          </cell>
          <cell r="G343" t="str">
            <v>02</v>
          </cell>
          <cell r="H343" t="str">
            <v>04-CC-VR-02</v>
          </cell>
          <cell r="I343" t="str">
            <v>ATR360: LCB750/14 (T &amp; L code 360°)</v>
          </cell>
          <cell r="J343" t="str">
            <v>for XRAYS not pat of 41000 BoQ</v>
          </cell>
          <cell r="L343" t="str">
            <v>Offshore:
GER
(MAT)</v>
          </cell>
          <cell r="M343" t="str">
            <v>StHo</v>
          </cell>
          <cell r="N343">
            <v>44867</v>
          </cell>
          <cell r="P343" t="str">
            <v>SICK</v>
          </cell>
          <cell r="Q343" t="str">
            <v>EXT</v>
          </cell>
          <cell r="R343" t="str">
            <v>Estimate</v>
          </cell>
          <cell r="T343">
            <v>24</v>
          </cell>
          <cell r="U343" t="str">
            <v>PC</v>
          </cell>
          <cell r="V343">
            <v>0</v>
          </cell>
          <cell r="W343">
            <v>2</v>
          </cell>
          <cell r="X343" t="str">
            <v>EUR</v>
          </cell>
          <cell r="Y343" t="str">
            <v>German MGK 1</v>
          </cell>
          <cell r="Z343">
            <v>0</v>
          </cell>
          <cell r="AA343">
            <v>0</v>
          </cell>
          <cell r="AC343">
            <v>0</v>
          </cell>
          <cell r="AD343">
            <v>0</v>
          </cell>
          <cell r="AF343">
            <v>0</v>
          </cell>
          <cell r="AH343">
            <v>0</v>
          </cell>
          <cell r="AI343">
            <v>0.23709783177495308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P343" t="str">
            <v>X</v>
          </cell>
          <cell r="AQ343" t="str">
            <v>CF.5</v>
          </cell>
        </row>
        <row r="344">
          <cell r="B344" t="str">
            <v>Low Level Control HW</v>
          </cell>
          <cell r="C344">
            <v>0</v>
          </cell>
          <cell r="D344">
            <v>4</v>
          </cell>
          <cell r="E344" t="str">
            <v>CC</v>
          </cell>
          <cell r="F344" t="str">
            <v>VR</v>
          </cell>
          <cell r="G344" t="str">
            <v>03</v>
          </cell>
          <cell r="H344" t="str">
            <v>04-CC-VR-03</v>
          </cell>
          <cell r="I344" t="str">
            <v>ATR90: UCB2 (T &amp; L code, 90°)</v>
          </cell>
          <cell r="Q344" t="str">
            <v>EXT</v>
          </cell>
          <cell r="R344" t="str">
            <v>Placeholder</v>
          </cell>
          <cell r="U344" t="str">
            <v>PC</v>
          </cell>
          <cell r="W344">
            <v>1</v>
          </cell>
          <cell r="X344" t="str">
            <v>USD</v>
          </cell>
          <cell r="Z344">
            <v>0</v>
          </cell>
          <cell r="AA344">
            <v>0</v>
          </cell>
          <cell r="AC344">
            <v>0</v>
          </cell>
          <cell r="AD344">
            <v>0</v>
          </cell>
          <cell r="AF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P344" t="str">
            <v>X</v>
          </cell>
          <cell r="AQ344" t="str">
            <v>CF.5</v>
          </cell>
        </row>
        <row r="345">
          <cell r="B345" t="str">
            <v>Low Level Control HW</v>
          </cell>
          <cell r="C345">
            <v>0</v>
          </cell>
          <cell r="D345">
            <v>4</v>
          </cell>
          <cell r="E345" t="str">
            <v>CC</v>
          </cell>
          <cell r="F345" t="str">
            <v>VR</v>
          </cell>
          <cell r="G345" t="str">
            <v>11</v>
          </cell>
          <cell r="H345" t="str">
            <v>04-CC-VR-11</v>
          </cell>
          <cell r="I345" t="str">
            <v>ATR270: Datalogic 270°</v>
          </cell>
          <cell r="Q345" t="str">
            <v>EXT</v>
          </cell>
          <cell r="R345" t="str">
            <v>Placeholder</v>
          </cell>
          <cell r="U345" t="str">
            <v>PC</v>
          </cell>
          <cell r="W345">
            <v>1</v>
          </cell>
          <cell r="X345" t="str">
            <v>USD</v>
          </cell>
          <cell r="Z345">
            <v>0</v>
          </cell>
          <cell r="AA345">
            <v>0</v>
          </cell>
          <cell r="AC345">
            <v>0</v>
          </cell>
          <cell r="AD345">
            <v>0</v>
          </cell>
          <cell r="AF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P345" t="str">
            <v>X</v>
          </cell>
          <cell r="AQ345" t="str">
            <v>CF.5</v>
          </cell>
        </row>
        <row r="346">
          <cell r="B346" t="str">
            <v>Low Level Control HW</v>
          </cell>
          <cell r="C346">
            <v>0</v>
          </cell>
          <cell r="D346">
            <v>4</v>
          </cell>
          <cell r="E346" t="str">
            <v>CC</v>
          </cell>
          <cell r="F346" t="str">
            <v>VR</v>
          </cell>
          <cell r="G346" t="str">
            <v>12</v>
          </cell>
          <cell r="H346" t="str">
            <v>04-CC-VR-12</v>
          </cell>
          <cell r="I346" t="str">
            <v>ATR360: Datalogic 360°</v>
          </cell>
          <cell r="Q346" t="str">
            <v>EXT</v>
          </cell>
          <cell r="R346" t="str">
            <v>Placeholder</v>
          </cell>
          <cell r="U346" t="str">
            <v>PC</v>
          </cell>
          <cell r="W346">
            <v>1</v>
          </cell>
          <cell r="X346" t="str">
            <v>USD</v>
          </cell>
          <cell r="Z346">
            <v>0</v>
          </cell>
          <cell r="AA346">
            <v>0</v>
          </cell>
          <cell r="AC346">
            <v>0</v>
          </cell>
          <cell r="AD346">
            <v>0</v>
          </cell>
          <cell r="AF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P346" t="str">
            <v>X</v>
          </cell>
          <cell r="AQ346" t="str">
            <v>CF.5</v>
          </cell>
        </row>
        <row r="347">
          <cell r="B347" t="str">
            <v/>
          </cell>
          <cell r="H347" t="str">
            <v>--</v>
          </cell>
          <cell r="Q347" t="str">
            <v>EXT</v>
          </cell>
          <cell r="R347" t="str">
            <v>Placeholder</v>
          </cell>
          <cell r="W347">
            <v>1</v>
          </cell>
          <cell r="X347" t="str">
            <v>USD</v>
          </cell>
          <cell r="Z347">
            <v>0</v>
          </cell>
          <cell r="AA347">
            <v>0</v>
          </cell>
          <cell r="AC347">
            <v>0</v>
          </cell>
          <cell r="AD347">
            <v>0</v>
          </cell>
          <cell r="AF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P347" t="str">
            <v>X</v>
          </cell>
          <cell r="AQ347" t="str">
            <v/>
          </cell>
        </row>
        <row r="348">
          <cell r="B348" t="str">
            <v/>
          </cell>
          <cell r="H348" t="str">
            <v>--</v>
          </cell>
          <cell r="Q348" t="str">
            <v>EXT</v>
          </cell>
          <cell r="R348" t="str">
            <v>Placeholder</v>
          </cell>
          <cell r="W348">
            <v>1</v>
          </cell>
          <cell r="X348" t="str">
            <v>USD</v>
          </cell>
          <cell r="Z348">
            <v>0</v>
          </cell>
          <cell r="AA348">
            <v>0</v>
          </cell>
          <cell r="AC348">
            <v>0</v>
          </cell>
          <cell r="AD348">
            <v>0</v>
          </cell>
          <cell r="AF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P348" t="str">
            <v>X</v>
          </cell>
          <cell r="AQ348" t="str">
            <v/>
          </cell>
        </row>
        <row r="349">
          <cell r="I349" t="str">
            <v>8.2 RFID Systems</v>
          </cell>
        </row>
        <row r="350">
          <cell r="B350" t="str">
            <v>Low Level Control HW</v>
          </cell>
          <cell r="C350">
            <v>0</v>
          </cell>
          <cell r="D350">
            <v>4</v>
          </cell>
          <cell r="E350" t="str">
            <v>CC</v>
          </cell>
          <cell r="F350" t="str">
            <v>VR</v>
          </cell>
          <cell r="G350" t="str">
            <v>08</v>
          </cell>
          <cell r="H350" t="str">
            <v>04-CC-VR-08</v>
          </cell>
          <cell r="I350" t="str">
            <v>RFID: Add-on RFMS pro w/o MSC800</v>
          </cell>
          <cell r="Q350" t="str">
            <v>EXT</v>
          </cell>
          <cell r="R350" t="str">
            <v>Placeholder</v>
          </cell>
          <cell r="U350" t="str">
            <v>PC</v>
          </cell>
          <cell r="W350">
            <v>1</v>
          </cell>
          <cell r="X350" t="str">
            <v>USD</v>
          </cell>
          <cell r="Z350">
            <v>0</v>
          </cell>
          <cell r="AA350">
            <v>0</v>
          </cell>
          <cell r="AC350">
            <v>0</v>
          </cell>
          <cell r="AD350">
            <v>0</v>
          </cell>
          <cell r="AF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P350" t="str">
            <v>X</v>
          </cell>
          <cell r="AQ350" t="str">
            <v>CF.5</v>
          </cell>
        </row>
        <row r="351">
          <cell r="B351" t="str">
            <v>Low Level Control HW</v>
          </cell>
          <cell r="C351">
            <v>0</v>
          </cell>
          <cell r="D351">
            <v>4</v>
          </cell>
          <cell r="E351" t="str">
            <v>CC</v>
          </cell>
          <cell r="F351" t="str">
            <v>VR</v>
          </cell>
          <cell r="G351" t="str">
            <v>09</v>
          </cell>
          <cell r="H351" t="str">
            <v>04-CC-VR-09</v>
          </cell>
          <cell r="I351" t="str">
            <v>RFID: RFMS pro (Standalone System)</v>
          </cell>
          <cell r="Q351" t="str">
            <v>EXT</v>
          </cell>
          <cell r="R351" t="str">
            <v>Placeholder</v>
          </cell>
          <cell r="U351" t="str">
            <v>PC</v>
          </cell>
          <cell r="W351">
            <v>1</v>
          </cell>
          <cell r="X351" t="str">
            <v>USD</v>
          </cell>
          <cell r="Z351">
            <v>0</v>
          </cell>
          <cell r="AA351">
            <v>0</v>
          </cell>
          <cell r="AC351">
            <v>0</v>
          </cell>
          <cell r="AD351">
            <v>0</v>
          </cell>
          <cell r="AF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P351" t="str">
            <v>X</v>
          </cell>
          <cell r="AQ351" t="str">
            <v>CF.5</v>
          </cell>
        </row>
        <row r="352">
          <cell r="B352" t="str">
            <v/>
          </cell>
          <cell r="H352" t="str">
            <v>--</v>
          </cell>
          <cell r="Q352" t="str">
            <v>EXT</v>
          </cell>
          <cell r="R352" t="str">
            <v>Placeholder</v>
          </cell>
          <cell r="W352">
            <v>1</v>
          </cell>
          <cell r="X352" t="str">
            <v>USD</v>
          </cell>
          <cell r="Z352">
            <v>0</v>
          </cell>
          <cell r="AA352">
            <v>0</v>
          </cell>
          <cell r="AC352">
            <v>0</v>
          </cell>
          <cell r="AD352">
            <v>0</v>
          </cell>
          <cell r="AF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P352" t="str">
            <v>X</v>
          </cell>
          <cell r="AQ352" t="str">
            <v/>
          </cell>
        </row>
        <row r="353">
          <cell r="B353" t="str">
            <v/>
          </cell>
          <cell r="H353" t="str">
            <v>--</v>
          </cell>
          <cell r="Q353" t="str">
            <v>EXT</v>
          </cell>
          <cell r="R353" t="str">
            <v>Placeholder</v>
          </cell>
          <cell r="W353">
            <v>1</v>
          </cell>
          <cell r="X353" t="str">
            <v>USD</v>
          </cell>
          <cell r="Z353">
            <v>0</v>
          </cell>
          <cell r="AA353">
            <v>0</v>
          </cell>
          <cell r="AC353">
            <v>0</v>
          </cell>
          <cell r="AD353">
            <v>0</v>
          </cell>
          <cell r="AF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P353" t="str">
            <v>X</v>
          </cell>
          <cell r="AQ353" t="str">
            <v/>
          </cell>
        </row>
        <row r="354">
          <cell r="I354" t="str">
            <v>8.4 Vision System</v>
          </cell>
        </row>
        <row r="355">
          <cell r="B355" t="str">
            <v>Low Level Control HW</v>
          </cell>
          <cell r="C355">
            <v>0</v>
          </cell>
          <cell r="D355">
            <v>4</v>
          </cell>
          <cell r="E355" t="str">
            <v>CC</v>
          </cell>
          <cell r="F355" t="str">
            <v>VR</v>
          </cell>
          <cell r="G355" t="str">
            <v>05</v>
          </cell>
          <cell r="H355" t="str">
            <v>04-CC-VR-05</v>
          </cell>
          <cell r="I355" t="str">
            <v>VisionSystem: Add-on ATR 270° adding 6 x Matrix cameras Lector 654</v>
          </cell>
          <cell r="Q355" t="str">
            <v>EXT</v>
          </cell>
          <cell r="R355" t="str">
            <v>Placeholder</v>
          </cell>
          <cell r="U355" t="str">
            <v>PC</v>
          </cell>
          <cell r="W355">
            <v>1</v>
          </cell>
          <cell r="X355" t="str">
            <v>USD</v>
          </cell>
          <cell r="Z355">
            <v>0</v>
          </cell>
          <cell r="AA355">
            <v>0</v>
          </cell>
          <cell r="AC355">
            <v>0</v>
          </cell>
          <cell r="AD355">
            <v>0</v>
          </cell>
          <cell r="AF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P355" t="str">
            <v>X</v>
          </cell>
          <cell r="AQ355" t="str">
            <v>CF.5</v>
          </cell>
        </row>
        <row r="356">
          <cell r="B356" t="str">
            <v>Low Level Control HW</v>
          </cell>
          <cell r="C356">
            <v>0</v>
          </cell>
          <cell r="D356">
            <v>4</v>
          </cell>
          <cell r="E356" t="str">
            <v>CC</v>
          </cell>
          <cell r="F356" t="str">
            <v>VR</v>
          </cell>
          <cell r="G356" t="str">
            <v>05</v>
          </cell>
          <cell r="H356" t="str">
            <v>04-CC-VR-05</v>
          </cell>
          <cell r="I356" t="str">
            <v>VisionSystem: Add-on ATR 360° adding 8 x Matrix cameras Lector 654</v>
          </cell>
          <cell r="Q356" t="str">
            <v>EXT</v>
          </cell>
          <cell r="R356" t="str">
            <v>Placeholder</v>
          </cell>
          <cell r="U356" t="str">
            <v>PC</v>
          </cell>
          <cell r="W356">
            <v>1</v>
          </cell>
          <cell r="X356" t="str">
            <v>USD</v>
          </cell>
          <cell r="Z356">
            <v>0</v>
          </cell>
          <cell r="AA356">
            <v>0</v>
          </cell>
          <cell r="AC356">
            <v>0</v>
          </cell>
          <cell r="AD356">
            <v>0</v>
          </cell>
          <cell r="AF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P356" t="str">
            <v>X</v>
          </cell>
          <cell r="AQ356" t="str">
            <v>CF.5</v>
          </cell>
        </row>
        <row r="357">
          <cell r="B357" t="str">
            <v>Low Level Control HW</v>
          </cell>
          <cell r="C357">
            <v>0</v>
          </cell>
          <cell r="D357">
            <v>4</v>
          </cell>
          <cell r="E357" t="str">
            <v>CC</v>
          </cell>
          <cell r="F357" t="str">
            <v>VR</v>
          </cell>
          <cell r="G357" t="str">
            <v>05</v>
          </cell>
          <cell r="H357" t="str">
            <v>04-CC-VR-05</v>
          </cell>
          <cell r="I357" t="str">
            <v>VisionSystem: Vario Vision ATR1000</v>
          </cell>
          <cell r="Q357" t="str">
            <v>EXT</v>
          </cell>
          <cell r="R357" t="str">
            <v>Placeholder</v>
          </cell>
          <cell r="U357" t="str">
            <v>PC</v>
          </cell>
          <cell r="W357">
            <v>1</v>
          </cell>
          <cell r="X357" t="str">
            <v>USD</v>
          </cell>
          <cell r="Z357">
            <v>0</v>
          </cell>
          <cell r="AA357">
            <v>0</v>
          </cell>
          <cell r="AC357">
            <v>0</v>
          </cell>
          <cell r="AD357">
            <v>0</v>
          </cell>
          <cell r="AF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P357" t="str">
            <v>X</v>
          </cell>
          <cell r="AQ357" t="str">
            <v>CF.5</v>
          </cell>
        </row>
        <row r="358">
          <cell r="B358" t="str">
            <v>Low Level Control HW</v>
          </cell>
          <cell r="C358">
            <v>0</v>
          </cell>
          <cell r="D358">
            <v>4</v>
          </cell>
          <cell r="E358" t="str">
            <v>CC</v>
          </cell>
          <cell r="F358" t="str">
            <v>VR</v>
          </cell>
          <cell r="G358" t="str">
            <v>06</v>
          </cell>
          <cell r="H358" t="str">
            <v>04-CC-VR-06</v>
          </cell>
          <cell r="I358" t="str">
            <v>Baggage Vision Basic</v>
          </cell>
          <cell r="Q358" t="str">
            <v>EXT</v>
          </cell>
          <cell r="R358" t="str">
            <v>Placeholder</v>
          </cell>
          <cell r="U358" t="str">
            <v>PC</v>
          </cell>
          <cell r="W358">
            <v>1</v>
          </cell>
          <cell r="X358" t="str">
            <v>USD</v>
          </cell>
          <cell r="Z358">
            <v>0</v>
          </cell>
          <cell r="AA358">
            <v>0</v>
          </cell>
          <cell r="AC358">
            <v>0</v>
          </cell>
          <cell r="AD358">
            <v>0</v>
          </cell>
          <cell r="AF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P358" t="str">
            <v>X</v>
          </cell>
          <cell r="AQ358" t="str">
            <v>CF.5</v>
          </cell>
        </row>
        <row r="359">
          <cell r="B359" t="str">
            <v>Low Level Control HW</v>
          </cell>
          <cell r="C359">
            <v>0</v>
          </cell>
          <cell r="D359">
            <v>4</v>
          </cell>
          <cell r="E359" t="str">
            <v>CC</v>
          </cell>
          <cell r="F359" t="str">
            <v>VR</v>
          </cell>
          <cell r="G359" t="str">
            <v>06</v>
          </cell>
          <cell r="H359" t="str">
            <v>04-CC-VR-06</v>
          </cell>
          <cell r="I359" t="str">
            <v>Baggage Vision Premium</v>
          </cell>
          <cell r="Q359" t="str">
            <v>EXT</v>
          </cell>
          <cell r="R359" t="str">
            <v>Placeholder</v>
          </cell>
          <cell r="U359" t="str">
            <v>PC</v>
          </cell>
          <cell r="W359">
            <v>1</v>
          </cell>
          <cell r="X359" t="str">
            <v>USD</v>
          </cell>
          <cell r="Z359">
            <v>0</v>
          </cell>
          <cell r="AA359">
            <v>0</v>
          </cell>
          <cell r="AC359">
            <v>0</v>
          </cell>
          <cell r="AD359">
            <v>0</v>
          </cell>
          <cell r="AF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P359" t="str">
            <v>X</v>
          </cell>
          <cell r="AQ359" t="str">
            <v>CF.5</v>
          </cell>
        </row>
        <row r="360">
          <cell r="B360" t="str">
            <v>Low Level Control HW</v>
          </cell>
          <cell r="C360">
            <v>0</v>
          </cell>
          <cell r="D360">
            <v>4</v>
          </cell>
          <cell r="E360" t="str">
            <v>CC</v>
          </cell>
          <cell r="F360" t="str">
            <v>VR</v>
          </cell>
          <cell r="G360" t="str">
            <v>06</v>
          </cell>
          <cell r="H360" t="str">
            <v>04-CC-VR-06</v>
          </cell>
          <cell r="I360" t="str">
            <v>Vario Vision BVI1000</v>
          </cell>
          <cell r="Q360" t="str">
            <v>EXT</v>
          </cell>
          <cell r="R360" t="str">
            <v>Placeholder</v>
          </cell>
          <cell r="U360" t="str">
            <v>PC</v>
          </cell>
          <cell r="W360">
            <v>1</v>
          </cell>
          <cell r="X360" t="str">
            <v>USD</v>
          </cell>
          <cell r="Z360">
            <v>0</v>
          </cell>
          <cell r="AA360">
            <v>0</v>
          </cell>
          <cell r="AC360">
            <v>0</v>
          </cell>
          <cell r="AD360">
            <v>0</v>
          </cell>
          <cell r="AF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P360" t="str">
            <v>X</v>
          </cell>
          <cell r="AQ360" t="str">
            <v>CF.5</v>
          </cell>
        </row>
        <row r="361">
          <cell r="B361" t="str">
            <v/>
          </cell>
          <cell r="H361" t="str">
            <v>--</v>
          </cell>
          <cell r="Q361" t="str">
            <v>EXT</v>
          </cell>
          <cell r="R361" t="str">
            <v>Placeholder</v>
          </cell>
          <cell r="W361">
            <v>1</v>
          </cell>
          <cell r="X361" t="str">
            <v>USD</v>
          </cell>
          <cell r="Z361">
            <v>0</v>
          </cell>
          <cell r="AA361">
            <v>0</v>
          </cell>
          <cell r="AC361">
            <v>0</v>
          </cell>
          <cell r="AD361">
            <v>0</v>
          </cell>
          <cell r="AF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P361" t="str">
            <v>X</v>
          </cell>
          <cell r="AQ361" t="str">
            <v/>
          </cell>
        </row>
        <row r="362">
          <cell r="B362" t="str">
            <v/>
          </cell>
          <cell r="H362" t="str">
            <v>--</v>
          </cell>
          <cell r="Q362" t="str">
            <v>EXT</v>
          </cell>
          <cell r="R362" t="str">
            <v>Placeholder</v>
          </cell>
          <cell r="W362">
            <v>1</v>
          </cell>
          <cell r="X362" t="str">
            <v>USD</v>
          </cell>
          <cell r="Z362">
            <v>0</v>
          </cell>
          <cell r="AA362">
            <v>0</v>
          </cell>
          <cell r="AC362">
            <v>0</v>
          </cell>
          <cell r="AD362">
            <v>0</v>
          </cell>
          <cell r="AF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P362" t="str">
            <v>X</v>
          </cell>
          <cell r="AQ362" t="str">
            <v/>
          </cell>
        </row>
        <row r="363">
          <cell r="I363" t="str">
            <v>8.5 Services</v>
          </cell>
        </row>
        <row r="364">
          <cell r="B364" t="str">
            <v>Low Level Control HW</v>
          </cell>
          <cell r="C364">
            <v>0</v>
          </cell>
          <cell r="D364">
            <v>4</v>
          </cell>
          <cell r="E364" t="str">
            <v>CC</v>
          </cell>
          <cell r="F364" t="str">
            <v>VR</v>
          </cell>
          <cell r="G364">
            <v>90</v>
          </cell>
          <cell r="H364" t="str">
            <v>04-CC-VR-90</v>
          </cell>
          <cell r="I364" t="str">
            <v>Support per Project for standard system Includes techn. clarification, coordination, documentation</v>
          </cell>
          <cell r="Q364" t="str">
            <v>EXT</v>
          </cell>
          <cell r="R364" t="str">
            <v>Placeholder</v>
          </cell>
          <cell r="U364" t="str">
            <v>PC</v>
          </cell>
          <cell r="W364">
            <v>1</v>
          </cell>
          <cell r="X364" t="str">
            <v>USD</v>
          </cell>
          <cell r="Z364">
            <v>0</v>
          </cell>
          <cell r="AA364">
            <v>0</v>
          </cell>
          <cell r="AC364">
            <v>0</v>
          </cell>
          <cell r="AD364">
            <v>0</v>
          </cell>
          <cell r="AF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P364" t="str">
            <v>X</v>
          </cell>
          <cell r="AQ364" t="str">
            <v>CF.5</v>
          </cell>
        </row>
        <row r="365">
          <cell r="B365" t="str">
            <v>Low Level Control HW</v>
          </cell>
          <cell r="C365">
            <v>0</v>
          </cell>
          <cell r="D365">
            <v>4</v>
          </cell>
          <cell r="E365" t="str">
            <v>CC</v>
          </cell>
          <cell r="F365" t="str">
            <v>VR</v>
          </cell>
          <cell r="G365" t="str">
            <v>91</v>
          </cell>
          <cell r="H365" t="str">
            <v>04-CC-VR-91</v>
          </cell>
          <cell r="I365" t="str">
            <v>Diagnostic Software Vizualisation Platform / Package Analytics</v>
          </cell>
          <cell r="Q365" t="str">
            <v>EXT</v>
          </cell>
          <cell r="R365" t="str">
            <v>Placeholder</v>
          </cell>
          <cell r="U365" t="str">
            <v>PC</v>
          </cell>
          <cell r="W365">
            <v>1</v>
          </cell>
          <cell r="X365" t="str">
            <v>USD</v>
          </cell>
          <cell r="Z365">
            <v>0</v>
          </cell>
          <cell r="AA365">
            <v>0</v>
          </cell>
          <cell r="AC365">
            <v>0</v>
          </cell>
          <cell r="AD365">
            <v>0</v>
          </cell>
          <cell r="AF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P365" t="str">
            <v>X</v>
          </cell>
          <cell r="AQ365" t="str">
            <v>CF.5</v>
          </cell>
        </row>
        <row r="366">
          <cell r="B366" t="str">
            <v>Low Level Control HW</v>
          </cell>
          <cell r="C366">
            <v>0</v>
          </cell>
          <cell r="D366">
            <v>4</v>
          </cell>
          <cell r="E366" t="str">
            <v>CC</v>
          </cell>
          <cell r="F366" t="str">
            <v>VR</v>
          </cell>
          <cell r="G366" t="str">
            <v>92</v>
          </cell>
          <cell r="H366" t="str">
            <v>04-CC-VR-92</v>
          </cell>
          <cell r="I366" t="str">
            <v xml:space="preserve">Remote Diagnostic Tool </v>
          </cell>
          <cell r="Q366" t="str">
            <v>EXT</v>
          </cell>
          <cell r="R366" t="str">
            <v>Placeholder</v>
          </cell>
          <cell r="U366" t="str">
            <v>PC</v>
          </cell>
          <cell r="W366">
            <v>1</v>
          </cell>
          <cell r="X366" t="str">
            <v>USD</v>
          </cell>
          <cell r="Z366">
            <v>0</v>
          </cell>
          <cell r="AA366">
            <v>0</v>
          </cell>
          <cell r="AC366">
            <v>0</v>
          </cell>
          <cell r="AD366">
            <v>0</v>
          </cell>
          <cell r="AF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P366" t="str">
            <v>X</v>
          </cell>
          <cell r="AQ366" t="str">
            <v>CF.5</v>
          </cell>
        </row>
        <row r="367">
          <cell r="B367" t="str">
            <v>Low Level Control HW</v>
          </cell>
          <cell r="C367">
            <v>0</v>
          </cell>
          <cell r="D367">
            <v>4</v>
          </cell>
          <cell r="E367" t="str">
            <v>CC</v>
          </cell>
          <cell r="F367" t="str">
            <v>VR</v>
          </cell>
          <cell r="G367" t="str">
            <v>93</v>
          </cell>
          <cell r="H367" t="str">
            <v>04-CC-VR-93</v>
          </cell>
          <cell r="I367" t="str">
            <v xml:space="preserve">Working Hour for Onsite Works </v>
          </cell>
          <cell r="Q367" t="str">
            <v>EXT</v>
          </cell>
          <cell r="R367" t="str">
            <v>Placeholder</v>
          </cell>
          <cell r="U367" t="str">
            <v>PC</v>
          </cell>
          <cell r="W367">
            <v>1</v>
          </cell>
          <cell r="X367" t="str">
            <v>USD</v>
          </cell>
          <cell r="Z367">
            <v>0</v>
          </cell>
          <cell r="AA367">
            <v>0</v>
          </cell>
          <cell r="AC367">
            <v>0</v>
          </cell>
          <cell r="AD367">
            <v>0</v>
          </cell>
          <cell r="AF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P367" t="str">
            <v>X</v>
          </cell>
          <cell r="AQ367" t="str">
            <v>CF.5</v>
          </cell>
        </row>
        <row r="368">
          <cell r="B368" t="str">
            <v>Low Level Control HW</v>
          </cell>
          <cell r="C368">
            <v>0</v>
          </cell>
          <cell r="D368">
            <v>4</v>
          </cell>
          <cell r="E368" t="str">
            <v>CC</v>
          </cell>
          <cell r="F368" t="str">
            <v>VR</v>
          </cell>
          <cell r="G368" t="str">
            <v>94</v>
          </cell>
          <cell r="H368" t="str">
            <v>04-CC-VR-94</v>
          </cell>
          <cell r="I368" t="str">
            <v xml:space="preserve">Training of Maintenance Personal </v>
          </cell>
          <cell r="Q368" t="str">
            <v>EXT</v>
          </cell>
          <cell r="R368" t="str">
            <v>Placeholder</v>
          </cell>
          <cell r="U368" t="str">
            <v>PC</v>
          </cell>
          <cell r="W368">
            <v>1</v>
          </cell>
          <cell r="X368" t="str">
            <v>USD</v>
          </cell>
          <cell r="Z368">
            <v>0</v>
          </cell>
          <cell r="AA368">
            <v>0</v>
          </cell>
          <cell r="AC368">
            <v>0</v>
          </cell>
          <cell r="AD368">
            <v>0</v>
          </cell>
          <cell r="AF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P368" t="str">
            <v>X</v>
          </cell>
          <cell r="AQ368" t="str">
            <v>CF.5</v>
          </cell>
        </row>
        <row r="369">
          <cell r="B369" t="str">
            <v>Low Level Control HW</v>
          </cell>
          <cell r="C369">
            <v>0</v>
          </cell>
          <cell r="D369">
            <v>4</v>
          </cell>
          <cell r="E369" t="str">
            <v>CC</v>
          </cell>
          <cell r="F369" t="str">
            <v>VR</v>
          </cell>
          <cell r="G369" t="str">
            <v>95</v>
          </cell>
          <cell r="H369" t="str">
            <v>04-CC-VR-95</v>
          </cell>
          <cell r="I369" t="str">
            <v xml:space="preserve">Maintenance and Service per System per Year (w/o travel costs) </v>
          </cell>
          <cell r="Q369" t="str">
            <v>EXT</v>
          </cell>
          <cell r="R369" t="str">
            <v>Placeholder</v>
          </cell>
          <cell r="U369" t="str">
            <v>PC</v>
          </cell>
          <cell r="W369">
            <v>1</v>
          </cell>
          <cell r="X369" t="str">
            <v>USD</v>
          </cell>
          <cell r="Z369">
            <v>0</v>
          </cell>
          <cell r="AA369">
            <v>0</v>
          </cell>
          <cell r="AC369">
            <v>0</v>
          </cell>
          <cell r="AD369">
            <v>0</v>
          </cell>
          <cell r="AF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P369" t="str">
            <v>X</v>
          </cell>
          <cell r="AQ369" t="str">
            <v>CF.5</v>
          </cell>
        </row>
        <row r="370">
          <cell r="B370" t="str">
            <v/>
          </cell>
          <cell r="H370" t="str">
            <v>--</v>
          </cell>
          <cell r="Q370" t="str">
            <v>EXT</v>
          </cell>
          <cell r="R370" t="str">
            <v>Placeholder</v>
          </cell>
          <cell r="W370">
            <v>1</v>
          </cell>
          <cell r="X370" t="str">
            <v>USD</v>
          </cell>
          <cell r="Z370">
            <v>0</v>
          </cell>
          <cell r="AA370">
            <v>0</v>
          </cell>
          <cell r="AC370">
            <v>0</v>
          </cell>
          <cell r="AD370">
            <v>0</v>
          </cell>
          <cell r="AF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P370" t="str">
            <v>X</v>
          </cell>
          <cell r="AQ370" t="str">
            <v/>
          </cell>
        </row>
        <row r="371">
          <cell r="B371" t="str">
            <v/>
          </cell>
          <cell r="H371" t="str">
            <v>--</v>
          </cell>
          <cell r="Q371" t="str">
            <v>EXT</v>
          </cell>
          <cell r="R371" t="str">
            <v>Placeholder</v>
          </cell>
          <cell r="W371">
            <v>1</v>
          </cell>
          <cell r="X371" t="str">
            <v>USD</v>
          </cell>
          <cell r="Z371">
            <v>0</v>
          </cell>
          <cell r="AA371">
            <v>0</v>
          </cell>
          <cell r="AC371">
            <v>0</v>
          </cell>
          <cell r="AD371">
            <v>0</v>
          </cell>
          <cell r="AF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P371" t="str">
            <v>X</v>
          </cell>
          <cell r="AQ371" t="str">
            <v/>
          </cell>
        </row>
        <row r="372">
          <cell r="I372" t="str">
            <v>8.6 Commissioning Spares</v>
          </cell>
        </row>
        <row r="373">
          <cell r="B373" t="str">
            <v>Low Level Control HW</v>
          </cell>
          <cell r="C373">
            <v>0</v>
          </cell>
          <cell r="D373">
            <v>4</v>
          </cell>
          <cell r="E373" t="str">
            <v>CP</v>
          </cell>
          <cell r="F373" t="str">
            <v>VR</v>
          </cell>
          <cell r="G373" t="str">
            <v>AC</v>
          </cell>
          <cell r="H373" t="str">
            <v>04-CP-VR-AC</v>
          </cell>
          <cell r="I373" t="str">
            <v>Electrical Spare Parts</v>
          </cell>
          <cell r="Q373" t="str">
            <v>EXT</v>
          </cell>
          <cell r="R373" t="str">
            <v>Placeholder</v>
          </cell>
          <cell r="U373" t="str">
            <v>PC</v>
          </cell>
          <cell r="W373">
            <v>1</v>
          </cell>
          <cell r="X373" t="str">
            <v>USD</v>
          </cell>
          <cell r="Z373">
            <v>0</v>
          </cell>
          <cell r="AA373">
            <v>0</v>
          </cell>
          <cell r="AC373">
            <v>0</v>
          </cell>
          <cell r="AD373">
            <v>0</v>
          </cell>
          <cell r="AF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P373" t="str">
            <v>X</v>
          </cell>
          <cell r="AQ373" t="str">
            <v>CF.5</v>
          </cell>
        </row>
        <row r="374">
          <cell r="B374" t="str">
            <v>Low Level Control HW</v>
          </cell>
          <cell r="C374">
            <v>0</v>
          </cell>
          <cell r="D374">
            <v>4</v>
          </cell>
          <cell r="E374" t="str">
            <v>CP</v>
          </cell>
          <cell r="F374" t="str">
            <v>VR</v>
          </cell>
          <cell r="G374" t="str">
            <v>AB</v>
          </cell>
          <cell r="H374" t="str">
            <v>04-CP-VR-AB</v>
          </cell>
          <cell r="I374" t="str">
            <v>Control Spare Parts</v>
          </cell>
          <cell r="Q374" t="str">
            <v>EXT</v>
          </cell>
          <cell r="R374" t="str">
            <v>Placeholder</v>
          </cell>
          <cell r="U374" t="str">
            <v>PC</v>
          </cell>
          <cell r="W374">
            <v>1</v>
          </cell>
          <cell r="X374" t="str">
            <v>USD</v>
          </cell>
          <cell r="Z374">
            <v>0</v>
          </cell>
          <cell r="AA374">
            <v>0</v>
          </cell>
          <cell r="AC374">
            <v>0</v>
          </cell>
          <cell r="AD374">
            <v>0</v>
          </cell>
          <cell r="AF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P374" t="str">
            <v>X</v>
          </cell>
          <cell r="AQ374" t="str">
            <v>CF.5</v>
          </cell>
        </row>
        <row r="375">
          <cell r="B375" t="str">
            <v/>
          </cell>
          <cell r="H375" t="str">
            <v>--</v>
          </cell>
          <cell r="Q375" t="str">
            <v>EXT</v>
          </cell>
          <cell r="R375" t="str">
            <v>Placeholder</v>
          </cell>
          <cell r="W375">
            <v>1</v>
          </cell>
          <cell r="X375" t="str">
            <v>USD</v>
          </cell>
          <cell r="Z375">
            <v>0</v>
          </cell>
          <cell r="AA375">
            <v>0</v>
          </cell>
          <cell r="AC375">
            <v>0</v>
          </cell>
          <cell r="AD375">
            <v>0</v>
          </cell>
          <cell r="AF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P375" t="str">
            <v>X</v>
          </cell>
          <cell r="AQ375" t="str">
            <v/>
          </cell>
        </row>
        <row r="376">
          <cell r="B376" t="str">
            <v/>
          </cell>
          <cell r="H376" t="str">
            <v>--</v>
          </cell>
          <cell r="Q376" t="str">
            <v>EXT</v>
          </cell>
          <cell r="R376" t="str">
            <v>Placeholder</v>
          </cell>
          <cell r="W376">
            <v>1</v>
          </cell>
          <cell r="X376" t="str">
            <v>USD</v>
          </cell>
          <cell r="Z376">
            <v>0</v>
          </cell>
          <cell r="AA376">
            <v>0</v>
          </cell>
          <cell r="AC376">
            <v>0</v>
          </cell>
          <cell r="AD376">
            <v>0</v>
          </cell>
          <cell r="AF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P376" t="str">
            <v>X</v>
          </cell>
          <cell r="AQ376" t="str">
            <v/>
          </cell>
        </row>
        <row r="377">
          <cell r="I377" t="str">
            <v>8.7 Inital Spare Part Package / Onsite Spares</v>
          </cell>
        </row>
        <row r="378">
          <cell r="B378" t="str">
            <v>Operation &amp; Maintenance - One-Time Cost</v>
          </cell>
          <cell r="C378" t="str">
            <v>W</v>
          </cell>
          <cell r="D378">
            <v>4</v>
          </cell>
          <cell r="E378" t="str">
            <v>CI</v>
          </cell>
          <cell r="F378" t="str">
            <v>VR</v>
          </cell>
          <cell r="G378" t="str">
            <v>AC</v>
          </cell>
          <cell r="H378" t="str">
            <v>W4-CI-VR-AC</v>
          </cell>
          <cell r="I378" t="str">
            <v>Electrical Spare Parts</v>
          </cell>
          <cell r="Q378" t="str">
            <v>EXT</v>
          </cell>
          <cell r="R378" t="str">
            <v>Placeholder</v>
          </cell>
          <cell r="U378" t="str">
            <v>PC</v>
          </cell>
          <cell r="W378">
            <v>1</v>
          </cell>
          <cell r="X378" t="str">
            <v>USD</v>
          </cell>
          <cell r="Z378">
            <v>0</v>
          </cell>
          <cell r="AA378">
            <v>0</v>
          </cell>
          <cell r="AC378">
            <v>0</v>
          </cell>
          <cell r="AD378">
            <v>0</v>
          </cell>
          <cell r="AF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P378" t="str">
            <v>X</v>
          </cell>
          <cell r="AQ378" t="str">
            <v>CF.15</v>
          </cell>
        </row>
        <row r="379">
          <cell r="B379" t="str">
            <v>Operation &amp; Maintenance - One-Time Cost</v>
          </cell>
          <cell r="C379" t="str">
            <v>W</v>
          </cell>
          <cell r="D379">
            <v>4</v>
          </cell>
          <cell r="E379" t="str">
            <v>CI</v>
          </cell>
          <cell r="F379" t="str">
            <v>VR</v>
          </cell>
          <cell r="G379" t="str">
            <v>AB</v>
          </cell>
          <cell r="H379" t="str">
            <v>W4-CI-VR-AB</v>
          </cell>
          <cell r="I379" t="str">
            <v>Control Spare Parts</v>
          </cell>
          <cell r="Q379" t="str">
            <v>EXT</v>
          </cell>
          <cell r="R379" t="str">
            <v>Placeholder</v>
          </cell>
          <cell r="U379" t="str">
            <v>PC</v>
          </cell>
          <cell r="W379">
            <v>1</v>
          </cell>
          <cell r="X379" t="str">
            <v>USD</v>
          </cell>
          <cell r="Z379">
            <v>0</v>
          </cell>
          <cell r="AA379">
            <v>0</v>
          </cell>
          <cell r="AC379">
            <v>0</v>
          </cell>
          <cell r="AD379">
            <v>0</v>
          </cell>
          <cell r="AF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P379" t="str">
            <v>X</v>
          </cell>
          <cell r="AQ379" t="str">
            <v>CF.15</v>
          </cell>
        </row>
        <row r="380">
          <cell r="B380" t="str">
            <v/>
          </cell>
          <cell r="H380" t="str">
            <v>--</v>
          </cell>
          <cell r="Q380" t="str">
            <v>EXT</v>
          </cell>
          <cell r="R380" t="str">
            <v>Placeholder</v>
          </cell>
          <cell r="W380">
            <v>1</v>
          </cell>
          <cell r="X380" t="str">
            <v>USD</v>
          </cell>
          <cell r="Z380">
            <v>0</v>
          </cell>
          <cell r="AA380">
            <v>0</v>
          </cell>
          <cell r="AC380">
            <v>0</v>
          </cell>
          <cell r="AD380">
            <v>0</v>
          </cell>
          <cell r="AF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P380" t="str">
            <v>X</v>
          </cell>
          <cell r="AQ380" t="str">
            <v/>
          </cell>
        </row>
        <row r="381">
          <cell r="B381" t="str">
            <v/>
          </cell>
          <cell r="H381" t="str">
            <v>--</v>
          </cell>
          <cell r="Q381" t="str">
            <v>EXT</v>
          </cell>
          <cell r="R381" t="str">
            <v>Placeholder</v>
          </cell>
          <cell r="W381">
            <v>1</v>
          </cell>
          <cell r="X381" t="str">
            <v>USD</v>
          </cell>
          <cell r="Z381">
            <v>0</v>
          </cell>
          <cell r="AA381">
            <v>0</v>
          </cell>
          <cell r="AC381">
            <v>0</v>
          </cell>
          <cell r="AD381">
            <v>0</v>
          </cell>
          <cell r="AF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P381" t="str">
            <v>X</v>
          </cell>
          <cell r="AQ381" t="str">
            <v/>
          </cell>
        </row>
        <row r="382">
          <cell r="B382" t="str">
            <v>Subtotal - 9</v>
          </cell>
          <cell r="I382" t="str">
            <v>9. Power Distribution System</v>
          </cell>
        </row>
        <row r="383">
          <cell r="I383" t="str">
            <v>9.1 Board and Panels</v>
          </cell>
        </row>
        <row r="384">
          <cell r="B384" t="str">
            <v>Low Level Control HW</v>
          </cell>
          <cell r="C384">
            <v>0</v>
          </cell>
          <cell r="D384">
            <v>4</v>
          </cell>
          <cell r="E384" t="str">
            <v>PU</v>
          </cell>
          <cell r="F384" t="str">
            <v>O_</v>
          </cell>
          <cell r="G384" t="str">
            <v>CA</v>
          </cell>
          <cell r="H384" t="str">
            <v>04-PU-O_-CA</v>
          </cell>
          <cell r="I384" t="str">
            <v>Power Distribution Panel (PDP)</v>
          </cell>
          <cell r="Q384" t="str">
            <v>EXT</v>
          </cell>
          <cell r="R384" t="str">
            <v>Placeholder</v>
          </cell>
          <cell r="U384" t="str">
            <v>PC</v>
          </cell>
          <cell r="W384">
            <v>1</v>
          </cell>
          <cell r="X384" t="str">
            <v>USD</v>
          </cell>
          <cell r="Z384">
            <v>0</v>
          </cell>
          <cell r="AA384">
            <v>0</v>
          </cell>
          <cell r="AC384">
            <v>0</v>
          </cell>
          <cell r="AD384">
            <v>0</v>
          </cell>
          <cell r="AF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P384" t="str">
            <v>X</v>
          </cell>
          <cell r="AQ384" t="str">
            <v>CF.5</v>
          </cell>
        </row>
        <row r="385">
          <cell r="B385" t="str">
            <v/>
          </cell>
          <cell r="H385" t="str">
            <v>--</v>
          </cell>
          <cell r="Q385" t="str">
            <v>EXT</v>
          </cell>
          <cell r="R385" t="str">
            <v>Placeholder</v>
          </cell>
          <cell r="W385">
            <v>1</v>
          </cell>
          <cell r="X385" t="str">
            <v>USD</v>
          </cell>
          <cell r="Z385">
            <v>0</v>
          </cell>
          <cell r="AA385">
            <v>0</v>
          </cell>
          <cell r="AC385">
            <v>0</v>
          </cell>
          <cell r="AD385">
            <v>0</v>
          </cell>
          <cell r="AF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P385" t="str">
            <v>X</v>
          </cell>
          <cell r="AQ385" t="str">
            <v/>
          </cell>
        </row>
        <row r="386">
          <cell r="B386" t="str">
            <v/>
          </cell>
          <cell r="H386" t="str">
            <v>--</v>
          </cell>
          <cell r="Q386" t="str">
            <v>EXT</v>
          </cell>
          <cell r="R386" t="str">
            <v>Placeholder</v>
          </cell>
          <cell r="W386">
            <v>1</v>
          </cell>
          <cell r="X386" t="str">
            <v>USD</v>
          </cell>
          <cell r="Z386">
            <v>0</v>
          </cell>
          <cell r="AA386">
            <v>0</v>
          </cell>
          <cell r="AC386">
            <v>0</v>
          </cell>
          <cell r="AD386">
            <v>0</v>
          </cell>
          <cell r="AF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P386" t="str">
            <v>X</v>
          </cell>
          <cell r="AQ386" t="str">
            <v/>
          </cell>
        </row>
        <row r="387">
          <cell r="I387" t="str">
            <v>9.2 Cable Supporting System</v>
          </cell>
        </row>
        <row r="388">
          <cell r="B388" t="str">
            <v>Low Level Control HW</v>
          </cell>
          <cell r="C388">
            <v>0</v>
          </cell>
          <cell r="D388">
            <v>4</v>
          </cell>
          <cell r="E388" t="str">
            <v>PL</v>
          </cell>
          <cell r="F388" t="str">
            <v>O_</v>
          </cell>
          <cell r="G388" t="str">
            <v>BU</v>
          </cell>
          <cell r="H388" t="str">
            <v>04-PL-O_-BU</v>
          </cell>
          <cell r="I388" t="str">
            <v>Cable Tray Cable Rack, Cable Trunking, Cable Ladder, Conduit</v>
          </cell>
          <cell r="Q388" t="str">
            <v>EXT</v>
          </cell>
          <cell r="R388" t="str">
            <v>Placeholder</v>
          </cell>
          <cell r="U388" t="str">
            <v>MT</v>
          </cell>
          <cell r="W388">
            <v>1</v>
          </cell>
          <cell r="X388" t="str">
            <v>USD</v>
          </cell>
          <cell r="Z388">
            <v>0</v>
          </cell>
          <cell r="AA388">
            <v>0</v>
          </cell>
          <cell r="AC388">
            <v>0</v>
          </cell>
          <cell r="AD388">
            <v>0</v>
          </cell>
          <cell r="AF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P388" t="str">
            <v>X</v>
          </cell>
          <cell r="AQ388" t="str">
            <v>CF.5</v>
          </cell>
        </row>
        <row r="389">
          <cell r="B389" t="str">
            <v/>
          </cell>
          <cell r="H389" t="str">
            <v>--</v>
          </cell>
          <cell r="Q389" t="str">
            <v>EXT</v>
          </cell>
          <cell r="R389" t="str">
            <v>Placeholder</v>
          </cell>
          <cell r="W389">
            <v>1</v>
          </cell>
          <cell r="X389" t="str">
            <v>USD</v>
          </cell>
          <cell r="Z389">
            <v>0</v>
          </cell>
          <cell r="AA389">
            <v>0</v>
          </cell>
          <cell r="AC389">
            <v>0</v>
          </cell>
          <cell r="AD389">
            <v>0</v>
          </cell>
          <cell r="AF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P389" t="str">
            <v>X</v>
          </cell>
          <cell r="AQ389" t="str">
            <v/>
          </cell>
        </row>
        <row r="390">
          <cell r="B390" t="str">
            <v/>
          </cell>
          <cell r="H390" t="str">
            <v>--</v>
          </cell>
          <cell r="Q390" t="str">
            <v>EXT</v>
          </cell>
          <cell r="R390" t="str">
            <v>Placeholder</v>
          </cell>
          <cell r="W390">
            <v>1</v>
          </cell>
          <cell r="X390" t="str">
            <v>USD</v>
          </cell>
          <cell r="Z390">
            <v>0</v>
          </cell>
          <cell r="AA390">
            <v>0</v>
          </cell>
          <cell r="AC390">
            <v>0</v>
          </cell>
          <cell r="AD390">
            <v>0</v>
          </cell>
          <cell r="AF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P390" t="str">
            <v>X</v>
          </cell>
          <cell r="AQ390" t="str">
            <v/>
          </cell>
        </row>
        <row r="391">
          <cell r="I391" t="str">
            <v>9.3 Wire and Cable</v>
          </cell>
        </row>
        <row r="392">
          <cell r="B392" t="str">
            <v>Low Level Control HW</v>
          </cell>
          <cell r="C392">
            <v>0</v>
          </cell>
          <cell r="D392">
            <v>4</v>
          </cell>
          <cell r="E392" t="str">
            <v>PW</v>
          </cell>
          <cell r="F392" t="str">
            <v>O_</v>
          </cell>
          <cell r="G392" t="str">
            <v>DB</v>
          </cell>
          <cell r="H392" t="str">
            <v>04-PW-O_-DB</v>
          </cell>
          <cell r="I392" t="str">
            <v>Low Voltage Power Cable</v>
          </cell>
          <cell r="Q392" t="str">
            <v>EXT</v>
          </cell>
          <cell r="R392" t="str">
            <v>Placeholder</v>
          </cell>
          <cell r="U392" t="str">
            <v>MT</v>
          </cell>
          <cell r="W392">
            <v>1</v>
          </cell>
          <cell r="X392" t="str">
            <v>USD</v>
          </cell>
          <cell r="Z392">
            <v>0</v>
          </cell>
          <cell r="AA392">
            <v>0</v>
          </cell>
          <cell r="AC392">
            <v>0</v>
          </cell>
          <cell r="AD392">
            <v>0</v>
          </cell>
          <cell r="AF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P392" t="str">
            <v>X</v>
          </cell>
          <cell r="AQ392" t="str">
            <v>CF.5</v>
          </cell>
        </row>
        <row r="393">
          <cell r="B393" t="str">
            <v>Low Level Control HW</v>
          </cell>
          <cell r="C393">
            <v>0</v>
          </cell>
          <cell r="D393">
            <v>4</v>
          </cell>
          <cell r="E393" t="str">
            <v>PW</v>
          </cell>
          <cell r="F393" t="str">
            <v>O_</v>
          </cell>
          <cell r="G393" t="str">
            <v>EB</v>
          </cell>
          <cell r="H393" t="str">
            <v>04-PW-O_-EB</v>
          </cell>
          <cell r="I393" t="str">
            <v>Earthing Cable</v>
          </cell>
          <cell r="Q393" t="str">
            <v>EXT</v>
          </cell>
          <cell r="R393" t="str">
            <v>Placeholder</v>
          </cell>
          <cell r="U393" t="str">
            <v>MT</v>
          </cell>
          <cell r="W393">
            <v>1</v>
          </cell>
          <cell r="X393" t="str">
            <v>USD</v>
          </cell>
          <cell r="Z393">
            <v>0</v>
          </cell>
          <cell r="AA393">
            <v>0</v>
          </cell>
          <cell r="AC393">
            <v>0</v>
          </cell>
          <cell r="AD393">
            <v>0</v>
          </cell>
          <cell r="AF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P393" t="str">
            <v>X</v>
          </cell>
          <cell r="AQ393" t="str">
            <v>CF.5</v>
          </cell>
        </row>
        <row r="394">
          <cell r="B394" t="str">
            <v>Low Level Control HW</v>
          </cell>
          <cell r="C394">
            <v>0</v>
          </cell>
          <cell r="D394">
            <v>4</v>
          </cell>
          <cell r="E394" t="str">
            <v>PW</v>
          </cell>
          <cell r="F394" t="str">
            <v>O_</v>
          </cell>
          <cell r="G394" t="str">
            <v>HA</v>
          </cell>
          <cell r="H394" t="str">
            <v>04-PW-O_-HA</v>
          </cell>
          <cell r="I394" t="str">
            <v>Signal Cable, Optical Fibre Optical Cable</v>
          </cell>
          <cell r="Q394" t="str">
            <v>EXT</v>
          </cell>
          <cell r="R394" t="str">
            <v>Placeholder</v>
          </cell>
          <cell r="U394" t="str">
            <v>MT</v>
          </cell>
          <cell r="W394">
            <v>1</v>
          </cell>
          <cell r="X394" t="str">
            <v>USD</v>
          </cell>
          <cell r="Z394">
            <v>0</v>
          </cell>
          <cell r="AA394">
            <v>0</v>
          </cell>
          <cell r="AC394">
            <v>0</v>
          </cell>
          <cell r="AD394">
            <v>0</v>
          </cell>
          <cell r="AF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P394" t="str">
            <v>X</v>
          </cell>
          <cell r="AQ394" t="str">
            <v>CF.5</v>
          </cell>
        </row>
        <row r="395">
          <cell r="B395" t="str">
            <v/>
          </cell>
          <cell r="H395" t="str">
            <v>--</v>
          </cell>
          <cell r="Q395" t="str">
            <v>EXT</v>
          </cell>
          <cell r="R395" t="str">
            <v>Placeholder</v>
          </cell>
          <cell r="W395">
            <v>1</v>
          </cell>
          <cell r="X395" t="str">
            <v>USD</v>
          </cell>
          <cell r="Z395">
            <v>0</v>
          </cell>
          <cell r="AA395">
            <v>0</v>
          </cell>
          <cell r="AC395">
            <v>0</v>
          </cell>
          <cell r="AD395">
            <v>0</v>
          </cell>
          <cell r="AF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P395" t="str">
            <v>X</v>
          </cell>
          <cell r="AQ395" t="str">
            <v/>
          </cell>
        </row>
        <row r="396">
          <cell r="B396" t="str">
            <v/>
          </cell>
          <cell r="H396" t="str">
            <v>--</v>
          </cell>
          <cell r="Q396" t="str">
            <v>EXT</v>
          </cell>
          <cell r="R396" t="str">
            <v>Placeholder</v>
          </cell>
          <cell r="W396">
            <v>1</v>
          </cell>
          <cell r="X396" t="str">
            <v>USD</v>
          </cell>
          <cell r="Z396">
            <v>0</v>
          </cell>
          <cell r="AA396">
            <v>0</v>
          </cell>
          <cell r="AC396">
            <v>0</v>
          </cell>
          <cell r="AD396">
            <v>0</v>
          </cell>
          <cell r="AF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P396" t="str">
            <v>X</v>
          </cell>
          <cell r="AQ396" t="str">
            <v/>
          </cell>
        </row>
        <row r="397">
          <cell r="B397" t="str">
            <v>Subtotal - 10</v>
          </cell>
          <cell r="I397" t="str">
            <v>10. MHS Lighting</v>
          </cell>
        </row>
        <row r="398">
          <cell r="I398" t="str">
            <v>10.1 Board and Panels</v>
          </cell>
        </row>
        <row r="399">
          <cell r="B399" t="str">
            <v>Low Level Control HW</v>
          </cell>
          <cell r="C399">
            <v>0</v>
          </cell>
          <cell r="D399">
            <v>4</v>
          </cell>
          <cell r="E399" t="str">
            <v>LU</v>
          </cell>
          <cell r="F399" t="str">
            <v>O_</v>
          </cell>
          <cell r="G399" t="str">
            <v>CB</v>
          </cell>
          <cell r="H399" t="str">
            <v>04-LU-O_-CB</v>
          </cell>
          <cell r="I399" t="str">
            <v xml:space="preserve">Control Panel Lighting </v>
          </cell>
          <cell r="Q399" t="str">
            <v>EXT</v>
          </cell>
          <cell r="R399" t="str">
            <v>Placeholder</v>
          </cell>
          <cell r="U399" t="str">
            <v>PC</v>
          </cell>
          <cell r="W399">
            <v>1</v>
          </cell>
          <cell r="X399" t="str">
            <v>USD</v>
          </cell>
          <cell r="Z399">
            <v>0</v>
          </cell>
          <cell r="AA399">
            <v>0</v>
          </cell>
          <cell r="AC399">
            <v>0</v>
          </cell>
          <cell r="AD399">
            <v>0</v>
          </cell>
          <cell r="AF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P399" t="str">
            <v>X</v>
          </cell>
          <cell r="AQ399" t="str">
            <v>CF.5</v>
          </cell>
        </row>
        <row r="400">
          <cell r="B400" t="str">
            <v>Low Level Control HW</v>
          </cell>
          <cell r="C400">
            <v>0</v>
          </cell>
          <cell r="D400">
            <v>4</v>
          </cell>
          <cell r="E400" t="str">
            <v>LU</v>
          </cell>
          <cell r="F400" t="str">
            <v>O_</v>
          </cell>
          <cell r="G400" t="str">
            <v>CE</v>
          </cell>
          <cell r="H400" t="str">
            <v>04-LU-O_-CE</v>
          </cell>
          <cell r="I400" t="str">
            <v>Field Control Panel Lighting</v>
          </cell>
          <cell r="Q400" t="str">
            <v>EXT</v>
          </cell>
          <cell r="R400" t="str">
            <v>Placeholder</v>
          </cell>
          <cell r="U400" t="str">
            <v>PC</v>
          </cell>
          <cell r="W400">
            <v>1</v>
          </cell>
          <cell r="X400" t="str">
            <v>USD</v>
          </cell>
          <cell r="Z400">
            <v>0</v>
          </cell>
          <cell r="AA400">
            <v>0</v>
          </cell>
          <cell r="AC400">
            <v>0</v>
          </cell>
          <cell r="AD400">
            <v>0</v>
          </cell>
          <cell r="AF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P400" t="str">
            <v>X</v>
          </cell>
          <cell r="AQ400" t="str">
            <v>CF.5</v>
          </cell>
        </row>
        <row r="401">
          <cell r="B401" t="str">
            <v/>
          </cell>
          <cell r="H401" t="str">
            <v>--</v>
          </cell>
          <cell r="Q401" t="str">
            <v>EXT</v>
          </cell>
          <cell r="R401" t="str">
            <v>Placeholder</v>
          </cell>
          <cell r="W401">
            <v>1</v>
          </cell>
          <cell r="X401" t="str">
            <v>USD</v>
          </cell>
          <cell r="Z401">
            <v>0</v>
          </cell>
          <cell r="AA401">
            <v>0</v>
          </cell>
          <cell r="AC401">
            <v>0</v>
          </cell>
          <cell r="AD401">
            <v>0</v>
          </cell>
          <cell r="AF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P401" t="str">
            <v>X</v>
          </cell>
          <cell r="AQ401" t="str">
            <v/>
          </cell>
        </row>
        <row r="402">
          <cell r="B402" t="str">
            <v/>
          </cell>
          <cell r="H402" t="str">
            <v>--</v>
          </cell>
          <cell r="Q402" t="str">
            <v>EXT</v>
          </cell>
          <cell r="R402" t="str">
            <v>Placeholder</v>
          </cell>
          <cell r="W402">
            <v>1</v>
          </cell>
          <cell r="X402" t="str">
            <v>USD</v>
          </cell>
          <cell r="Z402">
            <v>0</v>
          </cell>
          <cell r="AA402">
            <v>0</v>
          </cell>
          <cell r="AC402">
            <v>0</v>
          </cell>
          <cell r="AD402">
            <v>0</v>
          </cell>
          <cell r="AF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P402" t="str">
            <v>X</v>
          </cell>
          <cell r="AQ402" t="str">
            <v/>
          </cell>
        </row>
        <row r="403">
          <cell r="I403" t="str">
            <v>10.2 Field Devices</v>
          </cell>
        </row>
        <row r="404">
          <cell r="B404" t="str">
            <v>Low Level Control HW</v>
          </cell>
          <cell r="C404">
            <v>0</v>
          </cell>
          <cell r="D404">
            <v>4</v>
          </cell>
          <cell r="E404" t="str">
            <v>LC</v>
          </cell>
          <cell r="F404" t="str">
            <v>O_</v>
          </cell>
          <cell r="G404" t="str">
            <v>AB</v>
          </cell>
          <cell r="H404" t="str">
            <v>04-LC-O_-AB</v>
          </cell>
          <cell r="I404" t="str">
            <v>Light fixture, Luminaire</v>
          </cell>
          <cell r="Q404" t="str">
            <v>EXT</v>
          </cell>
          <cell r="R404" t="str">
            <v>Placeholder</v>
          </cell>
          <cell r="U404" t="str">
            <v>PC</v>
          </cell>
          <cell r="W404">
            <v>1</v>
          </cell>
          <cell r="X404" t="str">
            <v>USD</v>
          </cell>
          <cell r="Z404">
            <v>0</v>
          </cell>
          <cell r="AA404">
            <v>0</v>
          </cell>
          <cell r="AC404">
            <v>0</v>
          </cell>
          <cell r="AD404">
            <v>0</v>
          </cell>
          <cell r="AF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P404" t="str">
            <v>X</v>
          </cell>
          <cell r="AQ404" t="str">
            <v>CF.5</v>
          </cell>
        </row>
        <row r="405">
          <cell r="B405" t="str">
            <v/>
          </cell>
          <cell r="H405" t="str">
            <v>--</v>
          </cell>
          <cell r="Q405" t="str">
            <v>EXT</v>
          </cell>
          <cell r="R405" t="str">
            <v>Placeholder</v>
          </cell>
          <cell r="W405">
            <v>1</v>
          </cell>
          <cell r="X405" t="str">
            <v>USD</v>
          </cell>
          <cell r="Z405">
            <v>0</v>
          </cell>
          <cell r="AA405">
            <v>0</v>
          </cell>
          <cell r="AC405">
            <v>0</v>
          </cell>
          <cell r="AD405">
            <v>0</v>
          </cell>
          <cell r="AF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P405" t="str">
            <v>X</v>
          </cell>
          <cell r="AQ405" t="str">
            <v/>
          </cell>
        </row>
        <row r="406">
          <cell r="B406" t="str">
            <v/>
          </cell>
          <cell r="H406" t="str">
            <v>--</v>
          </cell>
          <cell r="Q406" t="str">
            <v>EXT</v>
          </cell>
          <cell r="R406" t="str">
            <v>Placeholder</v>
          </cell>
          <cell r="W406">
            <v>1</v>
          </cell>
          <cell r="X406" t="str">
            <v>USD</v>
          </cell>
          <cell r="Z406">
            <v>0</v>
          </cell>
          <cell r="AA406">
            <v>0</v>
          </cell>
          <cell r="AC406">
            <v>0</v>
          </cell>
          <cell r="AD406">
            <v>0</v>
          </cell>
          <cell r="AF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P406" t="str">
            <v>X</v>
          </cell>
          <cell r="AQ406" t="str">
            <v/>
          </cell>
        </row>
        <row r="407">
          <cell r="I407" t="str">
            <v>10.3 Cable Supporting System</v>
          </cell>
        </row>
        <row r="408">
          <cell r="B408" t="str">
            <v>Low Level Control HW</v>
          </cell>
          <cell r="C408">
            <v>0</v>
          </cell>
          <cell r="D408">
            <v>4</v>
          </cell>
          <cell r="E408" t="str">
            <v>LL</v>
          </cell>
          <cell r="F408" t="str">
            <v>O_</v>
          </cell>
          <cell r="G408" t="str">
            <v>BU</v>
          </cell>
          <cell r="H408" t="str">
            <v>04-LL-O_-BU</v>
          </cell>
          <cell r="I408" t="str">
            <v>Cable Tray Cable Rack, Cable Trunking, Cable Ladder, Conduit</v>
          </cell>
          <cell r="Q408" t="str">
            <v>EXT</v>
          </cell>
          <cell r="R408" t="str">
            <v>Placeholder</v>
          </cell>
          <cell r="U408" t="str">
            <v>MT</v>
          </cell>
          <cell r="W408">
            <v>1</v>
          </cell>
          <cell r="X408" t="str">
            <v>USD</v>
          </cell>
          <cell r="Z408">
            <v>0</v>
          </cell>
          <cell r="AA408">
            <v>0</v>
          </cell>
          <cell r="AC408">
            <v>0</v>
          </cell>
          <cell r="AD408">
            <v>0</v>
          </cell>
          <cell r="AF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P408" t="str">
            <v>X</v>
          </cell>
          <cell r="AQ408" t="str">
            <v>CF.5</v>
          </cell>
        </row>
        <row r="409">
          <cell r="B409" t="str">
            <v/>
          </cell>
          <cell r="H409" t="str">
            <v>--</v>
          </cell>
          <cell r="Q409" t="str">
            <v>EXT</v>
          </cell>
          <cell r="R409" t="str">
            <v>Placeholder</v>
          </cell>
          <cell r="W409">
            <v>1</v>
          </cell>
          <cell r="X409" t="str">
            <v>USD</v>
          </cell>
          <cell r="Z409">
            <v>0</v>
          </cell>
          <cell r="AA409">
            <v>0</v>
          </cell>
          <cell r="AC409">
            <v>0</v>
          </cell>
          <cell r="AD409">
            <v>0</v>
          </cell>
          <cell r="AF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P409" t="str">
            <v>X</v>
          </cell>
          <cell r="AQ409" t="str">
            <v/>
          </cell>
        </row>
        <row r="410">
          <cell r="B410" t="str">
            <v/>
          </cell>
          <cell r="H410" t="str">
            <v>--</v>
          </cell>
          <cell r="Q410" t="str">
            <v>EXT</v>
          </cell>
          <cell r="R410" t="str">
            <v>Placeholder</v>
          </cell>
          <cell r="W410">
            <v>1</v>
          </cell>
          <cell r="X410" t="str">
            <v>USD</v>
          </cell>
          <cell r="Z410">
            <v>0</v>
          </cell>
          <cell r="AA410">
            <v>0</v>
          </cell>
          <cell r="AC410">
            <v>0</v>
          </cell>
          <cell r="AD410">
            <v>0</v>
          </cell>
          <cell r="AF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P410" t="str">
            <v>X</v>
          </cell>
          <cell r="AQ410" t="str">
            <v/>
          </cell>
        </row>
        <row r="411">
          <cell r="I411" t="str">
            <v>10.4 Wire and Cable</v>
          </cell>
        </row>
        <row r="412">
          <cell r="B412" t="str">
            <v>Low Level Control HW</v>
          </cell>
          <cell r="C412">
            <v>0</v>
          </cell>
          <cell r="D412">
            <v>4</v>
          </cell>
          <cell r="E412" t="str">
            <v>LW</v>
          </cell>
          <cell r="F412" t="str">
            <v>O_</v>
          </cell>
          <cell r="G412" t="str">
            <v>DB</v>
          </cell>
          <cell r="H412" t="str">
            <v>04-LW-O_-DB</v>
          </cell>
          <cell r="I412" t="str">
            <v>Low Voltage Power Cable</v>
          </cell>
          <cell r="Q412" t="str">
            <v>EXT</v>
          </cell>
          <cell r="R412" t="str">
            <v>Placeholder</v>
          </cell>
          <cell r="U412" t="str">
            <v>MT</v>
          </cell>
          <cell r="W412">
            <v>1</v>
          </cell>
          <cell r="X412" t="str">
            <v>USD</v>
          </cell>
          <cell r="Z412">
            <v>0</v>
          </cell>
          <cell r="AA412">
            <v>0</v>
          </cell>
          <cell r="AC412">
            <v>0</v>
          </cell>
          <cell r="AD412">
            <v>0</v>
          </cell>
          <cell r="AF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P412" t="str">
            <v>X</v>
          </cell>
          <cell r="AQ412" t="str">
            <v>CF.5</v>
          </cell>
        </row>
        <row r="413">
          <cell r="B413" t="str">
            <v>Low Level Control HW</v>
          </cell>
          <cell r="C413">
            <v>0</v>
          </cell>
          <cell r="D413">
            <v>4</v>
          </cell>
          <cell r="E413" t="str">
            <v>LW</v>
          </cell>
          <cell r="F413" t="str">
            <v>O_</v>
          </cell>
          <cell r="G413" t="str">
            <v>EB</v>
          </cell>
          <cell r="H413" t="str">
            <v>04-LW-O_-EB</v>
          </cell>
          <cell r="I413" t="str">
            <v>Earthing Cable</v>
          </cell>
          <cell r="Q413" t="str">
            <v>EXT</v>
          </cell>
          <cell r="R413" t="str">
            <v>Placeholder</v>
          </cell>
          <cell r="U413" t="str">
            <v>MT</v>
          </cell>
          <cell r="W413">
            <v>1</v>
          </cell>
          <cell r="X413" t="str">
            <v>USD</v>
          </cell>
          <cell r="Z413">
            <v>0</v>
          </cell>
          <cell r="AA413">
            <v>0</v>
          </cell>
          <cell r="AC413">
            <v>0</v>
          </cell>
          <cell r="AD413">
            <v>0</v>
          </cell>
          <cell r="AF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P413" t="str">
            <v>X</v>
          </cell>
          <cell r="AQ413" t="str">
            <v>CF.5</v>
          </cell>
        </row>
        <row r="414">
          <cell r="B414" t="str">
            <v>Low Level Control HW</v>
          </cell>
          <cell r="C414">
            <v>0</v>
          </cell>
          <cell r="D414">
            <v>4</v>
          </cell>
          <cell r="E414" t="str">
            <v>LW</v>
          </cell>
          <cell r="F414" t="str">
            <v>O_</v>
          </cell>
          <cell r="G414" t="str">
            <v>HA</v>
          </cell>
          <cell r="H414" t="str">
            <v>04-LW-O_-HA</v>
          </cell>
          <cell r="I414" t="str">
            <v>Signal Cable, Optical Fibre Optical Cable</v>
          </cell>
          <cell r="Q414" t="str">
            <v>EXT</v>
          </cell>
          <cell r="R414" t="str">
            <v>Placeholder</v>
          </cell>
          <cell r="U414" t="str">
            <v>MT</v>
          </cell>
          <cell r="W414">
            <v>1</v>
          </cell>
          <cell r="X414" t="str">
            <v>USD</v>
          </cell>
          <cell r="Z414">
            <v>0</v>
          </cell>
          <cell r="AA414">
            <v>0</v>
          </cell>
          <cell r="AC414">
            <v>0</v>
          </cell>
          <cell r="AD414">
            <v>0</v>
          </cell>
          <cell r="AF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P414" t="str">
            <v>X</v>
          </cell>
          <cell r="AQ414" t="str">
            <v>CF.5</v>
          </cell>
        </row>
        <row r="415">
          <cell r="B415" t="str">
            <v/>
          </cell>
          <cell r="H415" t="str">
            <v>--</v>
          </cell>
          <cell r="Q415" t="str">
            <v>EXT</v>
          </cell>
          <cell r="R415" t="str">
            <v>Placeholder</v>
          </cell>
          <cell r="W415">
            <v>1</v>
          </cell>
          <cell r="X415" t="str">
            <v>USD</v>
          </cell>
          <cell r="Z415">
            <v>0</v>
          </cell>
          <cell r="AA415">
            <v>0</v>
          </cell>
          <cell r="AC415">
            <v>0</v>
          </cell>
          <cell r="AD415">
            <v>0</v>
          </cell>
          <cell r="AF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P415" t="str">
            <v>X</v>
          </cell>
          <cell r="AQ415" t="str">
            <v/>
          </cell>
        </row>
        <row r="416">
          <cell r="B416" t="str">
            <v/>
          </cell>
          <cell r="H416" t="str">
            <v>--</v>
          </cell>
          <cell r="Q416" t="str">
            <v>EXT</v>
          </cell>
          <cell r="R416" t="str">
            <v>Placeholder</v>
          </cell>
          <cell r="W416">
            <v>1</v>
          </cell>
          <cell r="X416" t="str">
            <v>USD</v>
          </cell>
          <cell r="Z416">
            <v>0</v>
          </cell>
          <cell r="AA416">
            <v>0</v>
          </cell>
          <cell r="AC416">
            <v>0</v>
          </cell>
          <cell r="AD416">
            <v>0</v>
          </cell>
          <cell r="AF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P416" t="str">
            <v>X</v>
          </cell>
          <cell r="AQ416" t="str">
            <v/>
          </cell>
        </row>
        <row r="417">
          <cell r="I417" t="str">
            <v>8.6 Commissioning Spares</v>
          </cell>
        </row>
        <row r="418">
          <cell r="B418" t="str">
            <v>Low Level Control HW</v>
          </cell>
          <cell r="C418">
            <v>0</v>
          </cell>
          <cell r="D418">
            <v>4</v>
          </cell>
          <cell r="E418" t="str">
            <v>LP</v>
          </cell>
          <cell r="F418" t="str">
            <v>O_</v>
          </cell>
          <cell r="G418" t="str">
            <v>AC</v>
          </cell>
          <cell r="H418" t="str">
            <v>04-LP-O_-AC</v>
          </cell>
          <cell r="I418" t="str">
            <v>Electrical Spare Parts</v>
          </cell>
          <cell r="Q418" t="str">
            <v>EXT</v>
          </cell>
          <cell r="R418" t="str">
            <v>Placeholder</v>
          </cell>
          <cell r="U418" t="str">
            <v>PC</v>
          </cell>
          <cell r="W418">
            <v>1</v>
          </cell>
          <cell r="X418" t="str">
            <v>USD</v>
          </cell>
          <cell r="Z418">
            <v>0</v>
          </cell>
          <cell r="AA418">
            <v>0</v>
          </cell>
          <cell r="AC418">
            <v>0</v>
          </cell>
          <cell r="AD418">
            <v>0</v>
          </cell>
          <cell r="AF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P418" t="str">
            <v>X</v>
          </cell>
          <cell r="AQ418" t="str">
            <v>CF.5</v>
          </cell>
        </row>
        <row r="419">
          <cell r="B419" t="str">
            <v>Low Level Control HW</v>
          </cell>
          <cell r="C419">
            <v>0</v>
          </cell>
          <cell r="D419">
            <v>4</v>
          </cell>
          <cell r="E419" t="str">
            <v>LP</v>
          </cell>
          <cell r="F419" t="str">
            <v>O_</v>
          </cell>
          <cell r="G419" t="str">
            <v>AB</v>
          </cell>
          <cell r="H419" t="str">
            <v>04-LP-O_-AB</v>
          </cell>
          <cell r="I419" t="str">
            <v>Control Spare Parts</v>
          </cell>
          <cell r="Q419" t="str">
            <v>EXT</v>
          </cell>
          <cell r="R419" t="str">
            <v>Placeholder</v>
          </cell>
          <cell r="U419" t="str">
            <v>PC</v>
          </cell>
          <cell r="W419">
            <v>1</v>
          </cell>
          <cell r="X419" t="str">
            <v>USD</v>
          </cell>
          <cell r="Z419">
            <v>0</v>
          </cell>
          <cell r="AA419">
            <v>0</v>
          </cell>
          <cell r="AC419">
            <v>0</v>
          </cell>
          <cell r="AD419">
            <v>0</v>
          </cell>
          <cell r="AF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P419" t="str">
            <v>X</v>
          </cell>
          <cell r="AQ419" t="str">
            <v>CF.5</v>
          </cell>
        </row>
        <row r="420">
          <cell r="B420" t="str">
            <v/>
          </cell>
          <cell r="H420" t="str">
            <v>--</v>
          </cell>
          <cell r="Q420" t="str">
            <v>EXT</v>
          </cell>
          <cell r="R420" t="str">
            <v>Placeholder</v>
          </cell>
          <cell r="W420">
            <v>1</v>
          </cell>
          <cell r="X420" t="str">
            <v>USD</v>
          </cell>
          <cell r="Z420">
            <v>0</v>
          </cell>
          <cell r="AA420">
            <v>0</v>
          </cell>
          <cell r="AC420">
            <v>0</v>
          </cell>
          <cell r="AD420">
            <v>0</v>
          </cell>
          <cell r="AF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P420" t="str">
            <v>X</v>
          </cell>
          <cell r="AQ420" t="str">
            <v/>
          </cell>
        </row>
        <row r="421">
          <cell r="B421" t="str">
            <v/>
          </cell>
          <cell r="H421" t="str">
            <v>--</v>
          </cell>
          <cell r="Q421" t="str">
            <v>EXT</v>
          </cell>
          <cell r="R421" t="str">
            <v>Placeholder</v>
          </cell>
          <cell r="W421">
            <v>1</v>
          </cell>
          <cell r="X421" t="str">
            <v>USD</v>
          </cell>
          <cell r="Z421">
            <v>0</v>
          </cell>
          <cell r="AA421">
            <v>0</v>
          </cell>
          <cell r="AC421">
            <v>0</v>
          </cell>
          <cell r="AD421">
            <v>0</v>
          </cell>
          <cell r="AF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P421" t="str">
            <v>X</v>
          </cell>
          <cell r="AQ421" t="str">
            <v/>
          </cell>
        </row>
        <row r="422">
          <cell r="I422" t="str">
            <v>8.7 Inital Spare Part Package / Onsite Spares</v>
          </cell>
        </row>
        <row r="423">
          <cell r="B423" t="str">
            <v>Operation &amp; Maintenance - One-Time Cost</v>
          </cell>
          <cell r="C423" t="str">
            <v>W</v>
          </cell>
          <cell r="D423">
            <v>4</v>
          </cell>
          <cell r="E423" t="str">
            <v>LI</v>
          </cell>
          <cell r="F423" t="str">
            <v>O_</v>
          </cell>
          <cell r="G423" t="str">
            <v>AC</v>
          </cell>
          <cell r="H423" t="str">
            <v>W4-LI-O_-AC</v>
          </cell>
          <cell r="I423" t="str">
            <v>Electrical Spare Parts</v>
          </cell>
          <cell r="Q423" t="str">
            <v>EXT</v>
          </cell>
          <cell r="R423" t="str">
            <v>Placeholder</v>
          </cell>
          <cell r="U423" t="str">
            <v>PC</v>
          </cell>
          <cell r="W423">
            <v>1</v>
          </cell>
          <cell r="X423" t="str">
            <v>USD</v>
          </cell>
          <cell r="Z423">
            <v>0</v>
          </cell>
          <cell r="AA423">
            <v>0</v>
          </cell>
          <cell r="AC423">
            <v>0</v>
          </cell>
          <cell r="AD423">
            <v>0</v>
          </cell>
          <cell r="AF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P423" t="str">
            <v>X</v>
          </cell>
          <cell r="AQ423" t="str">
            <v>CF.15</v>
          </cell>
        </row>
        <row r="424">
          <cell r="B424" t="str">
            <v>Operation &amp; Maintenance - One-Time Cost</v>
          </cell>
          <cell r="C424" t="str">
            <v>W</v>
          </cell>
          <cell r="D424">
            <v>4</v>
          </cell>
          <cell r="E424" t="str">
            <v>LI</v>
          </cell>
          <cell r="F424" t="str">
            <v>O_</v>
          </cell>
          <cell r="G424" t="str">
            <v>AB</v>
          </cell>
          <cell r="H424" t="str">
            <v>W4-LI-O_-AB</v>
          </cell>
          <cell r="I424" t="str">
            <v>Control Spare Parts</v>
          </cell>
          <cell r="Q424" t="str">
            <v>EXT</v>
          </cell>
          <cell r="R424" t="str">
            <v>Placeholder</v>
          </cell>
          <cell r="U424" t="str">
            <v>PC</v>
          </cell>
          <cell r="W424">
            <v>1</v>
          </cell>
          <cell r="X424" t="str">
            <v>USD</v>
          </cell>
          <cell r="Z424">
            <v>0</v>
          </cell>
          <cell r="AA424">
            <v>0</v>
          </cell>
          <cell r="AC424">
            <v>0</v>
          </cell>
          <cell r="AD424">
            <v>0</v>
          </cell>
          <cell r="AF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P424" t="str">
            <v>X</v>
          </cell>
          <cell r="AQ424" t="str">
            <v>CF.15</v>
          </cell>
        </row>
        <row r="425">
          <cell r="B425" t="str">
            <v/>
          </cell>
          <cell r="H425" t="str">
            <v>--</v>
          </cell>
          <cell r="Q425" t="str">
            <v>EXT</v>
          </cell>
          <cell r="R425" t="str">
            <v>Placeholder</v>
          </cell>
          <cell r="W425">
            <v>1</v>
          </cell>
          <cell r="X425" t="str">
            <v>USD</v>
          </cell>
          <cell r="Z425">
            <v>0</v>
          </cell>
          <cell r="AA425">
            <v>0</v>
          </cell>
          <cell r="AC425">
            <v>0</v>
          </cell>
          <cell r="AD425">
            <v>0</v>
          </cell>
          <cell r="AF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P425" t="str">
            <v>X</v>
          </cell>
          <cell r="AQ425" t="str">
            <v/>
          </cell>
        </row>
        <row r="426">
          <cell r="B426" t="str">
            <v/>
          </cell>
          <cell r="H426" t="str">
            <v>--</v>
          </cell>
          <cell r="Q426" t="str">
            <v>EXT</v>
          </cell>
          <cell r="R426" t="str">
            <v>Placeholder</v>
          </cell>
          <cell r="W426">
            <v>1</v>
          </cell>
          <cell r="X426" t="str">
            <v>USD</v>
          </cell>
          <cell r="Z426">
            <v>0</v>
          </cell>
          <cell r="AA426">
            <v>0</v>
          </cell>
          <cell r="AC426">
            <v>0</v>
          </cell>
          <cell r="AD426">
            <v>0</v>
          </cell>
          <cell r="AF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P426" t="str">
            <v>X</v>
          </cell>
          <cell r="AQ426" t="str">
            <v/>
          </cell>
        </row>
        <row r="427">
          <cell r="B427" t="str">
            <v>Subtotal - 11</v>
          </cell>
          <cell r="I427" t="str">
            <v>11. Cargo Pallet Handling (LSP)</v>
          </cell>
        </row>
        <row r="428">
          <cell r="I428" t="str">
            <v>11.1 Control Panel (LP = Power and PLC Part)</v>
          </cell>
        </row>
        <row r="429">
          <cell r="B429" t="str">
            <v>Low Level Control HW</v>
          </cell>
          <cell r="C429">
            <v>0</v>
          </cell>
          <cell r="D429">
            <v>4</v>
          </cell>
          <cell r="E429" t="str">
            <v>CU</v>
          </cell>
          <cell r="F429" t="str">
            <v>AL</v>
          </cell>
          <cell r="G429" t="str">
            <v>BG</v>
          </cell>
          <cell r="H429" t="str">
            <v>04-CU-AL-BG</v>
          </cell>
          <cell r="I429" t="str">
            <v>Central Control Panel (LP001)</v>
          </cell>
          <cell r="Q429" t="str">
            <v>EXT</v>
          </cell>
          <cell r="R429" t="str">
            <v>Placeholder</v>
          </cell>
          <cell r="U429" t="str">
            <v>PC</v>
          </cell>
          <cell r="W429">
            <v>1</v>
          </cell>
          <cell r="X429" t="str">
            <v>USD</v>
          </cell>
          <cell r="Z429">
            <v>0</v>
          </cell>
          <cell r="AA429">
            <v>0</v>
          </cell>
          <cell r="AC429">
            <v>0</v>
          </cell>
          <cell r="AD429">
            <v>0</v>
          </cell>
          <cell r="AF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P429" t="str">
            <v>X</v>
          </cell>
          <cell r="AQ429" t="str">
            <v>CF.5</v>
          </cell>
        </row>
        <row r="430">
          <cell r="B430" t="str">
            <v/>
          </cell>
          <cell r="H430" t="str">
            <v>--</v>
          </cell>
          <cell r="Q430" t="str">
            <v>EXT</v>
          </cell>
          <cell r="R430" t="str">
            <v>Placeholder</v>
          </cell>
          <cell r="W430">
            <v>1</v>
          </cell>
          <cell r="X430" t="str">
            <v>USD</v>
          </cell>
          <cell r="Z430">
            <v>0</v>
          </cell>
          <cell r="AA430">
            <v>0</v>
          </cell>
          <cell r="AC430">
            <v>0</v>
          </cell>
          <cell r="AD430">
            <v>0</v>
          </cell>
          <cell r="AF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P430" t="str">
            <v>X</v>
          </cell>
          <cell r="AQ430" t="str">
            <v/>
          </cell>
        </row>
        <row r="431">
          <cell r="B431" t="str">
            <v/>
          </cell>
          <cell r="H431" t="str">
            <v>--</v>
          </cell>
          <cell r="Q431" t="str">
            <v>EXT</v>
          </cell>
          <cell r="R431" t="str">
            <v>Placeholder</v>
          </cell>
          <cell r="W431">
            <v>1</v>
          </cell>
          <cell r="X431" t="str">
            <v>USD</v>
          </cell>
          <cell r="Z431">
            <v>0</v>
          </cell>
          <cell r="AA431">
            <v>0</v>
          </cell>
          <cell r="AC431">
            <v>0</v>
          </cell>
          <cell r="AD431">
            <v>0</v>
          </cell>
          <cell r="AF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P431" t="str">
            <v>X</v>
          </cell>
          <cell r="AQ431" t="str">
            <v/>
          </cell>
        </row>
        <row r="432">
          <cell r="I432" t="str">
            <v>11.2 Field Panels (PM, PFC, …)</v>
          </cell>
        </row>
        <row r="433">
          <cell r="B433" t="str">
            <v>Low Level Control HW</v>
          </cell>
          <cell r="C433">
            <v>0</v>
          </cell>
          <cell r="D433">
            <v>4</v>
          </cell>
          <cell r="E433" t="str">
            <v>CU</v>
          </cell>
          <cell r="F433" t="str">
            <v>AL</v>
          </cell>
          <cell r="G433" t="str">
            <v>CC</v>
          </cell>
          <cell r="H433" t="str">
            <v>04-CU-AL-CC</v>
          </cell>
          <cell r="I433" t="str">
            <v>Field Panels: Field Control Panel (PM)</v>
          </cell>
          <cell r="Q433" t="str">
            <v>EXT</v>
          </cell>
          <cell r="R433" t="str">
            <v>Placeholder</v>
          </cell>
          <cell r="U433" t="str">
            <v>PC</v>
          </cell>
          <cell r="W433">
            <v>1</v>
          </cell>
          <cell r="X433" t="str">
            <v>USD</v>
          </cell>
          <cell r="Z433">
            <v>0</v>
          </cell>
          <cell r="AA433">
            <v>0</v>
          </cell>
          <cell r="AC433">
            <v>0</v>
          </cell>
          <cell r="AD433">
            <v>0</v>
          </cell>
          <cell r="AF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P433" t="str">
            <v>X</v>
          </cell>
          <cell r="AQ433" t="str">
            <v>CF.5</v>
          </cell>
        </row>
        <row r="434">
          <cell r="B434" t="str">
            <v>Low Level Control HW</v>
          </cell>
          <cell r="C434">
            <v>0</v>
          </cell>
          <cell r="D434">
            <v>4</v>
          </cell>
          <cell r="E434" t="str">
            <v>CU</v>
          </cell>
          <cell r="F434" t="str">
            <v>AL</v>
          </cell>
          <cell r="G434" t="str">
            <v>CE</v>
          </cell>
          <cell r="H434" t="str">
            <v>04-CU-AL-CE</v>
          </cell>
          <cell r="I434" t="str">
            <v>Field Panels: I/O Box IOB (FB)</v>
          </cell>
          <cell r="Q434" t="str">
            <v>EXT</v>
          </cell>
          <cell r="R434" t="str">
            <v>Placeholder</v>
          </cell>
          <cell r="U434" t="str">
            <v>PC</v>
          </cell>
          <cell r="W434">
            <v>1</v>
          </cell>
          <cell r="X434" t="str">
            <v>USD</v>
          </cell>
          <cell r="Z434">
            <v>0</v>
          </cell>
          <cell r="AA434">
            <v>0</v>
          </cell>
          <cell r="AC434">
            <v>0</v>
          </cell>
          <cell r="AD434">
            <v>0</v>
          </cell>
          <cell r="AF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P434" t="str">
            <v>X</v>
          </cell>
          <cell r="AQ434" t="str">
            <v>CF.5</v>
          </cell>
        </row>
        <row r="435">
          <cell r="B435" t="str">
            <v>Low Level Control HW</v>
          </cell>
          <cell r="C435">
            <v>0</v>
          </cell>
          <cell r="D435">
            <v>4</v>
          </cell>
          <cell r="E435" t="str">
            <v>CU</v>
          </cell>
          <cell r="F435" t="str">
            <v>AL</v>
          </cell>
          <cell r="G435" t="str">
            <v>CE</v>
          </cell>
          <cell r="H435" t="str">
            <v>04-CU-AL-CE</v>
          </cell>
          <cell r="I435" t="str">
            <v>Field Panels: Panel Motor Unit (DC)</v>
          </cell>
          <cell r="Q435" t="str">
            <v>EXT</v>
          </cell>
          <cell r="R435" t="str">
            <v>Placeholder</v>
          </cell>
          <cell r="U435" t="str">
            <v>PC</v>
          </cell>
          <cell r="W435">
            <v>1</v>
          </cell>
          <cell r="X435" t="str">
            <v>USD</v>
          </cell>
          <cell r="Z435">
            <v>0</v>
          </cell>
          <cell r="AA435">
            <v>0</v>
          </cell>
          <cell r="AC435">
            <v>0</v>
          </cell>
          <cell r="AD435">
            <v>0</v>
          </cell>
          <cell r="AF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P435" t="str">
            <v>X</v>
          </cell>
          <cell r="AQ435" t="str">
            <v>CF.5</v>
          </cell>
        </row>
        <row r="436">
          <cell r="B436" t="str">
            <v/>
          </cell>
          <cell r="H436" t="str">
            <v>--</v>
          </cell>
          <cell r="Q436" t="str">
            <v>EXT</v>
          </cell>
          <cell r="R436" t="str">
            <v>Placeholder</v>
          </cell>
          <cell r="W436">
            <v>1</v>
          </cell>
          <cell r="X436" t="str">
            <v>USD</v>
          </cell>
          <cell r="Z436">
            <v>0</v>
          </cell>
          <cell r="AA436">
            <v>0</v>
          </cell>
          <cell r="AC436">
            <v>0</v>
          </cell>
          <cell r="AD436">
            <v>0</v>
          </cell>
          <cell r="AF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P436" t="str">
            <v>X</v>
          </cell>
          <cell r="AQ436" t="str">
            <v/>
          </cell>
        </row>
        <row r="437">
          <cell r="B437" t="str">
            <v/>
          </cell>
          <cell r="H437" t="str">
            <v>--</v>
          </cell>
          <cell r="Q437" t="str">
            <v>EXT</v>
          </cell>
          <cell r="R437" t="str">
            <v>Placeholder</v>
          </cell>
          <cell r="W437">
            <v>1</v>
          </cell>
          <cell r="X437" t="str">
            <v>USD</v>
          </cell>
          <cell r="Z437">
            <v>0</v>
          </cell>
          <cell r="AA437">
            <v>0</v>
          </cell>
          <cell r="AC437">
            <v>0</v>
          </cell>
          <cell r="AD437">
            <v>0</v>
          </cell>
          <cell r="AF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P437" t="str">
            <v>X</v>
          </cell>
          <cell r="AQ437" t="str">
            <v/>
          </cell>
        </row>
        <row r="438">
          <cell r="I438" t="str">
            <v>11.3 Field Devices Sensors…</v>
          </cell>
        </row>
        <row r="439">
          <cell r="B439" t="str">
            <v>Low Level Control HW</v>
          </cell>
          <cell r="C439">
            <v>0</v>
          </cell>
          <cell r="D439">
            <v>4</v>
          </cell>
          <cell r="E439" t="str">
            <v>CC</v>
          </cell>
          <cell r="F439" t="str">
            <v>AL</v>
          </cell>
          <cell r="G439" t="str">
            <v>BG</v>
          </cell>
          <cell r="H439" t="str">
            <v>04-CC-AL-BG</v>
          </cell>
          <cell r="I439" t="str">
            <v>Field Devices: Actors, Sensors</v>
          </cell>
          <cell r="Q439" t="str">
            <v>EXT</v>
          </cell>
          <cell r="R439" t="str">
            <v>Placeholder</v>
          </cell>
          <cell r="U439" t="str">
            <v>PC</v>
          </cell>
          <cell r="W439">
            <v>1</v>
          </cell>
          <cell r="X439" t="str">
            <v>USD</v>
          </cell>
          <cell r="Z439">
            <v>0</v>
          </cell>
          <cell r="AA439">
            <v>0</v>
          </cell>
          <cell r="AC439">
            <v>0</v>
          </cell>
          <cell r="AD439">
            <v>0</v>
          </cell>
          <cell r="AF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P439" t="str">
            <v>X</v>
          </cell>
          <cell r="AQ439" t="str">
            <v>CF.5</v>
          </cell>
        </row>
        <row r="440">
          <cell r="B440" t="str">
            <v>Low Level Control HW</v>
          </cell>
          <cell r="C440">
            <v>0</v>
          </cell>
          <cell r="D440">
            <v>4</v>
          </cell>
          <cell r="E440" t="str">
            <v>CC</v>
          </cell>
          <cell r="F440" t="str">
            <v>AL</v>
          </cell>
          <cell r="G440" t="str">
            <v>BA</v>
          </cell>
          <cell r="H440" t="str">
            <v>04-CC-AL-BA</v>
          </cell>
          <cell r="I440" t="str">
            <v>Field Devices: I/O Devices</v>
          </cell>
          <cell r="Q440" t="str">
            <v>EXT</v>
          </cell>
          <cell r="R440" t="str">
            <v>Placeholder</v>
          </cell>
          <cell r="U440" t="str">
            <v>PC</v>
          </cell>
          <cell r="W440">
            <v>1</v>
          </cell>
          <cell r="X440" t="str">
            <v>USD</v>
          </cell>
          <cell r="Z440">
            <v>0</v>
          </cell>
          <cell r="AA440">
            <v>0</v>
          </cell>
          <cell r="AC440">
            <v>0</v>
          </cell>
          <cell r="AD440">
            <v>0</v>
          </cell>
          <cell r="AF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P440" t="str">
            <v>X</v>
          </cell>
          <cell r="AQ440" t="str">
            <v>CF.5</v>
          </cell>
        </row>
        <row r="441">
          <cell r="B441" t="str">
            <v>Low Level Control HW</v>
          </cell>
          <cell r="C441">
            <v>0</v>
          </cell>
          <cell r="D441">
            <v>4</v>
          </cell>
          <cell r="E441" t="str">
            <v>CC</v>
          </cell>
          <cell r="F441" t="str">
            <v>AL</v>
          </cell>
          <cell r="G441" t="str">
            <v>BU</v>
          </cell>
          <cell r="H441" t="str">
            <v>04-CC-AL-BU</v>
          </cell>
          <cell r="I441" t="str">
            <v>Field Devices: Equipment Brackets &amp; Supports</v>
          </cell>
          <cell r="Q441" t="str">
            <v>EXT</v>
          </cell>
          <cell r="R441" t="str">
            <v>Placeholder</v>
          </cell>
          <cell r="U441" t="str">
            <v>PC</v>
          </cell>
          <cell r="W441">
            <v>1</v>
          </cell>
          <cell r="X441" t="str">
            <v>USD</v>
          </cell>
          <cell r="Z441">
            <v>0</v>
          </cell>
          <cell r="AA441">
            <v>0</v>
          </cell>
          <cell r="AC441">
            <v>0</v>
          </cell>
          <cell r="AD441">
            <v>0</v>
          </cell>
          <cell r="AF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P441" t="str">
            <v>X</v>
          </cell>
          <cell r="AQ441" t="str">
            <v>CF.5</v>
          </cell>
        </row>
        <row r="442">
          <cell r="B442" t="str">
            <v>Low Level Control HW</v>
          </cell>
          <cell r="C442">
            <v>0</v>
          </cell>
          <cell r="D442">
            <v>4</v>
          </cell>
          <cell r="E442" t="str">
            <v>CC</v>
          </cell>
          <cell r="F442" t="str">
            <v>AL</v>
          </cell>
          <cell r="G442" t="str">
            <v>BW</v>
          </cell>
          <cell r="H442" t="str">
            <v>04-CC-AL-BW</v>
          </cell>
          <cell r="I442" t="str">
            <v>Field Devices: Premanu. Sensor cable</v>
          </cell>
          <cell r="Q442" t="str">
            <v>EXT</v>
          </cell>
          <cell r="R442" t="str">
            <v>Placeholder</v>
          </cell>
          <cell r="U442" t="str">
            <v>PC</v>
          </cell>
          <cell r="W442">
            <v>1</v>
          </cell>
          <cell r="X442" t="str">
            <v>USD</v>
          </cell>
          <cell r="Z442">
            <v>0</v>
          </cell>
          <cell r="AA442">
            <v>0</v>
          </cell>
          <cell r="AC442">
            <v>0</v>
          </cell>
          <cell r="AD442">
            <v>0</v>
          </cell>
          <cell r="AF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P442" t="str">
            <v>X</v>
          </cell>
          <cell r="AQ442" t="str">
            <v>CF.5</v>
          </cell>
        </row>
        <row r="443">
          <cell r="B443" t="str">
            <v>Low Level Control HW</v>
          </cell>
          <cell r="C443">
            <v>0</v>
          </cell>
          <cell r="D443">
            <v>4</v>
          </cell>
          <cell r="E443" t="str">
            <v>CC</v>
          </cell>
          <cell r="F443" t="str">
            <v>AL</v>
          </cell>
          <cell r="G443" t="str">
            <v>SJ</v>
          </cell>
          <cell r="H443" t="str">
            <v>04-CC-AL-SJ</v>
          </cell>
          <cell r="I443" t="str">
            <v>Field Devices: Control Stations (CS), Operator Panel</v>
          </cell>
          <cell r="Q443" t="str">
            <v>EXT</v>
          </cell>
          <cell r="R443" t="str">
            <v>Placeholder</v>
          </cell>
          <cell r="U443" t="str">
            <v>PC</v>
          </cell>
          <cell r="W443">
            <v>1</v>
          </cell>
          <cell r="X443" t="str">
            <v>USD</v>
          </cell>
          <cell r="Z443">
            <v>0</v>
          </cell>
          <cell r="AA443">
            <v>0</v>
          </cell>
          <cell r="AC443">
            <v>0</v>
          </cell>
          <cell r="AD443">
            <v>0</v>
          </cell>
          <cell r="AF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P443" t="str">
            <v>X</v>
          </cell>
          <cell r="AQ443" t="str">
            <v>CF.5</v>
          </cell>
        </row>
        <row r="444">
          <cell r="B444" t="str">
            <v>Low Level Control HW</v>
          </cell>
          <cell r="C444">
            <v>0</v>
          </cell>
          <cell r="D444">
            <v>4</v>
          </cell>
          <cell r="E444" t="str">
            <v>CC</v>
          </cell>
          <cell r="F444" t="str">
            <v>AL</v>
          </cell>
          <cell r="G444" t="str">
            <v>SP</v>
          </cell>
          <cell r="H444" t="str">
            <v>04-CC-AL-SP</v>
          </cell>
          <cell r="I444" t="str">
            <v>Field Devices: Light Beacons / Tower Lamps (LB)</v>
          </cell>
          <cell r="Q444" t="str">
            <v>EXT</v>
          </cell>
          <cell r="R444" t="str">
            <v>Placeholder</v>
          </cell>
          <cell r="U444" t="str">
            <v>PC</v>
          </cell>
          <cell r="W444">
            <v>1</v>
          </cell>
          <cell r="X444" t="str">
            <v>USD</v>
          </cell>
          <cell r="Z444">
            <v>0</v>
          </cell>
          <cell r="AA444">
            <v>0</v>
          </cell>
          <cell r="AC444">
            <v>0</v>
          </cell>
          <cell r="AD444">
            <v>0</v>
          </cell>
          <cell r="AF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P444" t="str">
            <v>X</v>
          </cell>
          <cell r="AQ444" t="str">
            <v>CF.5</v>
          </cell>
        </row>
        <row r="445">
          <cell r="B445" t="str">
            <v/>
          </cell>
          <cell r="H445" t="str">
            <v>--</v>
          </cell>
          <cell r="Q445" t="str">
            <v>EXT</v>
          </cell>
          <cell r="R445" t="str">
            <v>Placeholder</v>
          </cell>
          <cell r="W445">
            <v>1</v>
          </cell>
          <cell r="X445" t="str">
            <v>USD</v>
          </cell>
          <cell r="Z445">
            <v>0</v>
          </cell>
          <cell r="AA445">
            <v>0</v>
          </cell>
          <cell r="AC445">
            <v>0</v>
          </cell>
          <cell r="AD445">
            <v>0</v>
          </cell>
          <cell r="AF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P445" t="str">
            <v>X</v>
          </cell>
          <cell r="AQ445" t="str">
            <v/>
          </cell>
        </row>
        <row r="446">
          <cell r="B446" t="str">
            <v/>
          </cell>
          <cell r="H446" t="str">
            <v>--</v>
          </cell>
          <cell r="Q446" t="str">
            <v>EXT</v>
          </cell>
          <cell r="R446" t="str">
            <v>Placeholder</v>
          </cell>
          <cell r="W446">
            <v>1</v>
          </cell>
          <cell r="X446" t="str">
            <v>USD</v>
          </cell>
          <cell r="Z446">
            <v>0</v>
          </cell>
          <cell r="AA446">
            <v>0</v>
          </cell>
          <cell r="AC446">
            <v>0</v>
          </cell>
          <cell r="AD446">
            <v>0</v>
          </cell>
          <cell r="AF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P446" t="str">
            <v>X</v>
          </cell>
          <cell r="AQ446" t="str">
            <v/>
          </cell>
        </row>
        <row r="447">
          <cell r="I447" t="str">
            <v>11.4 Cable Supporting System</v>
          </cell>
        </row>
        <row r="448">
          <cell r="B448" t="str">
            <v>Low Level Control HW</v>
          </cell>
          <cell r="C448">
            <v>0</v>
          </cell>
          <cell r="D448">
            <v>4</v>
          </cell>
          <cell r="E448" t="str">
            <v>CL</v>
          </cell>
          <cell r="F448" t="str">
            <v>AL</v>
          </cell>
          <cell r="G448" t="str">
            <v>BU</v>
          </cell>
          <cell r="H448" t="str">
            <v>04-CL-AL-BU</v>
          </cell>
          <cell r="I448" t="str">
            <v>Cable Tray Cable Rack, Cable Trunking, Cable Ladder, Conduit</v>
          </cell>
          <cell r="Q448" t="str">
            <v>EXT</v>
          </cell>
          <cell r="R448" t="str">
            <v>Placeholder</v>
          </cell>
          <cell r="U448" t="str">
            <v>MT</v>
          </cell>
          <cell r="W448">
            <v>1</v>
          </cell>
          <cell r="X448" t="str">
            <v>USD</v>
          </cell>
          <cell r="Z448">
            <v>0</v>
          </cell>
          <cell r="AA448">
            <v>0</v>
          </cell>
          <cell r="AC448">
            <v>0</v>
          </cell>
          <cell r="AD448">
            <v>0</v>
          </cell>
          <cell r="AF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P448" t="str">
            <v>X</v>
          </cell>
          <cell r="AQ448" t="str">
            <v>CF.5</v>
          </cell>
        </row>
        <row r="449">
          <cell r="B449" t="str">
            <v/>
          </cell>
          <cell r="H449" t="str">
            <v>--</v>
          </cell>
          <cell r="Q449" t="str">
            <v>EXT</v>
          </cell>
          <cell r="R449" t="str">
            <v>Placeholder</v>
          </cell>
          <cell r="W449">
            <v>1</v>
          </cell>
          <cell r="X449" t="str">
            <v>USD</v>
          </cell>
          <cell r="Z449">
            <v>0</v>
          </cell>
          <cell r="AA449">
            <v>0</v>
          </cell>
          <cell r="AC449">
            <v>0</v>
          </cell>
          <cell r="AD449">
            <v>0</v>
          </cell>
          <cell r="AF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P449" t="str">
            <v>X</v>
          </cell>
          <cell r="AQ449" t="str">
            <v/>
          </cell>
        </row>
        <row r="450">
          <cell r="B450" t="str">
            <v/>
          </cell>
          <cell r="H450" t="str">
            <v>--</v>
          </cell>
          <cell r="Q450" t="str">
            <v>EXT</v>
          </cell>
          <cell r="R450" t="str">
            <v>Placeholder</v>
          </cell>
          <cell r="W450">
            <v>1</v>
          </cell>
          <cell r="X450" t="str">
            <v>USD</v>
          </cell>
          <cell r="Z450">
            <v>0</v>
          </cell>
          <cell r="AA450">
            <v>0</v>
          </cell>
          <cell r="AC450">
            <v>0</v>
          </cell>
          <cell r="AD450">
            <v>0</v>
          </cell>
          <cell r="AF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P450" t="str">
            <v>X</v>
          </cell>
          <cell r="AQ450" t="str">
            <v/>
          </cell>
        </row>
        <row r="451">
          <cell r="I451" t="str">
            <v>11.5 Wire and Cable</v>
          </cell>
        </row>
        <row r="452">
          <cell r="B452" t="str">
            <v>Low Level Control HW</v>
          </cell>
          <cell r="C452">
            <v>0</v>
          </cell>
          <cell r="D452">
            <v>4</v>
          </cell>
          <cell r="E452" t="str">
            <v>CW</v>
          </cell>
          <cell r="F452" t="str">
            <v>E_</v>
          </cell>
          <cell r="G452" t="str">
            <v>DA</v>
          </cell>
          <cell r="H452" t="str">
            <v>04-CW-E_-DA</v>
          </cell>
          <cell r="I452" t="str">
            <v>Power Feed Rail</v>
          </cell>
          <cell r="Q452" t="str">
            <v>EXT</v>
          </cell>
          <cell r="R452" t="str">
            <v>Placeholder</v>
          </cell>
          <cell r="U452" t="str">
            <v>MT</v>
          </cell>
          <cell r="W452">
            <v>1</v>
          </cell>
          <cell r="X452" t="str">
            <v>USD</v>
          </cell>
          <cell r="Z452">
            <v>0</v>
          </cell>
          <cell r="AA452">
            <v>0</v>
          </cell>
          <cell r="AC452">
            <v>0</v>
          </cell>
          <cell r="AD452">
            <v>0</v>
          </cell>
          <cell r="AF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P452" t="str">
            <v>X</v>
          </cell>
          <cell r="AQ452" t="str">
            <v>CF.5</v>
          </cell>
        </row>
        <row r="453">
          <cell r="B453" t="str">
            <v>Low Level Control HW</v>
          </cell>
          <cell r="C453">
            <v>0</v>
          </cell>
          <cell r="D453">
            <v>4</v>
          </cell>
          <cell r="E453" t="str">
            <v>CW</v>
          </cell>
          <cell r="F453" t="str">
            <v>AL</v>
          </cell>
          <cell r="G453" t="str">
            <v>DB</v>
          </cell>
          <cell r="H453" t="str">
            <v>04-CW-AL-DB</v>
          </cell>
          <cell r="I453" t="str">
            <v>Low Voltage Power Cable</v>
          </cell>
          <cell r="Q453" t="str">
            <v>EXT</v>
          </cell>
          <cell r="R453" t="str">
            <v>Placeholder</v>
          </cell>
          <cell r="U453" t="str">
            <v>MT</v>
          </cell>
          <cell r="W453">
            <v>1</v>
          </cell>
          <cell r="X453" t="str">
            <v>USD</v>
          </cell>
          <cell r="Z453">
            <v>0</v>
          </cell>
          <cell r="AA453">
            <v>0</v>
          </cell>
          <cell r="AC453">
            <v>0</v>
          </cell>
          <cell r="AD453">
            <v>0</v>
          </cell>
          <cell r="AF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P453" t="str">
            <v>X</v>
          </cell>
          <cell r="AQ453" t="str">
            <v>CF.5</v>
          </cell>
        </row>
        <row r="454">
          <cell r="B454" t="str">
            <v>Low Level Control HW</v>
          </cell>
          <cell r="C454">
            <v>0</v>
          </cell>
          <cell r="D454">
            <v>4</v>
          </cell>
          <cell r="E454" t="str">
            <v>CW</v>
          </cell>
          <cell r="F454" t="str">
            <v>AL</v>
          </cell>
          <cell r="G454" t="str">
            <v>EB</v>
          </cell>
          <cell r="H454" t="str">
            <v>04-CW-AL-EB</v>
          </cell>
          <cell r="I454" t="str">
            <v>Earthing Cable</v>
          </cell>
          <cell r="Q454" t="str">
            <v>EXT</v>
          </cell>
          <cell r="R454" t="str">
            <v>Placeholder</v>
          </cell>
          <cell r="U454" t="str">
            <v>MT</v>
          </cell>
          <cell r="W454">
            <v>1</v>
          </cell>
          <cell r="X454" t="str">
            <v>USD</v>
          </cell>
          <cell r="Z454">
            <v>0</v>
          </cell>
          <cell r="AA454">
            <v>0</v>
          </cell>
          <cell r="AC454">
            <v>0</v>
          </cell>
          <cell r="AD454">
            <v>0</v>
          </cell>
          <cell r="AF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P454" t="str">
            <v>X</v>
          </cell>
          <cell r="AQ454" t="str">
            <v>CF.5</v>
          </cell>
        </row>
        <row r="455">
          <cell r="B455" t="str">
            <v>Low Level Control HW</v>
          </cell>
          <cell r="C455">
            <v>0</v>
          </cell>
          <cell r="D455">
            <v>4</v>
          </cell>
          <cell r="E455" t="str">
            <v>CW</v>
          </cell>
          <cell r="F455" t="str">
            <v>AL</v>
          </cell>
          <cell r="G455" t="str">
            <v>GA</v>
          </cell>
          <cell r="H455" t="str">
            <v>04-CW-AL-GA</v>
          </cell>
          <cell r="I455" t="str">
            <v>Signal Cable, CU Control Cable</v>
          </cell>
          <cell r="Q455" t="str">
            <v>EXT</v>
          </cell>
          <cell r="R455" t="str">
            <v>Placeholder</v>
          </cell>
          <cell r="U455" t="str">
            <v>MT</v>
          </cell>
          <cell r="W455">
            <v>1</v>
          </cell>
          <cell r="X455" t="str">
            <v>USD</v>
          </cell>
          <cell r="Z455">
            <v>0</v>
          </cell>
          <cell r="AA455">
            <v>0</v>
          </cell>
          <cell r="AC455">
            <v>0</v>
          </cell>
          <cell r="AD455">
            <v>0</v>
          </cell>
          <cell r="AF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P455" t="str">
            <v>X</v>
          </cell>
          <cell r="AQ455" t="str">
            <v>CF.5</v>
          </cell>
        </row>
        <row r="456">
          <cell r="B456" t="str">
            <v>Low Level Control HW</v>
          </cell>
          <cell r="C456">
            <v>0</v>
          </cell>
          <cell r="D456">
            <v>4</v>
          </cell>
          <cell r="E456" t="str">
            <v>CW</v>
          </cell>
          <cell r="F456" t="str">
            <v>AL</v>
          </cell>
          <cell r="G456" t="str">
            <v>GB</v>
          </cell>
          <cell r="H456" t="str">
            <v>04-CW-AL-GB</v>
          </cell>
          <cell r="I456" t="str">
            <v>Signal Cable, CU Data Cable</v>
          </cell>
          <cell r="Q456" t="str">
            <v>EXT</v>
          </cell>
          <cell r="R456" t="str">
            <v>Placeholder</v>
          </cell>
          <cell r="U456" t="str">
            <v>MT</v>
          </cell>
          <cell r="W456">
            <v>1</v>
          </cell>
          <cell r="X456" t="str">
            <v>USD</v>
          </cell>
          <cell r="Z456">
            <v>0</v>
          </cell>
          <cell r="AA456">
            <v>0</v>
          </cell>
          <cell r="AC456">
            <v>0</v>
          </cell>
          <cell r="AD456">
            <v>0</v>
          </cell>
          <cell r="AF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P456" t="str">
            <v>X</v>
          </cell>
          <cell r="AQ456" t="str">
            <v>CF.5</v>
          </cell>
        </row>
        <row r="457">
          <cell r="B457" t="str">
            <v>Low Level Control HW</v>
          </cell>
          <cell r="C457">
            <v>0</v>
          </cell>
          <cell r="D457">
            <v>4</v>
          </cell>
          <cell r="E457" t="str">
            <v>CW</v>
          </cell>
          <cell r="F457" t="str">
            <v>AL</v>
          </cell>
          <cell r="G457" t="str">
            <v>HA</v>
          </cell>
          <cell r="H457" t="str">
            <v>04-CW-AL-HA</v>
          </cell>
          <cell r="I457" t="str">
            <v>Signal Cable, Optical Fibre Optical Cable</v>
          </cell>
          <cell r="Q457" t="str">
            <v>EXT</v>
          </cell>
          <cell r="R457" t="str">
            <v>Placeholder</v>
          </cell>
          <cell r="U457" t="str">
            <v>MT</v>
          </cell>
          <cell r="W457">
            <v>1</v>
          </cell>
          <cell r="X457" t="str">
            <v>USD</v>
          </cell>
          <cell r="Z457">
            <v>0</v>
          </cell>
          <cell r="AA457">
            <v>0</v>
          </cell>
          <cell r="AC457">
            <v>0</v>
          </cell>
          <cell r="AD457">
            <v>0</v>
          </cell>
          <cell r="AF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P457" t="str">
            <v>X</v>
          </cell>
          <cell r="AQ457" t="str">
            <v>CF.5</v>
          </cell>
        </row>
        <row r="458">
          <cell r="B458" t="str">
            <v/>
          </cell>
          <cell r="H458" t="str">
            <v>--</v>
          </cell>
          <cell r="Q458" t="str">
            <v>EXT</v>
          </cell>
          <cell r="R458" t="str">
            <v>Placeholder</v>
          </cell>
          <cell r="W458">
            <v>1</v>
          </cell>
          <cell r="X458" t="str">
            <v>USD</v>
          </cell>
          <cell r="Z458">
            <v>0</v>
          </cell>
          <cell r="AA458">
            <v>0</v>
          </cell>
          <cell r="AC458">
            <v>0</v>
          </cell>
          <cell r="AD458">
            <v>0</v>
          </cell>
          <cell r="AF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P458" t="str">
            <v>X</v>
          </cell>
          <cell r="AQ458" t="str">
            <v/>
          </cell>
        </row>
        <row r="459">
          <cell r="B459" t="str">
            <v/>
          </cell>
          <cell r="H459" t="str">
            <v>--</v>
          </cell>
          <cell r="Q459" t="str">
            <v>EXT</v>
          </cell>
          <cell r="R459" t="str">
            <v>Placeholder</v>
          </cell>
          <cell r="W459">
            <v>1</v>
          </cell>
          <cell r="X459" t="str">
            <v>USD</v>
          </cell>
          <cell r="Z459">
            <v>0</v>
          </cell>
          <cell r="AA459">
            <v>0</v>
          </cell>
          <cell r="AC459">
            <v>0</v>
          </cell>
          <cell r="AD459">
            <v>0</v>
          </cell>
          <cell r="AF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P459" t="str">
            <v>X</v>
          </cell>
          <cell r="AQ459" t="str">
            <v/>
          </cell>
        </row>
        <row r="460">
          <cell r="I460" t="str">
            <v>11.8 Commissioning Spares</v>
          </cell>
        </row>
        <row r="461">
          <cell r="B461" t="str">
            <v>Low Level Control HW</v>
          </cell>
          <cell r="C461">
            <v>0</v>
          </cell>
          <cell r="D461">
            <v>4</v>
          </cell>
          <cell r="E461" t="str">
            <v>CP</v>
          </cell>
          <cell r="F461" t="str">
            <v>AL</v>
          </cell>
          <cell r="G461" t="str">
            <v>AB</v>
          </cell>
          <cell r="H461" t="str">
            <v>04-CP-AL-AB</v>
          </cell>
          <cell r="I461" t="str">
            <v>Electrical Spare Parts</v>
          </cell>
          <cell r="Q461" t="str">
            <v>EXT</v>
          </cell>
          <cell r="R461" t="str">
            <v>Placeholder</v>
          </cell>
          <cell r="U461" t="str">
            <v>LS</v>
          </cell>
          <cell r="W461">
            <v>1</v>
          </cell>
          <cell r="X461" t="str">
            <v>USD</v>
          </cell>
          <cell r="Z461">
            <v>0</v>
          </cell>
          <cell r="AA461">
            <v>0</v>
          </cell>
          <cell r="AC461">
            <v>0</v>
          </cell>
          <cell r="AD461">
            <v>0</v>
          </cell>
          <cell r="AF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P461" t="str">
            <v>X</v>
          </cell>
          <cell r="AQ461" t="str">
            <v>CF.5</v>
          </cell>
        </row>
        <row r="462">
          <cell r="B462" t="str">
            <v>Low Level Control HW</v>
          </cell>
          <cell r="C462">
            <v>0</v>
          </cell>
          <cell r="D462">
            <v>4</v>
          </cell>
          <cell r="E462" t="str">
            <v>CP</v>
          </cell>
          <cell r="F462" t="str">
            <v>AL</v>
          </cell>
          <cell r="G462" t="str">
            <v>AC</v>
          </cell>
          <cell r="H462" t="str">
            <v>04-CP-AL-AC</v>
          </cell>
          <cell r="I462" t="str">
            <v>Control Spare Parts</v>
          </cell>
          <cell r="Q462" t="str">
            <v>EXT</v>
          </cell>
          <cell r="R462" t="str">
            <v>Placeholder</v>
          </cell>
          <cell r="U462" t="str">
            <v>LS</v>
          </cell>
          <cell r="W462">
            <v>1</v>
          </cell>
          <cell r="X462" t="str">
            <v>USD</v>
          </cell>
          <cell r="Z462">
            <v>0</v>
          </cell>
          <cell r="AA462">
            <v>0</v>
          </cell>
          <cell r="AC462">
            <v>0</v>
          </cell>
          <cell r="AD462">
            <v>0</v>
          </cell>
          <cell r="AF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P462" t="str">
            <v>X</v>
          </cell>
          <cell r="AQ462" t="str">
            <v>CF.5</v>
          </cell>
        </row>
        <row r="463">
          <cell r="B463" t="str">
            <v/>
          </cell>
          <cell r="H463" t="str">
            <v>--</v>
          </cell>
          <cell r="Q463" t="str">
            <v>EXT</v>
          </cell>
          <cell r="R463" t="str">
            <v>Placeholder</v>
          </cell>
          <cell r="W463">
            <v>1</v>
          </cell>
          <cell r="X463" t="str">
            <v>USD</v>
          </cell>
          <cell r="Z463">
            <v>0</v>
          </cell>
          <cell r="AA463">
            <v>0</v>
          </cell>
          <cell r="AC463">
            <v>0</v>
          </cell>
          <cell r="AD463">
            <v>0</v>
          </cell>
          <cell r="AF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P463" t="str">
            <v>X</v>
          </cell>
          <cell r="AQ463" t="str">
            <v/>
          </cell>
        </row>
        <row r="464">
          <cell r="B464" t="str">
            <v/>
          </cell>
          <cell r="H464" t="str">
            <v>--</v>
          </cell>
          <cell r="Q464" t="str">
            <v>EXT</v>
          </cell>
          <cell r="R464" t="str">
            <v>Placeholder</v>
          </cell>
          <cell r="W464">
            <v>1</v>
          </cell>
          <cell r="X464" t="str">
            <v>USD</v>
          </cell>
          <cell r="Z464">
            <v>0</v>
          </cell>
          <cell r="AA464">
            <v>0</v>
          </cell>
          <cell r="AC464">
            <v>0</v>
          </cell>
          <cell r="AD464">
            <v>0</v>
          </cell>
          <cell r="AF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P464" t="str">
            <v>X</v>
          </cell>
          <cell r="AQ464" t="str">
            <v/>
          </cell>
        </row>
        <row r="465">
          <cell r="I465" t="str">
            <v>11.9 Inital Spare Part Package / Onsite Spares</v>
          </cell>
        </row>
        <row r="466">
          <cell r="B466" t="str">
            <v>Operation &amp; Maintenance - One-Time Cost</v>
          </cell>
          <cell r="C466" t="str">
            <v>W</v>
          </cell>
          <cell r="D466">
            <v>4</v>
          </cell>
          <cell r="E466" t="str">
            <v>CI</v>
          </cell>
          <cell r="F466" t="str">
            <v>AL</v>
          </cell>
          <cell r="G466" t="str">
            <v>AB</v>
          </cell>
          <cell r="H466" t="str">
            <v>W4-CI-AL-AB</v>
          </cell>
          <cell r="I466" t="str">
            <v>Electrical Spare Parts</v>
          </cell>
          <cell r="Q466" t="str">
            <v>EXT</v>
          </cell>
          <cell r="R466" t="str">
            <v>Placeholder</v>
          </cell>
          <cell r="U466" t="str">
            <v>LS</v>
          </cell>
          <cell r="W466">
            <v>1</v>
          </cell>
          <cell r="X466" t="str">
            <v>USD</v>
          </cell>
          <cell r="Z466">
            <v>0</v>
          </cell>
          <cell r="AA466">
            <v>0</v>
          </cell>
          <cell r="AC466">
            <v>0</v>
          </cell>
          <cell r="AD466">
            <v>0</v>
          </cell>
          <cell r="AF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P466" t="str">
            <v>X</v>
          </cell>
          <cell r="AQ466" t="str">
            <v>CF.15</v>
          </cell>
        </row>
        <row r="467">
          <cell r="B467" t="str">
            <v>Operation &amp; Maintenance - One-Time Cost</v>
          </cell>
          <cell r="C467" t="str">
            <v>W</v>
          </cell>
          <cell r="D467">
            <v>4</v>
          </cell>
          <cell r="E467" t="str">
            <v>CI</v>
          </cell>
          <cell r="F467" t="str">
            <v>AL</v>
          </cell>
          <cell r="G467" t="str">
            <v>AC</v>
          </cell>
          <cell r="H467" t="str">
            <v>W4-CI-AL-AC</v>
          </cell>
          <cell r="I467" t="str">
            <v>Control Spare Parts</v>
          </cell>
          <cell r="Q467" t="str">
            <v>EXT</v>
          </cell>
          <cell r="R467" t="str">
            <v>Placeholder</v>
          </cell>
          <cell r="U467" t="str">
            <v>LS</v>
          </cell>
          <cell r="W467">
            <v>1</v>
          </cell>
          <cell r="X467" t="str">
            <v>USD</v>
          </cell>
          <cell r="Z467">
            <v>0</v>
          </cell>
          <cell r="AA467">
            <v>0</v>
          </cell>
          <cell r="AC467">
            <v>0</v>
          </cell>
          <cell r="AD467">
            <v>0</v>
          </cell>
          <cell r="AF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P467" t="str">
            <v>X</v>
          </cell>
          <cell r="AQ467" t="str">
            <v>CF.15</v>
          </cell>
        </row>
        <row r="468">
          <cell r="B468" t="str">
            <v/>
          </cell>
          <cell r="H468" t="str">
            <v>--</v>
          </cell>
          <cell r="Q468" t="str">
            <v>EXT</v>
          </cell>
          <cell r="R468" t="str">
            <v>Placeholder</v>
          </cell>
          <cell r="W468">
            <v>1</v>
          </cell>
          <cell r="X468" t="str">
            <v>USD</v>
          </cell>
          <cell r="Z468">
            <v>0</v>
          </cell>
          <cell r="AA468">
            <v>0</v>
          </cell>
          <cell r="AC468">
            <v>0</v>
          </cell>
          <cell r="AD468">
            <v>0</v>
          </cell>
          <cell r="AF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P468" t="str">
            <v>X</v>
          </cell>
          <cell r="AQ468" t="str">
            <v/>
          </cell>
        </row>
        <row r="469">
          <cell r="B469" t="str">
            <v/>
          </cell>
          <cell r="H469" t="str">
            <v>--</v>
          </cell>
          <cell r="Q469" t="str">
            <v>EXT</v>
          </cell>
          <cell r="R469" t="str">
            <v>Placeholder</v>
          </cell>
          <cell r="W469">
            <v>1</v>
          </cell>
          <cell r="X469" t="str">
            <v>USD</v>
          </cell>
          <cell r="Z469">
            <v>0</v>
          </cell>
          <cell r="AA469">
            <v>0</v>
          </cell>
          <cell r="AC469">
            <v>0</v>
          </cell>
          <cell r="AD469">
            <v>0</v>
          </cell>
          <cell r="AF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P469" t="str">
            <v>X</v>
          </cell>
          <cell r="AQ469" t="str">
            <v/>
          </cell>
        </row>
        <row r="470">
          <cell r="B470" t="str">
            <v>Subtotal - 12</v>
          </cell>
          <cell r="I470" t="str">
            <v>12. Unit Load Device Handling (ULD)</v>
          </cell>
        </row>
        <row r="471">
          <cell r="I471" t="str">
            <v>12.1 Control Panel (LP = Power and PLC Part)</v>
          </cell>
        </row>
        <row r="472">
          <cell r="B472" t="str">
            <v>Low Level Control HW</v>
          </cell>
          <cell r="C472">
            <v>0</v>
          </cell>
          <cell r="D472">
            <v>4</v>
          </cell>
          <cell r="E472" t="str">
            <v>CU</v>
          </cell>
          <cell r="F472" t="str">
            <v>AU</v>
          </cell>
          <cell r="G472" t="str">
            <v>BG</v>
          </cell>
          <cell r="H472" t="str">
            <v>04-CU-AU-BG</v>
          </cell>
          <cell r="I472" t="str">
            <v>Central Control Panel (LP001)</v>
          </cell>
          <cell r="Q472" t="str">
            <v>EXT</v>
          </cell>
          <cell r="R472" t="str">
            <v>Placeholder</v>
          </cell>
          <cell r="U472" t="str">
            <v>PC</v>
          </cell>
          <cell r="W472">
            <v>1</v>
          </cell>
          <cell r="X472" t="str">
            <v>USD</v>
          </cell>
          <cell r="Z472">
            <v>0</v>
          </cell>
          <cell r="AA472">
            <v>0</v>
          </cell>
          <cell r="AC472">
            <v>0</v>
          </cell>
          <cell r="AD472">
            <v>0</v>
          </cell>
          <cell r="AF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P472" t="str">
            <v>X</v>
          </cell>
          <cell r="AQ472" t="str">
            <v>CF.5</v>
          </cell>
        </row>
        <row r="473">
          <cell r="B473" t="str">
            <v/>
          </cell>
          <cell r="H473" t="str">
            <v>--</v>
          </cell>
          <cell r="Q473" t="str">
            <v>EXT</v>
          </cell>
          <cell r="R473" t="str">
            <v>Placeholder</v>
          </cell>
          <cell r="W473">
            <v>1</v>
          </cell>
          <cell r="X473" t="str">
            <v>USD</v>
          </cell>
          <cell r="Z473">
            <v>0</v>
          </cell>
          <cell r="AA473">
            <v>0</v>
          </cell>
          <cell r="AC473">
            <v>0</v>
          </cell>
          <cell r="AD473">
            <v>0</v>
          </cell>
          <cell r="AF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P473" t="str">
            <v>X</v>
          </cell>
          <cell r="AQ473" t="str">
            <v/>
          </cell>
        </row>
        <row r="474">
          <cell r="B474" t="str">
            <v/>
          </cell>
          <cell r="H474" t="str">
            <v>--</v>
          </cell>
          <cell r="Q474" t="str">
            <v>EXT</v>
          </cell>
          <cell r="R474" t="str">
            <v>Placeholder</v>
          </cell>
          <cell r="W474">
            <v>1</v>
          </cell>
          <cell r="X474" t="str">
            <v>USD</v>
          </cell>
          <cell r="Z474">
            <v>0</v>
          </cell>
          <cell r="AA474">
            <v>0</v>
          </cell>
          <cell r="AC474">
            <v>0</v>
          </cell>
          <cell r="AD474">
            <v>0</v>
          </cell>
          <cell r="AF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P474" t="str">
            <v>X</v>
          </cell>
          <cell r="AQ474" t="str">
            <v/>
          </cell>
        </row>
        <row r="475">
          <cell r="I475" t="str">
            <v>12.2 Field Panels (PM, PFC, …)</v>
          </cell>
        </row>
        <row r="476">
          <cell r="B476" t="str">
            <v>Low Level Control HW</v>
          </cell>
          <cell r="C476">
            <v>0</v>
          </cell>
          <cell r="D476">
            <v>4</v>
          </cell>
          <cell r="E476" t="str">
            <v>CU</v>
          </cell>
          <cell r="F476" t="str">
            <v>AU</v>
          </cell>
          <cell r="G476" t="str">
            <v>CC</v>
          </cell>
          <cell r="H476" t="str">
            <v>04-CU-AU-CC</v>
          </cell>
          <cell r="I476" t="str">
            <v>Field Panels: Field Control Panel (PM)</v>
          </cell>
          <cell r="Q476" t="str">
            <v>EXT</v>
          </cell>
          <cell r="R476" t="str">
            <v>Placeholder</v>
          </cell>
          <cell r="U476" t="str">
            <v>PC</v>
          </cell>
          <cell r="W476">
            <v>1</v>
          </cell>
          <cell r="X476" t="str">
            <v>USD</v>
          </cell>
          <cell r="Z476">
            <v>0</v>
          </cell>
          <cell r="AA476">
            <v>0</v>
          </cell>
          <cell r="AC476">
            <v>0</v>
          </cell>
          <cell r="AD476">
            <v>0</v>
          </cell>
          <cell r="AF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P476" t="str">
            <v>X</v>
          </cell>
          <cell r="AQ476" t="str">
            <v>CF.5</v>
          </cell>
        </row>
        <row r="477">
          <cell r="B477" t="str">
            <v>Low Level Control HW</v>
          </cell>
          <cell r="C477">
            <v>0</v>
          </cell>
          <cell r="D477">
            <v>4</v>
          </cell>
          <cell r="E477" t="str">
            <v>CU</v>
          </cell>
          <cell r="F477" t="str">
            <v>AU</v>
          </cell>
          <cell r="G477" t="str">
            <v>CE</v>
          </cell>
          <cell r="H477" t="str">
            <v>04-CU-AU-CE</v>
          </cell>
          <cell r="I477" t="str">
            <v>Field Panels: I/O Box IOB (FB)</v>
          </cell>
          <cell r="Q477" t="str">
            <v>EXT</v>
          </cell>
          <cell r="R477" t="str">
            <v>Placeholder</v>
          </cell>
          <cell r="U477" t="str">
            <v>PC</v>
          </cell>
          <cell r="W477">
            <v>1</v>
          </cell>
          <cell r="X477" t="str">
            <v>USD</v>
          </cell>
          <cell r="Z477">
            <v>0</v>
          </cell>
          <cell r="AA477">
            <v>0</v>
          </cell>
          <cell r="AC477">
            <v>0</v>
          </cell>
          <cell r="AD477">
            <v>0</v>
          </cell>
          <cell r="AF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P477" t="str">
            <v>X</v>
          </cell>
          <cell r="AQ477" t="str">
            <v>CF.5</v>
          </cell>
        </row>
        <row r="478">
          <cell r="B478" t="str">
            <v>Low Level Control HW</v>
          </cell>
          <cell r="C478">
            <v>0</v>
          </cell>
          <cell r="D478">
            <v>4</v>
          </cell>
          <cell r="E478" t="str">
            <v>CU</v>
          </cell>
          <cell r="F478" t="str">
            <v>AU</v>
          </cell>
          <cell r="G478" t="str">
            <v>CE</v>
          </cell>
          <cell r="H478" t="str">
            <v>04-CU-AU-CE</v>
          </cell>
          <cell r="I478" t="str">
            <v>Field Panels: Panel Motor Unit (DC)</v>
          </cell>
          <cell r="Q478" t="str">
            <v>EXT</v>
          </cell>
          <cell r="R478" t="str">
            <v>Placeholder</v>
          </cell>
          <cell r="U478" t="str">
            <v>PC</v>
          </cell>
          <cell r="W478">
            <v>1</v>
          </cell>
          <cell r="X478" t="str">
            <v>USD</v>
          </cell>
          <cell r="Z478">
            <v>0</v>
          </cell>
          <cell r="AA478">
            <v>0</v>
          </cell>
          <cell r="AC478">
            <v>0</v>
          </cell>
          <cell r="AD478">
            <v>0</v>
          </cell>
          <cell r="AF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P478" t="str">
            <v>X</v>
          </cell>
          <cell r="AQ478" t="str">
            <v>CF.5</v>
          </cell>
        </row>
        <row r="479">
          <cell r="B479" t="str">
            <v/>
          </cell>
          <cell r="H479" t="str">
            <v>--</v>
          </cell>
          <cell r="Q479" t="str">
            <v>EXT</v>
          </cell>
          <cell r="R479" t="str">
            <v>Placeholder</v>
          </cell>
          <cell r="W479">
            <v>1</v>
          </cell>
          <cell r="X479" t="str">
            <v>USD</v>
          </cell>
          <cell r="Z479">
            <v>0</v>
          </cell>
          <cell r="AA479">
            <v>0</v>
          </cell>
          <cell r="AC479">
            <v>0</v>
          </cell>
          <cell r="AD479">
            <v>0</v>
          </cell>
          <cell r="AF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P479" t="str">
            <v>X</v>
          </cell>
          <cell r="AQ479" t="str">
            <v/>
          </cell>
        </row>
        <row r="480">
          <cell r="B480" t="str">
            <v/>
          </cell>
          <cell r="H480" t="str">
            <v>--</v>
          </cell>
          <cell r="Q480" t="str">
            <v>EXT</v>
          </cell>
          <cell r="R480" t="str">
            <v>Placeholder</v>
          </cell>
          <cell r="W480">
            <v>1</v>
          </cell>
          <cell r="X480" t="str">
            <v>USD</v>
          </cell>
          <cell r="Z480">
            <v>0</v>
          </cell>
          <cell r="AA480">
            <v>0</v>
          </cell>
          <cell r="AC480">
            <v>0</v>
          </cell>
          <cell r="AD480">
            <v>0</v>
          </cell>
          <cell r="AF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P480" t="str">
            <v>X</v>
          </cell>
          <cell r="AQ480" t="str">
            <v/>
          </cell>
        </row>
        <row r="481">
          <cell r="I481" t="str">
            <v>12.3 Field Devices Sensors…</v>
          </cell>
        </row>
        <row r="482">
          <cell r="B482" t="str">
            <v>Low Level Control HW</v>
          </cell>
          <cell r="C482">
            <v>0</v>
          </cell>
          <cell r="D482">
            <v>4</v>
          </cell>
          <cell r="E482" t="str">
            <v>CC</v>
          </cell>
          <cell r="F482" t="str">
            <v>AU</v>
          </cell>
          <cell r="G482" t="str">
            <v>BG</v>
          </cell>
          <cell r="H482" t="str">
            <v>04-CC-AU-BG</v>
          </cell>
          <cell r="I482" t="str">
            <v>Field Devices: Actors, Sensors</v>
          </cell>
          <cell r="Q482" t="str">
            <v>EXT</v>
          </cell>
          <cell r="R482" t="str">
            <v>Placeholder</v>
          </cell>
          <cell r="U482" t="str">
            <v>PC</v>
          </cell>
          <cell r="W482">
            <v>1</v>
          </cell>
          <cell r="X482" t="str">
            <v>USD</v>
          </cell>
          <cell r="Z482">
            <v>0</v>
          </cell>
          <cell r="AA482">
            <v>0</v>
          </cell>
          <cell r="AC482">
            <v>0</v>
          </cell>
          <cell r="AD482">
            <v>0</v>
          </cell>
          <cell r="AF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P482" t="str">
            <v>X</v>
          </cell>
          <cell r="AQ482" t="str">
            <v>CF.5</v>
          </cell>
        </row>
        <row r="483">
          <cell r="B483" t="str">
            <v>Low Level Control HW</v>
          </cell>
          <cell r="C483">
            <v>0</v>
          </cell>
          <cell r="D483">
            <v>4</v>
          </cell>
          <cell r="E483" t="str">
            <v>CC</v>
          </cell>
          <cell r="F483" t="str">
            <v>AU</v>
          </cell>
          <cell r="G483" t="str">
            <v>BA</v>
          </cell>
          <cell r="H483" t="str">
            <v>04-CC-AU-BA</v>
          </cell>
          <cell r="I483" t="str">
            <v>Field Devices: I/O Devices</v>
          </cell>
          <cell r="Q483" t="str">
            <v>EXT</v>
          </cell>
          <cell r="R483" t="str">
            <v>Placeholder</v>
          </cell>
          <cell r="U483" t="str">
            <v>PC</v>
          </cell>
          <cell r="W483">
            <v>1</v>
          </cell>
          <cell r="X483" t="str">
            <v>USD</v>
          </cell>
          <cell r="Z483">
            <v>0</v>
          </cell>
          <cell r="AA483">
            <v>0</v>
          </cell>
          <cell r="AC483">
            <v>0</v>
          </cell>
          <cell r="AD483">
            <v>0</v>
          </cell>
          <cell r="AF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P483" t="str">
            <v>X</v>
          </cell>
          <cell r="AQ483" t="str">
            <v>CF.5</v>
          </cell>
        </row>
        <row r="484">
          <cell r="B484" t="str">
            <v>Low Level Control HW</v>
          </cell>
          <cell r="C484">
            <v>0</v>
          </cell>
          <cell r="D484">
            <v>4</v>
          </cell>
          <cell r="E484" t="str">
            <v>CC</v>
          </cell>
          <cell r="F484" t="str">
            <v>AU</v>
          </cell>
          <cell r="G484" t="str">
            <v>BU</v>
          </cell>
          <cell r="H484" t="str">
            <v>04-CC-AU-BU</v>
          </cell>
          <cell r="I484" t="str">
            <v>Field Devices: Equipment Brackets &amp; Supports</v>
          </cell>
          <cell r="Q484" t="str">
            <v>EXT</v>
          </cell>
          <cell r="R484" t="str">
            <v>Placeholder</v>
          </cell>
          <cell r="U484" t="str">
            <v>PC</v>
          </cell>
          <cell r="W484">
            <v>1</v>
          </cell>
          <cell r="X484" t="str">
            <v>USD</v>
          </cell>
          <cell r="Z484">
            <v>0</v>
          </cell>
          <cell r="AA484">
            <v>0</v>
          </cell>
          <cell r="AC484">
            <v>0</v>
          </cell>
          <cell r="AD484">
            <v>0</v>
          </cell>
          <cell r="AF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P484" t="str">
            <v>X</v>
          </cell>
          <cell r="AQ484" t="str">
            <v>CF.5</v>
          </cell>
        </row>
        <row r="485">
          <cell r="B485" t="str">
            <v>Low Level Control HW</v>
          </cell>
          <cell r="C485">
            <v>0</v>
          </cell>
          <cell r="D485">
            <v>4</v>
          </cell>
          <cell r="E485" t="str">
            <v>CC</v>
          </cell>
          <cell r="F485" t="str">
            <v>AU</v>
          </cell>
          <cell r="G485" t="str">
            <v>BW</v>
          </cell>
          <cell r="H485" t="str">
            <v>04-CC-AU-BW</v>
          </cell>
          <cell r="I485" t="str">
            <v>Field Devices: Premanu. Sensor cable</v>
          </cell>
          <cell r="Q485" t="str">
            <v>EXT</v>
          </cell>
          <cell r="R485" t="str">
            <v>Placeholder</v>
          </cell>
          <cell r="U485" t="str">
            <v>PC</v>
          </cell>
          <cell r="W485">
            <v>1</v>
          </cell>
          <cell r="X485" t="str">
            <v>USD</v>
          </cell>
          <cell r="Z485">
            <v>0</v>
          </cell>
          <cell r="AA485">
            <v>0</v>
          </cell>
          <cell r="AC485">
            <v>0</v>
          </cell>
          <cell r="AD485">
            <v>0</v>
          </cell>
          <cell r="AF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P485" t="str">
            <v>X</v>
          </cell>
          <cell r="AQ485" t="str">
            <v>CF.5</v>
          </cell>
        </row>
        <row r="486">
          <cell r="B486" t="str">
            <v>Low Level Control HW</v>
          </cell>
          <cell r="C486">
            <v>0</v>
          </cell>
          <cell r="D486">
            <v>4</v>
          </cell>
          <cell r="E486" t="str">
            <v>CC</v>
          </cell>
          <cell r="F486" t="str">
            <v>AU</v>
          </cell>
          <cell r="G486" t="str">
            <v>SJ</v>
          </cell>
          <cell r="H486" t="str">
            <v>04-CC-AU-SJ</v>
          </cell>
          <cell r="I486" t="str">
            <v>Field Devices: Control Stations (CS), Operator Panel</v>
          </cell>
          <cell r="Q486" t="str">
            <v>EXT</v>
          </cell>
          <cell r="R486" t="str">
            <v>Placeholder</v>
          </cell>
          <cell r="U486" t="str">
            <v>PC</v>
          </cell>
          <cell r="W486">
            <v>1</v>
          </cell>
          <cell r="X486" t="str">
            <v>USD</v>
          </cell>
          <cell r="Z486">
            <v>0</v>
          </cell>
          <cell r="AA486">
            <v>0</v>
          </cell>
          <cell r="AC486">
            <v>0</v>
          </cell>
          <cell r="AD486">
            <v>0</v>
          </cell>
          <cell r="AF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P486" t="str">
            <v>X</v>
          </cell>
          <cell r="AQ486" t="str">
            <v>CF.5</v>
          </cell>
        </row>
        <row r="487">
          <cell r="B487" t="str">
            <v>Low Level Control HW</v>
          </cell>
          <cell r="C487">
            <v>0</v>
          </cell>
          <cell r="D487">
            <v>4</v>
          </cell>
          <cell r="E487" t="str">
            <v>CC</v>
          </cell>
          <cell r="F487" t="str">
            <v>AU</v>
          </cell>
          <cell r="G487" t="str">
            <v>SP</v>
          </cell>
          <cell r="H487" t="str">
            <v>04-CC-AU-SP</v>
          </cell>
          <cell r="I487" t="str">
            <v>Field Devices: Light Beacons / Tower Lamps (LB)</v>
          </cell>
          <cell r="Q487" t="str">
            <v>EXT</v>
          </cell>
          <cell r="R487" t="str">
            <v>Placeholder</v>
          </cell>
          <cell r="U487" t="str">
            <v>PC</v>
          </cell>
          <cell r="W487">
            <v>1</v>
          </cell>
          <cell r="X487" t="str">
            <v>USD</v>
          </cell>
          <cell r="Z487">
            <v>0</v>
          </cell>
          <cell r="AA487">
            <v>0</v>
          </cell>
          <cell r="AC487">
            <v>0</v>
          </cell>
          <cell r="AD487">
            <v>0</v>
          </cell>
          <cell r="AF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P487" t="str">
            <v>X</v>
          </cell>
          <cell r="AQ487" t="str">
            <v>CF.5</v>
          </cell>
        </row>
        <row r="488">
          <cell r="B488" t="str">
            <v/>
          </cell>
          <cell r="H488" t="str">
            <v>--</v>
          </cell>
          <cell r="Q488" t="str">
            <v>EXT</v>
          </cell>
          <cell r="R488" t="str">
            <v>Placeholder</v>
          </cell>
          <cell r="W488">
            <v>1</v>
          </cell>
          <cell r="X488" t="str">
            <v>USD</v>
          </cell>
          <cell r="Z488">
            <v>0</v>
          </cell>
          <cell r="AA488">
            <v>0</v>
          </cell>
          <cell r="AC488">
            <v>0</v>
          </cell>
          <cell r="AD488">
            <v>0</v>
          </cell>
          <cell r="AF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P488" t="str">
            <v>X</v>
          </cell>
          <cell r="AQ488" t="str">
            <v/>
          </cell>
        </row>
        <row r="489">
          <cell r="B489" t="str">
            <v/>
          </cell>
          <cell r="H489" t="str">
            <v>--</v>
          </cell>
          <cell r="Q489" t="str">
            <v>EXT</v>
          </cell>
          <cell r="R489" t="str">
            <v>Placeholder</v>
          </cell>
          <cell r="W489">
            <v>1</v>
          </cell>
          <cell r="X489" t="str">
            <v>USD</v>
          </cell>
          <cell r="Z489">
            <v>0</v>
          </cell>
          <cell r="AA489">
            <v>0</v>
          </cell>
          <cell r="AC489">
            <v>0</v>
          </cell>
          <cell r="AD489">
            <v>0</v>
          </cell>
          <cell r="AF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P489" t="str">
            <v>X</v>
          </cell>
          <cell r="AQ489" t="str">
            <v/>
          </cell>
        </row>
        <row r="490">
          <cell r="I490" t="str">
            <v>12.4 Cable Supporting System</v>
          </cell>
        </row>
        <row r="491">
          <cell r="B491" t="str">
            <v>Low Level Control HW</v>
          </cell>
          <cell r="C491">
            <v>0</v>
          </cell>
          <cell r="D491">
            <v>4</v>
          </cell>
          <cell r="E491" t="str">
            <v>CL</v>
          </cell>
          <cell r="F491" t="str">
            <v>AU</v>
          </cell>
          <cell r="G491" t="str">
            <v>BU</v>
          </cell>
          <cell r="H491" t="str">
            <v>04-CL-AU-BU</v>
          </cell>
          <cell r="I491" t="str">
            <v>Cable Tray Cable Rack, Cable Trunking, Cable Ladder, Conduit</v>
          </cell>
          <cell r="Q491" t="str">
            <v>EXT</v>
          </cell>
          <cell r="R491" t="str">
            <v>Placeholder</v>
          </cell>
          <cell r="U491" t="str">
            <v>MT</v>
          </cell>
          <cell r="W491">
            <v>1</v>
          </cell>
          <cell r="X491" t="str">
            <v>USD</v>
          </cell>
          <cell r="Z491">
            <v>0</v>
          </cell>
          <cell r="AA491">
            <v>0</v>
          </cell>
          <cell r="AC491">
            <v>0</v>
          </cell>
          <cell r="AD491">
            <v>0</v>
          </cell>
          <cell r="AF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P491" t="str">
            <v>X</v>
          </cell>
          <cell r="AQ491" t="str">
            <v>CF.5</v>
          </cell>
        </row>
        <row r="492">
          <cell r="B492" t="str">
            <v/>
          </cell>
          <cell r="H492" t="str">
            <v>--</v>
          </cell>
          <cell r="Q492" t="str">
            <v>EXT</v>
          </cell>
          <cell r="R492" t="str">
            <v>Placeholder</v>
          </cell>
          <cell r="W492">
            <v>1</v>
          </cell>
          <cell r="X492" t="str">
            <v>USD</v>
          </cell>
          <cell r="Z492">
            <v>0</v>
          </cell>
          <cell r="AA492">
            <v>0</v>
          </cell>
          <cell r="AC492">
            <v>0</v>
          </cell>
          <cell r="AD492">
            <v>0</v>
          </cell>
          <cell r="AF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P492" t="str">
            <v>X</v>
          </cell>
          <cell r="AQ492" t="str">
            <v/>
          </cell>
        </row>
        <row r="493">
          <cell r="B493" t="str">
            <v/>
          </cell>
          <cell r="H493" t="str">
            <v>--</v>
          </cell>
          <cell r="Q493" t="str">
            <v>EXT</v>
          </cell>
          <cell r="R493" t="str">
            <v>Placeholder</v>
          </cell>
          <cell r="W493">
            <v>1</v>
          </cell>
          <cell r="X493" t="str">
            <v>USD</v>
          </cell>
          <cell r="Z493">
            <v>0</v>
          </cell>
          <cell r="AA493">
            <v>0</v>
          </cell>
          <cell r="AC493">
            <v>0</v>
          </cell>
          <cell r="AD493">
            <v>0</v>
          </cell>
          <cell r="AF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P493" t="str">
            <v>X</v>
          </cell>
          <cell r="AQ493" t="str">
            <v/>
          </cell>
        </row>
        <row r="494">
          <cell r="I494" t="str">
            <v>12.5 Wire and Cable</v>
          </cell>
        </row>
        <row r="495">
          <cell r="B495" t="str">
            <v>Low Level Control HW</v>
          </cell>
          <cell r="C495">
            <v>0</v>
          </cell>
          <cell r="D495">
            <v>4</v>
          </cell>
          <cell r="E495" t="str">
            <v>CW</v>
          </cell>
          <cell r="F495" t="str">
            <v>E_</v>
          </cell>
          <cell r="G495" t="str">
            <v>DA</v>
          </cell>
          <cell r="H495" t="str">
            <v>04-CW-E_-DA</v>
          </cell>
          <cell r="I495" t="str">
            <v>Power Feed Rail</v>
          </cell>
          <cell r="Q495" t="str">
            <v>EXT</v>
          </cell>
          <cell r="R495" t="str">
            <v>Placeholder</v>
          </cell>
          <cell r="U495" t="str">
            <v>MT</v>
          </cell>
          <cell r="W495">
            <v>1</v>
          </cell>
          <cell r="X495" t="str">
            <v>USD</v>
          </cell>
          <cell r="Z495">
            <v>0</v>
          </cell>
          <cell r="AA495">
            <v>0</v>
          </cell>
          <cell r="AC495">
            <v>0</v>
          </cell>
          <cell r="AD495">
            <v>0</v>
          </cell>
          <cell r="AF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P495" t="str">
            <v>X</v>
          </cell>
          <cell r="AQ495" t="str">
            <v>CF.5</v>
          </cell>
        </row>
        <row r="496">
          <cell r="B496" t="str">
            <v>Low Level Control HW</v>
          </cell>
          <cell r="C496">
            <v>0</v>
          </cell>
          <cell r="D496">
            <v>4</v>
          </cell>
          <cell r="E496" t="str">
            <v>CW</v>
          </cell>
          <cell r="F496" t="str">
            <v>AU</v>
          </cell>
          <cell r="G496" t="str">
            <v>DB</v>
          </cell>
          <cell r="H496" t="str">
            <v>04-CW-AU-DB</v>
          </cell>
          <cell r="I496" t="str">
            <v>Low Voltage Power Cable</v>
          </cell>
          <cell r="Q496" t="str">
            <v>EXT</v>
          </cell>
          <cell r="R496" t="str">
            <v>Placeholder</v>
          </cell>
          <cell r="U496" t="str">
            <v>MT</v>
          </cell>
          <cell r="W496">
            <v>1</v>
          </cell>
          <cell r="X496" t="str">
            <v>USD</v>
          </cell>
          <cell r="Z496">
            <v>0</v>
          </cell>
          <cell r="AA496">
            <v>0</v>
          </cell>
          <cell r="AC496">
            <v>0</v>
          </cell>
          <cell r="AD496">
            <v>0</v>
          </cell>
          <cell r="AF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P496" t="str">
            <v>X</v>
          </cell>
          <cell r="AQ496" t="str">
            <v>CF.5</v>
          </cell>
        </row>
        <row r="497">
          <cell r="B497" t="str">
            <v>Low Level Control HW</v>
          </cell>
          <cell r="C497">
            <v>0</v>
          </cell>
          <cell r="D497">
            <v>4</v>
          </cell>
          <cell r="E497" t="str">
            <v>CW</v>
          </cell>
          <cell r="F497" t="str">
            <v>AU</v>
          </cell>
          <cell r="G497" t="str">
            <v>EB</v>
          </cell>
          <cell r="H497" t="str">
            <v>04-CW-AU-EB</v>
          </cell>
          <cell r="I497" t="str">
            <v>Earthing Cable</v>
          </cell>
          <cell r="Q497" t="str">
            <v>EXT</v>
          </cell>
          <cell r="R497" t="str">
            <v>Placeholder</v>
          </cell>
          <cell r="U497" t="str">
            <v>MT</v>
          </cell>
          <cell r="W497">
            <v>1</v>
          </cell>
          <cell r="X497" t="str">
            <v>USD</v>
          </cell>
          <cell r="Z497">
            <v>0</v>
          </cell>
          <cell r="AA497">
            <v>0</v>
          </cell>
          <cell r="AC497">
            <v>0</v>
          </cell>
          <cell r="AD497">
            <v>0</v>
          </cell>
          <cell r="AF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P497" t="str">
            <v>X</v>
          </cell>
          <cell r="AQ497" t="str">
            <v>CF.5</v>
          </cell>
        </row>
        <row r="498">
          <cell r="B498" t="str">
            <v>Low Level Control HW</v>
          </cell>
          <cell r="C498">
            <v>0</v>
          </cell>
          <cell r="D498">
            <v>4</v>
          </cell>
          <cell r="E498" t="str">
            <v>CW</v>
          </cell>
          <cell r="F498" t="str">
            <v>AU</v>
          </cell>
          <cell r="G498" t="str">
            <v>GA</v>
          </cell>
          <cell r="H498" t="str">
            <v>04-CW-AU-GA</v>
          </cell>
          <cell r="I498" t="str">
            <v>Signal Cable, CU Control Cable</v>
          </cell>
          <cell r="Q498" t="str">
            <v>EXT</v>
          </cell>
          <cell r="R498" t="str">
            <v>Placeholder</v>
          </cell>
          <cell r="U498" t="str">
            <v>MT</v>
          </cell>
          <cell r="W498">
            <v>1</v>
          </cell>
          <cell r="X498" t="str">
            <v>USD</v>
          </cell>
          <cell r="Z498">
            <v>0</v>
          </cell>
          <cell r="AA498">
            <v>0</v>
          </cell>
          <cell r="AC498">
            <v>0</v>
          </cell>
          <cell r="AD498">
            <v>0</v>
          </cell>
          <cell r="AF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P498" t="str">
            <v>X</v>
          </cell>
          <cell r="AQ498" t="str">
            <v>CF.5</v>
          </cell>
        </row>
        <row r="499">
          <cell r="B499" t="str">
            <v>Low Level Control HW</v>
          </cell>
          <cell r="C499">
            <v>0</v>
          </cell>
          <cell r="D499">
            <v>4</v>
          </cell>
          <cell r="E499" t="str">
            <v>CW</v>
          </cell>
          <cell r="F499" t="str">
            <v>AU</v>
          </cell>
          <cell r="G499" t="str">
            <v>GB</v>
          </cell>
          <cell r="H499" t="str">
            <v>04-CW-AU-GB</v>
          </cell>
          <cell r="I499" t="str">
            <v>Signal Cable, CU Data Cable</v>
          </cell>
          <cell r="Q499" t="str">
            <v>EXT</v>
          </cell>
          <cell r="R499" t="str">
            <v>Placeholder</v>
          </cell>
          <cell r="U499" t="str">
            <v>MT</v>
          </cell>
          <cell r="W499">
            <v>1</v>
          </cell>
          <cell r="X499" t="str">
            <v>USD</v>
          </cell>
          <cell r="Z499">
            <v>0</v>
          </cell>
          <cell r="AA499">
            <v>0</v>
          </cell>
          <cell r="AC499">
            <v>0</v>
          </cell>
          <cell r="AD499">
            <v>0</v>
          </cell>
          <cell r="AF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P499" t="str">
            <v>X</v>
          </cell>
          <cell r="AQ499" t="str">
            <v>CF.5</v>
          </cell>
        </row>
        <row r="500">
          <cell r="B500" t="str">
            <v>Low Level Control HW</v>
          </cell>
          <cell r="C500">
            <v>0</v>
          </cell>
          <cell r="D500">
            <v>4</v>
          </cell>
          <cell r="E500" t="str">
            <v>CW</v>
          </cell>
          <cell r="F500" t="str">
            <v>AU</v>
          </cell>
          <cell r="G500" t="str">
            <v>HA</v>
          </cell>
          <cell r="H500" t="str">
            <v>04-CW-AU-HA</v>
          </cell>
          <cell r="I500" t="str">
            <v>Signal Cable, Optical Fibre Optical Cable</v>
          </cell>
          <cell r="Q500" t="str">
            <v>EXT</v>
          </cell>
          <cell r="R500" t="str">
            <v>Placeholder</v>
          </cell>
          <cell r="U500" t="str">
            <v>MT</v>
          </cell>
          <cell r="W500">
            <v>1</v>
          </cell>
          <cell r="X500" t="str">
            <v>USD</v>
          </cell>
          <cell r="Z500">
            <v>0</v>
          </cell>
          <cell r="AA500">
            <v>0</v>
          </cell>
          <cell r="AC500">
            <v>0</v>
          </cell>
          <cell r="AD500">
            <v>0</v>
          </cell>
          <cell r="AF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P500" t="str">
            <v>X</v>
          </cell>
          <cell r="AQ500" t="str">
            <v>CF.5</v>
          </cell>
        </row>
        <row r="501">
          <cell r="B501" t="str">
            <v/>
          </cell>
          <cell r="H501" t="str">
            <v>--</v>
          </cell>
          <cell r="Q501" t="str">
            <v>EXT</v>
          </cell>
          <cell r="R501" t="str">
            <v>Placeholder</v>
          </cell>
          <cell r="W501">
            <v>1</v>
          </cell>
          <cell r="X501" t="str">
            <v>USD</v>
          </cell>
          <cell r="Z501">
            <v>0</v>
          </cell>
          <cell r="AA501">
            <v>0</v>
          </cell>
          <cell r="AC501">
            <v>0</v>
          </cell>
          <cell r="AD501">
            <v>0</v>
          </cell>
          <cell r="AF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P501" t="str">
            <v>X</v>
          </cell>
          <cell r="AQ501" t="str">
            <v/>
          </cell>
        </row>
        <row r="502">
          <cell r="B502" t="str">
            <v/>
          </cell>
          <cell r="H502" t="str">
            <v>--</v>
          </cell>
          <cell r="Q502" t="str">
            <v>EXT</v>
          </cell>
          <cell r="R502" t="str">
            <v>Placeholder</v>
          </cell>
          <cell r="W502">
            <v>1</v>
          </cell>
          <cell r="X502" t="str">
            <v>USD</v>
          </cell>
          <cell r="Z502">
            <v>0</v>
          </cell>
          <cell r="AA502">
            <v>0</v>
          </cell>
          <cell r="AC502">
            <v>0</v>
          </cell>
          <cell r="AD502">
            <v>0</v>
          </cell>
          <cell r="AF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P502" t="str">
            <v>X</v>
          </cell>
          <cell r="AQ502" t="str">
            <v/>
          </cell>
        </row>
        <row r="503">
          <cell r="I503" t="str">
            <v>12.8 Commissioning Spares</v>
          </cell>
        </row>
        <row r="504">
          <cell r="B504" t="str">
            <v>Low Level Control HW</v>
          </cell>
          <cell r="C504">
            <v>0</v>
          </cell>
          <cell r="D504">
            <v>4</v>
          </cell>
          <cell r="E504" t="str">
            <v>CP</v>
          </cell>
          <cell r="F504" t="str">
            <v>AU</v>
          </cell>
          <cell r="G504" t="str">
            <v>AB</v>
          </cell>
          <cell r="H504" t="str">
            <v>04-CP-AU-AB</v>
          </cell>
          <cell r="I504" t="str">
            <v>Electrical Spare Parts</v>
          </cell>
          <cell r="Q504" t="str">
            <v>EXT</v>
          </cell>
          <cell r="R504" t="str">
            <v>Placeholder</v>
          </cell>
          <cell r="U504" t="str">
            <v>LS</v>
          </cell>
          <cell r="W504">
            <v>1</v>
          </cell>
          <cell r="X504" t="str">
            <v>USD</v>
          </cell>
          <cell r="Z504">
            <v>0</v>
          </cell>
          <cell r="AA504">
            <v>0</v>
          </cell>
          <cell r="AC504">
            <v>0</v>
          </cell>
          <cell r="AD504">
            <v>0</v>
          </cell>
          <cell r="AF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P504" t="str">
            <v>X</v>
          </cell>
          <cell r="AQ504" t="str">
            <v>CF.5</v>
          </cell>
        </row>
        <row r="505">
          <cell r="B505" t="str">
            <v>Low Level Control HW</v>
          </cell>
          <cell r="C505">
            <v>0</v>
          </cell>
          <cell r="D505">
            <v>4</v>
          </cell>
          <cell r="E505" t="str">
            <v>CP</v>
          </cell>
          <cell r="F505" t="str">
            <v>AU</v>
          </cell>
          <cell r="G505" t="str">
            <v>AC</v>
          </cell>
          <cell r="H505" t="str">
            <v>04-CP-AU-AC</v>
          </cell>
          <cell r="I505" t="str">
            <v>Control Spare Parts</v>
          </cell>
          <cell r="Q505" t="str">
            <v>EXT</v>
          </cell>
          <cell r="R505" t="str">
            <v>Placeholder</v>
          </cell>
          <cell r="U505" t="str">
            <v>LS</v>
          </cell>
          <cell r="W505">
            <v>1</v>
          </cell>
          <cell r="X505" t="str">
            <v>USD</v>
          </cell>
          <cell r="Z505">
            <v>0</v>
          </cell>
          <cell r="AA505">
            <v>0</v>
          </cell>
          <cell r="AC505">
            <v>0</v>
          </cell>
          <cell r="AD505">
            <v>0</v>
          </cell>
          <cell r="AF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P505" t="str">
            <v>X</v>
          </cell>
          <cell r="AQ505" t="str">
            <v>CF.5</v>
          </cell>
        </row>
        <row r="506">
          <cell r="B506" t="str">
            <v/>
          </cell>
          <cell r="H506" t="str">
            <v>--</v>
          </cell>
          <cell r="Q506" t="str">
            <v>EXT</v>
          </cell>
          <cell r="R506" t="str">
            <v>Placeholder</v>
          </cell>
          <cell r="W506">
            <v>1</v>
          </cell>
          <cell r="X506" t="str">
            <v>USD</v>
          </cell>
          <cell r="Z506">
            <v>0</v>
          </cell>
          <cell r="AA506">
            <v>0</v>
          </cell>
          <cell r="AC506">
            <v>0</v>
          </cell>
          <cell r="AD506">
            <v>0</v>
          </cell>
          <cell r="AF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P506" t="str">
            <v>X</v>
          </cell>
          <cell r="AQ506" t="str">
            <v/>
          </cell>
        </row>
        <row r="507">
          <cell r="B507" t="str">
            <v/>
          </cell>
          <cell r="H507" t="str">
            <v>--</v>
          </cell>
          <cell r="Q507" t="str">
            <v>EXT</v>
          </cell>
          <cell r="R507" t="str">
            <v>Placeholder</v>
          </cell>
          <cell r="W507">
            <v>1</v>
          </cell>
          <cell r="X507" t="str">
            <v>USD</v>
          </cell>
          <cell r="Z507">
            <v>0</v>
          </cell>
          <cell r="AA507">
            <v>0</v>
          </cell>
          <cell r="AC507">
            <v>0</v>
          </cell>
          <cell r="AD507">
            <v>0</v>
          </cell>
          <cell r="AF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P507" t="str">
            <v>X</v>
          </cell>
          <cell r="AQ507" t="str">
            <v/>
          </cell>
        </row>
        <row r="508">
          <cell r="I508" t="str">
            <v>12.9 Inital Spare Part Package / Onsite Spares</v>
          </cell>
        </row>
        <row r="509">
          <cell r="B509" t="str">
            <v>Operation &amp; Maintenance - One-Time Cost</v>
          </cell>
          <cell r="C509" t="str">
            <v>W</v>
          </cell>
          <cell r="D509">
            <v>4</v>
          </cell>
          <cell r="E509" t="str">
            <v>CI</v>
          </cell>
          <cell r="F509" t="str">
            <v>AU</v>
          </cell>
          <cell r="G509" t="str">
            <v>AB</v>
          </cell>
          <cell r="H509" t="str">
            <v>W4-CI-AU-AB</v>
          </cell>
          <cell r="I509" t="str">
            <v>Electrical Spare Parts</v>
          </cell>
          <cell r="Q509" t="str">
            <v>EXT</v>
          </cell>
          <cell r="R509" t="str">
            <v>Placeholder</v>
          </cell>
          <cell r="U509" t="str">
            <v>LS</v>
          </cell>
          <cell r="W509">
            <v>1</v>
          </cell>
          <cell r="X509" t="str">
            <v>USD</v>
          </cell>
          <cell r="Z509">
            <v>0</v>
          </cell>
          <cell r="AA509">
            <v>0</v>
          </cell>
          <cell r="AC509">
            <v>0</v>
          </cell>
          <cell r="AD509">
            <v>0</v>
          </cell>
          <cell r="AF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P509" t="str">
            <v>X</v>
          </cell>
          <cell r="AQ509" t="str">
            <v>CF.15</v>
          </cell>
        </row>
        <row r="510">
          <cell r="B510" t="str">
            <v>Operation &amp; Maintenance - One-Time Cost</v>
          </cell>
          <cell r="C510" t="str">
            <v>W</v>
          </cell>
          <cell r="D510">
            <v>4</v>
          </cell>
          <cell r="E510" t="str">
            <v>CI</v>
          </cell>
          <cell r="F510" t="str">
            <v>AU</v>
          </cell>
          <cell r="G510" t="str">
            <v>AC</v>
          </cell>
          <cell r="H510" t="str">
            <v>W4-CI-AU-AC</v>
          </cell>
          <cell r="I510" t="str">
            <v>Control Spare Parts</v>
          </cell>
          <cell r="Q510" t="str">
            <v>EXT</v>
          </cell>
          <cell r="R510" t="str">
            <v>Placeholder</v>
          </cell>
          <cell r="U510" t="str">
            <v>LS</v>
          </cell>
          <cell r="W510">
            <v>1</v>
          </cell>
          <cell r="X510" t="str">
            <v>USD</v>
          </cell>
          <cell r="Z510">
            <v>0</v>
          </cell>
          <cell r="AA510">
            <v>0</v>
          </cell>
          <cell r="AC510">
            <v>0</v>
          </cell>
          <cell r="AD510">
            <v>0</v>
          </cell>
          <cell r="AF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P510" t="str">
            <v>X</v>
          </cell>
          <cell r="AQ510" t="str">
            <v>CF.15</v>
          </cell>
        </row>
        <row r="511">
          <cell r="B511" t="str">
            <v/>
          </cell>
          <cell r="H511" t="str">
            <v>--</v>
          </cell>
          <cell r="Q511" t="str">
            <v>EXT</v>
          </cell>
          <cell r="R511" t="str">
            <v>Placeholder</v>
          </cell>
          <cell r="W511">
            <v>1</v>
          </cell>
          <cell r="X511" t="str">
            <v>USD</v>
          </cell>
          <cell r="Z511">
            <v>0</v>
          </cell>
          <cell r="AA511">
            <v>0</v>
          </cell>
          <cell r="AC511">
            <v>0</v>
          </cell>
          <cell r="AD511">
            <v>0</v>
          </cell>
          <cell r="AF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P511" t="str">
            <v>X</v>
          </cell>
          <cell r="AQ511" t="str">
            <v/>
          </cell>
        </row>
        <row r="512">
          <cell r="B512" t="str">
            <v/>
          </cell>
          <cell r="H512" t="str">
            <v>--</v>
          </cell>
          <cell r="Q512" t="str">
            <v>EXT</v>
          </cell>
          <cell r="R512" t="str">
            <v>Placeholder</v>
          </cell>
          <cell r="W512">
            <v>1</v>
          </cell>
          <cell r="X512" t="str">
            <v>USD</v>
          </cell>
          <cell r="Z512">
            <v>0</v>
          </cell>
          <cell r="AA512">
            <v>0</v>
          </cell>
          <cell r="AC512">
            <v>0</v>
          </cell>
          <cell r="AD512">
            <v>0</v>
          </cell>
          <cell r="AF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P512" t="str">
            <v>X</v>
          </cell>
          <cell r="AQ512" t="str">
            <v/>
          </cell>
        </row>
        <row r="513">
          <cell r="B513" t="str">
            <v>Subtotal - 13</v>
          </cell>
          <cell r="I513" t="str">
            <v>13. Electrical Installation</v>
          </cell>
        </row>
        <row r="514">
          <cell r="I514" t="str">
            <v>13.1 Conveying Elements</v>
          </cell>
        </row>
        <row r="515">
          <cell r="B515" t="str">
            <v>Installation</v>
          </cell>
          <cell r="C515" t="str">
            <v>I</v>
          </cell>
          <cell r="D515">
            <v>4</v>
          </cell>
          <cell r="E515" t="str">
            <v>CC</v>
          </cell>
          <cell r="F515" t="str">
            <v>CI</v>
          </cell>
          <cell r="H515" t="str">
            <v>I4-CC-CI</v>
          </cell>
          <cell r="I515" t="str">
            <v>E-Installation Conveying Elements: Belt-Conveyor "Check-In"</v>
          </cell>
          <cell r="Q515" t="str">
            <v>EXT</v>
          </cell>
          <cell r="R515" t="str">
            <v>Placeholder</v>
          </cell>
          <cell r="U515" t="str">
            <v>PC</v>
          </cell>
          <cell r="W515">
            <v>1</v>
          </cell>
          <cell r="X515" t="str">
            <v>USD</v>
          </cell>
          <cell r="Z515">
            <v>0</v>
          </cell>
          <cell r="AA515">
            <v>0</v>
          </cell>
          <cell r="AC515">
            <v>0</v>
          </cell>
          <cell r="AD515">
            <v>0</v>
          </cell>
          <cell r="AF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P515" t="str">
            <v>X</v>
          </cell>
          <cell r="AQ515" t="str">
            <v>CF.12</v>
          </cell>
        </row>
        <row r="516">
          <cell r="B516" t="str">
            <v>Installation</v>
          </cell>
          <cell r="C516" t="str">
            <v>I</v>
          </cell>
          <cell r="D516">
            <v>4</v>
          </cell>
          <cell r="E516" t="str">
            <v>CC</v>
          </cell>
          <cell r="F516" t="str">
            <v>B_</v>
          </cell>
          <cell r="H516" t="str">
            <v>I4-CC-B_</v>
          </cell>
          <cell r="I516" t="str">
            <v>E-Installation Conveying Elements: Belt-Conveyor</v>
          </cell>
          <cell r="Q516" t="str">
            <v>EXT</v>
          </cell>
          <cell r="R516" t="str">
            <v>Placeholder</v>
          </cell>
          <cell r="U516" t="str">
            <v>PC</v>
          </cell>
          <cell r="W516">
            <v>1</v>
          </cell>
          <cell r="X516" t="str">
            <v>USD</v>
          </cell>
          <cell r="Z516">
            <v>0</v>
          </cell>
          <cell r="AA516">
            <v>0</v>
          </cell>
          <cell r="AC516">
            <v>0</v>
          </cell>
          <cell r="AD516">
            <v>0</v>
          </cell>
          <cell r="AF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P516" t="str">
            <v>X</v>
          </cell>
          <cell r="AQ516" t="str">
            <v>CF.12</v>
          </cell>
        </row>
        <row r="517">
          <cell r="B517" t="str">
            <v>Installation</v>
          </cell>
          <cell r="C517" t="str">
            <v>I</v>
          </cell>
          <cell r="D517">
            <v>4</v>
          </cell>
          <cell r="E517" t="str">
            <v>CC</v>
          </cell>
          <cell r="F517" t="str">
            <v>I_</v>
          </cell>
          <cell r="H517" t="str">
            <v>I4-CC-I_</v>
          </cell>
          <cell r="I517" t="str">
            <v>E-Installation Conveying Elements: Tray-Conveyor</v>
          </cell>
          <cell r="Q517" t="str">
            <v>EXT</v>
          </cell>
          <cell r="R517" t="str">
            <v>Placeholder</v>
          </cell>
          <cell r="U517" t="str">
            <v>PC</v>
          </cell>
          <cell r="W517">
            <v>1</v>
          </cell>
          <cell r="X517" t="str">
            <v>USD</v>
          </cell>
          <cell r="Z517">
            <v>0</v>
          </cell>
          <cell r="AA517">
            <v>0</v>
          </cell>
          <cell r="AC517">
            <v>0</v>
          </cell>
          <cell r="AD517">
            <v>0</v>
          </cell>
          <cell r="AF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P517" t="str">
            <v>X</v>
          </cell>
          <cell r="AQ517" t="str">
            <v>CF.12</v>
          </cell>
        </row>
        <row r="518">
          <cell r="B518" t="str">
            <v>Installation</v>
          </cell>
          <cell r="C518" t="str">
            <v>I</v>
          </cell>
          <cell r="D518">
            <v>4</v>
          </cell>
          <cell r="E518" t="str">
            <v>CC</v>
          </cell>
          <cell r="F518" t="str">
            <v>E_</v>
          </cell>
          <cell r="H518" t="str">
            <v>I4-CC-E_</v>
          </cell>
          <cell r="I518" t="str">
            <v>E-Installation Conveying Elements: Early Bag Storage</v>
          </cell>
          <cell r="Q518" t="str">
            <v>EXT</v>
          </cell>
          <cell r="R518" t="str">
            <v>Placeholder</v>
          </cell>
          <cell r="U518" t="str">
            <v>PC</v>
          </cell>
          <cell r="W518">
            <v>1</v>
          </cell>
          <cell r="X518" t="str">
            <v>USD</v>
          </cell>
          <cell r="Z518">
            <v>0</v>
          </cell>
          <cell r="AA518">
            <v>0</v>
          </cell>
          <cell r="AC518">
            <v>0</v>
          </cell>
          <cell r="AD518">
            <v>0</v>
          </cell>
          <cell r="AF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P518" t="str">
            <v>X</v>
          </cell>
          <cell r="AQ518" t="str">
            <v>CF.12</v>
          </cell>
        </row>
        <row r="519">
          <cell r="B519" t="str">
            <v/>
          </cell>
          <cell r="H519" t="str">
            <v>--</v>
          </cell>
          <cell r="Q519" t="str">
            <v>EXT</v>
          </cell>
          <cell r="R519" t="str">
            <v>Placeholder</v>
          </cell>
          <cell r="W519">
            <v>1</v>
          </cell>
          <cell r="X519" t="str">
            <v>USD</v>
          </cell>
          <cell r="Z519">
            <v>0</v>
          </cell>
          <cell r="AA519">
            <v>0</v>
          </cell>
          <cell r="AC519">
            <v>0</v>
          </cell>
          <cell r="AD519">
            <v>0</v>
          </cell>
          <cell r="AF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P519" t="str">
            <v>X</v>
          </cell>
          <cell r="AQ519" t="str">
            <v/>
          </cell>
        </row>
        <row r="520">
          <cell r="B520" t="str">
            <v/>
          </cell>
          <cell r="H520" t="str">
            <v>--</v>
          </cell>
          <cell r="Q520" t="str">
            <v>EXT</v>
          </cell>
          <cell r="R520" t="str">
            <v>Placeholder</v>
          </cell>
          <cell r="W520">
            <v>1</v>
          </cell>
          <cell r="X520" t="str">
            <v>USD</v>
          </cell>
          <cell r="Z520">
            <v>0</v>
          </cell>
          <cell r="AA520">
            <v>0</v>
          </cell>
          <cell r="AC520">
            <v>0</v>
          </cell>
          <cell r="AD520">
            <v>0</v>
          </cell>
          <cell r="AF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P520" t="str">
            <v>X</v>
          </cell>
          <cell r="AQ520" t="str">
            <v/>
          </cell>
        </row>
        <row r="521">
          <cell r="I521" t="str">
            <v>13.2 Control Stations</v>
          </cell>
        </row>
        <row r="522">
          <cell r="B522" t="str">
            <v>Installation</v>
          </cell>
          <cell r="C522" t="str">
            <v>I</v>
          </cell>
          <cell r="D522">
            <v>4</v>
          </cell>
          <cell r="E522" t="str">
            <v>CC</v>
          </cell>
          <cell r="F522" t="str">
            <v>CI</v>
          </cell>
          <cell r="G522" t="str">
            <v>SJ</v>
          </cell>
          <cell r="H522" t="str">
            <v>I4-CC-CI-SJ</v>
          </cell>
          <cell r="I522" t="str">
            <v>E-Installation Control Station (for Check-In Counter)</v>
          </cell>
          <cell r="Q522" t="str">
            <v>EXT</v>
          </cell>
          <cell r="R522" t="str">
            <v>Placeholder</v>
          </cell>
          <cell r="U522" t="str">
            <v>PC</v>
          </cell>
          <cell r="W522">
            <v>1</v>
          </cell>
          <cell r="X522" t="str">
            <v>USD</v>
          </cell>
          <cell r="Z522">
            <v>0</v>
          </cell>
          <cell r="AA522">
            <v>0</v>
          </cell>
          <cell r="AC522">
            <v>0</v>
          </cell>
          <cell r="AD522">
            <v>0</v>
          </cell>
          <cell r="AF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P522" t="str">
            <v>X</v>
          </cell>
          <cell r="AQ522" t="str">
            <v>CF.12</v>
          </cell>
        </row>
        <row r="523">
          <cell r="B523" t="str">
            <v>Installation</v>
          </cell>
          <cell r="C523" t="str">
            <v>I</v>
          </cell>
          <cell r="D523">
            <v>4</v>
          </cell>
          <cell r="E523" t="str">
            <v>CC</v>
          </cell>
          <cell r="F523" t="str">
            <v>B_</v>
          </cell>
          <cell r="G523" t="str">
            <v>SJ</v>
          </cell>
          <cell r="H523" t="str">
            <v>I4-CC-B_-SJ</v>
          </cell>
          <cell r="I523" t="str">
            <v>E-Installation Control Station(for Belt System)</v>
          </cell>
          <cell r="Q523" t="str">
            <v>EXT</v>
          </cell>
          <cell r="R523" t="str">
            <v>Placeholder</v>
          </cell>
          <cell r="U523" t="str">
            <v>PC</v>
          </cell>
          <cell r="W523">
            <v>1</v>
          </cell>
          <cell r="X523" t="str">
            <v>USD</v>
          </cell>
          <cell r="Z523">
            <v>0</v>
          </cell>
          <cell r="AA523">
            <v>0</v>
          </cell>
          <cell r="AC523">
            <v>0</v>
          </cell>
          <cell r="AD523">
            <v>0</v>
          </cell>
          <cell r="AF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P523" t="str">
            <v>X</v>
          </cell>
          <cell r="AQ523" t="str">
            <v>CF.12</v>
          </cell>
        </row>
        <row r="524">
          <cell r="B524" t="str">
            <v>Installation</v>
          </cell>
          <cell r="C524" t="str">
            <v>I</v>
          </cell>
          <cell r="D524">
            <v>4</v>
          </cell>
          <cell r="E524" t="str">
            <v>CC</v>
          </cell>
          <cell r="F524" t="str">
            <v>I_</v>
          </cell>
          <cell r="G524" t="str">
            <v>SJ</v>
          </cell>
          <cell r="H524" t="str">
            <v>I4-CC-I_-SJ</v>
          </cell>
          <cell r="I524" t="str">
            <v>E-Installation Control Station (for Tray System)</v>
          </cell>
          <cell r="Q524" t="str">
            <v>EXT</v>
          </cell>
          <cell r="R524" t="str">
            <v>Placeholder</v>
          </cell>
          <cell r="U524" t="str">
            <v>PC</v>
          </cell>
          <cell r="W524">
            <v>1</v>
          </cell>
          <cell r="X524" t="str">
            <v>USD</v>
          </cell>
          <cell r="Z524">
            <v>0</v>
          </cell>
          <cell r="AA524">
            <v>0</v>
          </cell>
          <cell r="AC524">
            <v>0</v>
          </cell>
          <cell r="AD524">
            <v>0</v>
          </cell>
          <cell r="AF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P524" t="str">
            <v>X</v>
          </cell>
          <cell r="AQ524" t="str">
            <v>CF.12</v>
          </cell>
        </row>
        <row r="525">
          <cell r="B525" t="str">
            <v>Installation</v>
          </cell>
          <cell r="C525" t="str">
            <v>I</v>
          </cell>
          <cell r="D525">
            <v>4</v>
          </cell>
          <cell r="E525" t="str">
            <v>CC</v>
          </cell>
          <cell r="F525" t="str">
            <v>E_</v>
          </cell>
          <cell r="G525" t="str">
            <v>SJ</v>
          </cell>
          <cell r="H525" t="str">
            <v>I4-CC-E_-SJ</v>
          </cell>
          <cell r="I525" t="str">
            <v>E-Installation Control Station Early Bag Storage</v>
          </cell>
          <cell r="Q525" t="str">
            <v>EXT</v>
          </cell>
          <cell r="R525" t="str">
            <v>Placeholder</v>
          </cell>
          <cell r="U525" t="str">
            <v>PC</v>
          </cell>
          <cell r="W525">
            <v>1</v>
          </cell>
          <cell r="X525" t="str">
            <v>USD</v>
          </cell>
          <cell r="Z525">
            <v>0</v>
          </cell>
          <cell r="AA525">
            <v>0</v>
          </cell>
          <cell r="AC525">
            <v>0</v>
          </cell>
          <cell r="AD525">
            <v>0</v>
          </cell>
          <cell r="AF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P525" t="str">
            <v>X</v>
          </cell>
          <cell r="AQ525" t="str">
            <v>CF.12</v>
          </cell>
        </row>
        <row r="526">
          <cell r="B526" t="str">
            <v/>
          </cell>
          <cell r="H526" t="str">
            <v>--</v>
          </cell>
          <cell r="Q526" t="str">
            <v>EXT</v>
          </cell>
          <cell r="R526" t="str">
            <v>Placeholder</v>
          </cell>
          <cell r="W526">
            <v>1</v>
          </cell>
          <cell r="X526" t="str">
            <v>USD</v>
          </cell>
          <cell r="Z526">
            <v>0</v>
          </cell>
          <cell r="AA526">
            <v>0</v>
          </cell>
          <cell r="AC526">
            <v>0</v>
          </cell>
          <cell r="AD526">
            <v>0</v>
          </cell>
          <cell r="AF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P526" t="str">
            <v>X</v>
          </cell>
          <cell r="AQ526" t="str">
            <v/>
          </cell>
        </row>
        <row r="527">
          <cell r="B527" t="str">
            <v/>
          </cell>
          <cell r="H527" t="str">
            <v>--</v>
          </cell>
          <cell r="Q527" t="str">
            <v>EXT</v>
          </cell>
          <cell r="R527" t="str">
            <v>Placeholder</v>
          </cell>
          <cell r="W527">
            <v>1</v>
          </cell>
          <cell r="X527" t="str">
            <v>USD</v>
          </cell>
          <cell r="Z527">
            <v>0</v>
          </cell>
          <cell r="AA527">
            <v>0</v>
          </cell>
          <cell r="AC527">
            <v>0</v>
          </cell>
          <cell r="AD527">
            <v>0</v>
          </cell>
          <cell r="AF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P527" t="str">
            <v>X</v>
          </cell>
          <cell r="AQ527" t="str">
            <v/>
          </cell>
        </row>
        <row r="528">
          <cell r="I528" t="str">
            <v>13.3 Light Beacons and Horn</v>
          </cell>
        </row>
        <row r="529">
          <cell r="B529" t="str">
            <v>Installation</v>
          </cell>
          <cell r="C529" t="str">
            <v>I</v>
          </cell>
          <cell r="D529">
            <v>4</v>
          </cell>
          <cell r="E529" t="str">
            <v>CC</v>
          </cell>
          <cell r="F529" t="str">
            <v>CI</v>
          </cell>
          <cell r="G529" t="str">
            <v>SP</v>
          </cell>
          <cell r="H529" t="str">
            <v>I4-CC-CI-SP</v>
          </cell>
          <cell r="I529" t="str">
            <v>E-Installation Light Beacon and Horn (for Check-In Counter)</v>
          </cell>
          <cell r="Q529" t="str">
            <v>EXT</v>
          </cell>
          <cell r="R529" t="str">
            <v>Placeholder</v>
          </cell>
          <cell r="U529" t="str">
            <v>PC</v>
          </cell>
          <cell r="W529">
            <v>1</v>
          </cell>
          <cell r="X529" t="str">
            <v>USD</v>
          </cell>
          <cell r="Z529">
            <v>0</v>
          </cell>
          <cell r="AA529">
            <v>0</v>
          </cell>
          <cell r="AC529">
            <v>0</v>
          </cell>
          <cell r="AD529">
            <v>0</v>
          </cell>
          <cell r="AF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P529" t="str">
            <v>X</v>
          </cell>
          <cell r="AQ529" t="str">
            <v>CF.12</v>
          </cell>
        </row>
        <row r="530">
          <cell r="B530" t="str">
            <v>Installation</v>
          </cell>
          <cell r="C530" t="str">
            <v>I</v>
          </cell>
          <cell r="D530">
            <v>4</v>
          </cell>
          <cell r="E530" t="str">
            <v>CC</v>
          </cell>
          <cell r="F530" t="str">
            <v>B_</v>
          </cell>
          <cell r="G530" t="str">
            <v>SP</v>
          </cell>
          <cell r="H530" t="str">
            <v>I4-CC-B_-SP</v>
          </cell>
          <cell r="I530" t="str">
            <v>E-Installation Light Beacon and Horn (for Belt System)</v>
          </cell>
          <cell r="Q530" t="str">
            <v>EXT</v>
          </cell>
          <cell r="R530" t="str">
            <v>Placeholder</v>
          </cell>
          <cell r="U530" t="str">
            <v>PC</v>
          </cell>
          <cell r="W530">
            <v>1</v>
          </cell>
          <cell r="X530" t="str">
            <v>USD</v>
          </cell>
          <cell r="Z530">
            <v>0</v>
          </cell>
          <cell r="AA530">
            <v>0</v>
          </cell>
          <cell r="AC530">
            <v>0</v>
          </cell>
          <cell r="AD530">
            <v>0</v>
          </cell>
          <cell r="AF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P530" t="str">
            <v>X</v>
          </cell>
          <cell r="AQ530" t="str">
            <v>CF.12</v>
          </cell>
        </row>
        <row r="531">
          <cell r="B531" t="str">
            <v>Installation</v>
          </cell>
          <cell r="C531" t="str">
            <v>I</v>
          </cell>
          <cell r="D531">
            <v>4</v>
          </cell>
          <cell r="E531" t="str">
            <v>CC</v>
          </cell>
          <cell r="F531" t="str">
            <v>I_</v>
          </cell>
          <cell r="G531" t="str">
            <v>SP</v>
          </cell>
          <cell r="H531" t="str">
            <v>I4-CC-I_-SP</v>
          </cell>
          <cell r="I531" t="str">
            <v>E-Installation Light Beacon and Horn (for Tray System)</v>
          </cell>
          <cell r="Q531" t="str">
            <v>EXT</v>
          </cell>
          <cell r="R531" t="str">
            <v>Placeholder</v>
          </cell>
          <cell r="U531" t="str">
            <v>PC</v>
          </cell>
          <cell r="W531">
            <v>1</v>
          </cell>
          <cell r="X531" t="str">
            <v>USD</v>
          </cell>
          <cell r="Z531">
            <v>0</v>
          </cell>
          <cell r="AA531">
            <v>0</v>
          </cell>
          <cell r="AC531">
            <v>0</v>
          </cell>
          <cell r="AD531">
            <v>0</v>
          </cell>
          <cell r="AF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P531" t="str">
            <v>X</v>
          </cell>
          <cell r="AQ531" t="str">
            <v>CF.12</v>
          </cell>
        </row>
        <row r="532">
          <cell r="B532" t="str">
            <v>Installation</v>
          </cell>
          <cell r="C532" t="str">
            <v>I</v>
          </cell>
          <cell r="D532">
            <v>4</v>
          </cell>
          <cell r="E532" t="str">
            <v>CC</v>
          </cell>
          <cell r="F532" t="str">
            <v>E_</v>
          </cell>
          <cell r="G532" t="str">
            <v>SP</v>
          </cell>
          <cell r="H532" t="str">
            <v>I4-CC-E_-SP</v>
          </cell>
          <cell r="I532" t="str">
            <v>E-Installation Light Beacon and Horn (for EBS)</v>
          </cell>
          <cell r="Q532" t="str">
            <v>EXT</v>
          </cell>
          <cell r="R532" t="str">
            <v>Placeholder</v>
          </cell>
          <cell r="U532" t="str">
            <v>PC</v>
          </cell>
          <cell r="W532">
            <v>1</v>
          </cell>
          <cell r="X532" t="str">
            <v>USD</v>
          </cell>
          <cell r="Z532">
            <v>0</v>
          </cell>
          <cell r="AA532">
            <v>0</v>
          </cell>
          <cell r="AC532">
            <v>0</v>
          </cell>
          <cell r="AD532">
            <v>0</v>
          </cell>
          <cell r="AF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P532" t="str">
            <v>X</v>
          </cell>
          <cell r="AQ532" t="str">
            <v>CF.12</v>
          </cell>
        </row>
        <row r="533">
          <cell r="B533" t="str">
            <v/>
          </cell>
          <cell r="H533" t="str">
            <v>--</v>
          </cell>
          <cell r="Q533" t="str">
            <v>EXT</v>
          </cell>
          <cell r="R533" t="str">
            <v>Placeholder</v>
          </cell>
          <cell r="W533">
            <v>1</v>
          </cell>
          <cell r="X533" t="str">
            <v>USD</v>
          </cell>
          <cell r="Z533">
            <v>0</v>
          </cell>
          <cell r="AA533">
            <v>0</v>
          </cell>
          <cell r="AC533">
            <v>0</v>
          </cell>
          <cell r="AD533">
            <v>0</v>
          </cell>
          <cell r="AF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P533" t="str">
            <v>X</v>
          </cell>
          <cell r="AQ533" t="str">
            <v/>
          </cell>
        </row>
        <row r="534">
          <cell r="B534" t="str">
            <v/>
          </cell>
          <cell r="H534" t="str">
            <v>--</v>
          </cell>
          <cell r="Q534" t="str">
            <v>EXT</v>
          </cell>
          <cell r="R534" t="str">
            <v>Placeholder</v>
          </cell>
          <cell r="W534">
            <v>1</v>
          </cell>
          <cell r="X534" t="str">
            <v>USD</v>
          </cell>
          <cell r="Z534">
            <v>0</v>
          </cell>
          <cell r="AA534">
            <v>0</v>
          </cell>
          <cell r="AC534">
            <v>0</v>
          </cell>
          <cell r="AD534">
            <v>0</v>
          </cell>
          <cell r="AF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P534" t="str">
            <v>X</v>
          </cell>
          <cell r="AQ534" t="str">
            <v/>
          </cell>
        </row>
        <row r="535">
          <cell r="I535" t="str">
            <v>13.4 Boards and Panels</v>
          </cell>
        </row>
        <row r="536">
          <cell r="B536" t="str">
            <v>Installation</v>
          </cell>
          <cell r="C536" t="str">
            <v>I</v>
          </cell>
          <cell r="D536">
            <v>4</v>
          </cell>
          <cell r="E536" t="str">
            <v>PU</v>
          </cell>
          <cell r="F536" t="str">
            <v>O_</v>
          </cell>
          <cell r="G536" t="str">
            <v>CA</v>
          </cell>
          <cell r="H536" t="str">
            <v>I4-PU-O_-CA</v>
          </cell>
          <cell r="I536" t="str">
            <v>E-Installation: Power Distribution Panel (PDP)</v>
          </cell>
          <cell r="Q536" t="str">
            <v>EXT</v>
          </cell>
          <cell r="R536" t="str">
            <v>Placeholder</v>
          </cell>
          <cell r="U536" t="str">
            <v>PC</v>
          </cell>
          <cell r="W536">
            <v>1</v>
          </cell>
          <cell r="X536" t="str">
            <v>USD</v>
          </cell>
          <cell r="Z536">
            <v>0</v>
          </cell>
          <cell r="AA536">
            <v>0</v>
          </cell>
          <cell r="AC536">
            <v>0</v>
          </cell>
          <cell r="AD536">
            <v>0</v>
          </cell>
          <cell r="AF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P536" t="str">
            <v>X</v>
          </cell>
          <cell r="AQ536" t="str">
            <v>CF.12</v>
          </cell>
        </row>
        <row r="537">
          <cell r="B537" t="str">
            <v>Installation</v>
          </cell>
          <cell r="C537" t="str">
            <v>I</v>
          </cell>
          <cell r="D537">
            <v>4</v>
          </cell>
          <cell r="E537" t="str">
            <v>CU</v>
          </cell>
          <cell r="F537" t="str">
            <v>B_</v>
          </cell>
          <cell r="G537" t="str">
            <v>CB</v>
          </cell>
          <cell r="H537" t="str">
            <v>I4-CU-B_-CB</v>
          </cell>
          <cell r="I537" t="str">
            <v>E-Installation: LP PLC Panel</v>
          </cell>
          <cell r="Q537" t="str">
            <v>EXT</v>
          </cell>
          <cell r="R537" t="str">
            <v>Placeholder</v>
          </cell>
          <cell r="U537" t="str">
            <v>PC</v>
          </cell>
          <cell r="W537">
            <v>1</v>
          </cell>
          <cell r="X537" t="str">
            <v>USD</v>
          </cell>
          <cell r="Z537">
            <v>0</v>
          </cell>
          <cell r="AA537">
            <v>0</v>
          </cell>
          <cell r="AC537">
            <v>0</v>
          </cell>
          <cell r="AD537">
            <v>0</v>
          </cell>
          <cell r="AF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P537" t="str">
            <v>X</v>
          </cell>
          <cell r="AQ537" t="str">
            <v>CF.12</v>
          </cell>
        </row>
        <row r="538">
          <cell r="B538" t="str">
            <v>Installation</v>
          </cell>
          <cell r="C538" t="str">
            <v>I</v>
          </cell>
          <cell r="D538">
            <v>4</v>
          </cell>
          <cell r="E538" t="str">
            <v>CU</v>
          </cell>
          <cell r="F538" t="str">
            <v>B_</v>
          </cell>
          <cell r="G538" t="str">
            <v>CC</v>
          </cell>
          <cell r="H538" t="str">
            <v>I4-CU-B_-CC</v>
          </cell>
          <cell r="I538" t="str">
            <v>E-Installation: Field Control Panel PM</v>
          </cell>
          <cell r="Q538" t="str">
            <v>EXT</v>
          </cell>
          <cell r="R538" t="str">
            <v>Placeholder</v>
          </cell>
          <cell r="U538" t="str">
            <v>PC</v>
          </cell>
          <cell r="W538">
            <v>1</v>
          </cell>
          <cell r="X538" t="str">
            <v>USD</v>
          </cell>
          <cell r="Z538">
            <v>0</v>
          </cell>
          <cell r="AA538">
            <v>0</v>
          </cell>
          <cell r="AC538">
            <v>0</v>
          </cell>
          <cell r="AD538">
            <v>0</v>
          </cell>
          <cell r="AF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P538" t="str">
            <v>X</v>
          </cell>
          <cell r="AQ538" t="str">
            <v>CF.12</v>
          </cell>
        </row>
        <row r="539">
          <cell r="B539" t="str">
            <v>Installation</v>
          </cell>
          <cell r="C539" t="str">
            <v>I</v>
          </cell>
          <cell r="D539">
            <v>4</v>
          </cell>
          <cell r="E539" t="str">
            <v>CV</v>
          </cell>
          <cell r="F539" t="str">
            <v>B_</v>
          </cell>
          <cell r="H539" t="str">
            <v>I4-CV-B_</v>
          </cell>
          <cell r="I539" t="str">
            <v>E-Installation: Smart Units</v>
          </cell>
          <cell r="Q539" t="str">
            <v>EXT</v>
          </cell>
          <cell r="R539" t="str">
            <v>Placeholder</v>
          </cell>
          <cell r="U539" t="str">
            <v>PC</v>
          </cell>
          <cell r="W539">
            <v>1</v>
          </cell>
          <cell r="X539" t="str">
            <v>USD</v>
          </cell>
          <cell r="Z539">
            <v>0</v>
          </cell>
          <cell r="AA539">
            <v>0</v>
          </cell>
          <cell r="AC539">
            <v>0</v>
          </cell>
          <cell r="AD539">
            <v>0</v>
          </cell>
          <cell r="AF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P539" t="str">
            <v>X</v>
          </cell>
          <cell r="AQ539" t="str">
            <v>CF.12</v>
          </cell>
        </row>
        <row r="540">
          <cell r="B540" t="str">
            <v>Installation</v>
          </cell>
          <cell r="C540" t="str">
            <v>I</v>
          </cell>
          <cell r="D540">
            <v>4</v>
          </cell>
          <cell r="E540" t="str">
            <v>CU</v>
          </cell>
          <cell r="F540" t="str">
            <v>I_</v>
          </cell>
          <cell r="G540" t="str">
            <v>CB</v>
          </cell>
          <cell r="H540" t="str">
            <v>I4-CU-I_-CB</v>
          </cell>
          <cell r="I540" t="str">
            <v>E-Installation: LP PLC Panel</v>
          </cell>
          <cell r="Q540" t="str">
            <v>EXT</v>
          </cell>
          <cell r="R540" t="str">
            <v>Placeholder</v>
          </cell>
          <cell r="U540" t="str">
            <v>PC</v>
          </cell>
          <cell r="W540">
            <v>1</v>
          </cell>
          <cell r="X540" t="str">
            <v>USD</v>
          </cell>
          <cell r="Z540">
            <v>0</v>
          </cell>
          <cell r="AA540">
            <v>0</v>
          </cell>
          <cell r="AC540">
            <v>0</v>
          </cell>
          <cell r="AD540">
            <v>0</v>
          </cell>
          <cell r="AF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P540" t="str">
            <v>X</v>
          </cell>
          <cell r="AQ540" t="str">
            <v>CF.12</v>
          </cell>
        </row>
        <row r="541">
          <cell r="B541" t="str">
            <v>Installation</v>
          </cell>
          <cell r="C541" t="str">
            <v>I</v>
          </cell>
          <cell r="D541">
            <v>4</v>
          </cell>
          <cell r="E541" t="str">
            <v>CU</v>
          </cell>
          <cell r="F541" t="str">
            <v>I_</v>
          </cell>
          <cell r="G541" t="str">
            <v>CC</v>
          </cell>
          <cell r="H541" t="str">
            <v>I4-CU-I_-CC</v>
          </cell>
          <cell r="I541" t="str">
            <v>E-Installation: Field Control Panel PM</v>
          </cell>
          <cell r="Q541" t="str">
            <v>EXT</v>
          </cell>
          <cell r="R541" t="str">
            <v>Placeholder</v>
          </cell>
          <cell r="U541" t="str">
            <v>PC</v>
          </cell>
          <cell r="W541">
            <v>1</v>
          </cell>
          <cell r="X541" t="str">
            <v>USD</v>
          </cell>
          <cell r="Z541">
            <v>0</v>
          </cell>
          <cell r="AA541">
            <v>0</v>
          </cell>
          <cell r="AC541">
            <v>0</v>
          </cell>
          <cell r="AD541">
            <v>0</v>
          </cell>
          <cell r="AF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P541" t="str">
            <v>X</v>
          </cell>
          <cell r="AQ541" t="str">
            <v>CF.12</v>
          </cell>
        </row>
        <row r="542">
          <cell r="B542" t="str">
            <v>Installation</v>
          </cell>
          <cell r="C542" t="str">
            <v>I</v>
          </cell>
          <cell r="D542">
            <v>4</v>
          </cell>
          <cell r="E542" t="str">
            <v>CV</v>
          </cell>
          <cell r="F542" t="str">
            <v>I_</v>
          </cell>
          <cell r="H542" t="str">
            <v>I4-CV-I_</v>
          </cell>
          <cell r="I542" t="str">
            <v>E-Installation: Smart Units</v>
          </cell>
          <cell r="Q542" t="str">
            <v>EXT</v>
          </cell>
          <cell r="R542" t="str">
            <v>Placeholder</v>
          </cell>
          <cell r="U542" t="str">
            <v>PC</v>
          </cell>
          <cell r="W542">
            <v>1</v>
          </cell>
          <cell r="X542" t="str">
            <v>USD</v>
          </cell>
          <cell r="Z542">
            <v>0</v>
          </cell>
          <cell r="AA542">
            <v>0</v>
          </cell>
          <cell r="AC542">
            <v>0</v>
          </cell>
          <cell r="AD542">
            <v>0</v>
          </cell>
          <cell r="AF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P542" t="str">
            <v>X</v>
          </cell>
          <cell r="AQ542" t="str">
            <v>CF.12</v>
          </cell>
        </row>
        <row r="543">
          <cell r="B543" t="str">
            <v>Installation</v>
          </cell>
          <cell r="C543" t="str">
            <v>I</v>
          </cell>
          <cell r="D543">
            <v>4</v>
          </cell>
          <cell r="E543" t="str">
            <v>CU</v>
          </cell>
          <cell r="F543" t="str">
            <v>E_</v>
          </cell>
          <cell r="G543" t="str">
            <v>CB</v>
          </cell>
          <cell r="H543" t="str">
            <v>04-CU-E_-CB</v>
          </cell>
          <cell r="I543" t="str">
            <v>E-Installation: LP PLC Panel</v>
          </cell>
          <cell r="Q543" t="str">
            <v>EXT</v>
          </cell>
          <cell r="R543" t="str">
            <v>Placeholder</v>
          </cell>
          <cell r="U543" t="str">
            <v>PC</v>
          </cell>
          <cell r="W543">
            <v>1</v>
          </cell>
          <cell r="X543" t="str">
            <v>USD</v>
          </cell>
          <cell r="Z543">
            <v>0</v>
          </cell>
          <cell r="AA543">
            <v>0</v>
          </cell>
          <cell r="AC543">
            <v>0</v>
          </cell>
          <cell r="AD543">
            <v>0</v>
          </cell>
          <cell r="AF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P543" t="str">
            <v>X</v>
          </cell>
          <cell r="AQ543" t="str">
            <v>CF.12</v>
          </cell>
        </row>
        <row r="544">
          <cell r="B544" t="str">
            <v>Installation</v>
          </cell>
          <cell r="C544" t="str">
            <v>I</v>
          </cell>
          <cell r="D544">
            <v>4</v>
          </cell>
          <cell r="E544" t="str">
            <v>CU</v>
          </cell>
          <cell r="F544" t="str">
            <v>E_</v>
          </cell>
          <cell r="G544" t="str">
            <v>CL</v>
          </cell>
          <cell r="H544" t="str">
            <v>04-CU-E_-CL</v>
          </cell>
          <cell r="I544" t="str">
            <v>E-Installation: Lift Control Board</v>
          </cell>
          <cell r="Q544" t="str">
            <v>EXT</v>
          </cell>
          <cell r="R544" t="str">
            <v>Placeholder</v>
          </cell>
          <cell r="U544" t="str">
            <v>PC</v>
          </cell>
          <cell r="W544">
            <v>1</v>
          </cell>
          <cell r="X544" t="str">
            <v>USD</v>
          </cell>
          <cell r="Z544">
            <v>0</v>
          </cell>
          <cell r="AA544">
            <v>0</v>
          </cell>
          <cell r="AC544">
            <v>0</v>
          </cell>
          <cell r="AD544">
            <v>0</v>
          </cell>
          <cell r="AF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P544" t="str">
            <v>X</v>
          </cell>
          <cell r="AQ544" t="str">
            <v>CF.12</v>
          </cell>
        </row>
        <row r="545">
          <cell r="B545" t="str">
            <v/>
          </cell>
          <cell r="H545" t="str">
            <v>--</v>
          </cell>
          <cell r="Q545" t="str">
            <v>EXT</v>
          </cell>
          <cell r="R545" t="str">
            <v>Placeholder</v>
          </cell>
          <cell r="W545">
            <v>1</v>
          </cell>
          <cell r="X545" t="str">
            <v>USD</v>
          </cell>
          <cell r="Z545">
            <v>0</v>
          </cell>
          <cell r="AA545">
            <v>0</v>
          </cell>
          <cell r="AC545">
            <v>0</v>
          </cell>
          <cell r="AD545">
            <v>0</v>
          </cell>
          <cell r="AF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P545" t="str">
            <v>X</v>
          </cell>
          <cell r="AQ545" t="str">
            <v/>
          </cell>
        </row>
        <row r="546">
          <cell r="B546" t="str">
            <v/>
          </cell>
          <cell r="H546" t="str">
            <v>--</v>
          </cell>
          <cell r="Q546" t="str">
            <v>EXT</v>
          </cell>
          <cell r="R546" t="str">
            <v>Placeholder</v>
          </cell>
          <cell r="W546">
            <v>1</v>
          </cell>
          <cell r="X546" t="str">
            <v>USD</v>
          </cell>
          <cell r="Z546">
            <v>0</v>
          </cell>
          <cell r="AA546">
            <v>0</v>
          </cell>
          <cell r="AC546">
            <v>0</v>
          </cell>
          <cell r="AD546">
            <v>0</v>
          </cell>
          <cell r="AF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P546" t="str">
            <v>X</v>
          </cell>
          <cell r="AQ546" t="str">
            <v/>
          </cell>
        </row>
        <row r="547">
          <cell r="I547" t="str">
            <v>13.5 Emergency Stop System</v>
          </cell>
        </row>
        <row r="548">
          <cell r="B548" t="str">
            <v>Installation</v>
          </cell>
          <cell r="C548" t="str">
            <v>I</v>
          </cell>
          <cell r="D548">
            <v>4</v>
          </cell>
          <cell r="E548" t="str">
            <v>EU</v>
          </cell>
          <cell r="F548" t="str">
            <v>O_</v>
          </cell>
          <cell r="G548" t="str">
            <v>CB</v>
          </cell>
          <cell r="H548" t="str">
            <v>04-EU-O_-CB</v>
          </cell>
          <cell r="I548" t="str">
            <v>E-Installation: Central Control Panel (EP)</v>
          </cell>
          <cell r="Q548" t="str">
            <v>EXT</v>
          </cell>
          <cell r="R548" t="str">
            <v>Placeholder</v>
          </cell>
          <cell r="U548" t="str">
            <v>PC</v>
          </cell>
          <cell r="W548">
            <v>1</v>
          </cell>
          <cell r="X548" t="str">
            <v>USD</v>
          </cell>
          <cell r="Z548">
            <v>0</v>
          </cell>
          <cell r="AA548">
            <v>0</v>
          </cell>
          <cell r="AC548">
            <v>0</v>
          </cell>
          <cell r="AD548">
            <v>0</v>
          </cell>
          <cell r="AF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P548" t="str">
            <v>X</v>
          </cell>
          <cell r="AQ548" t="str">
            <v>CF.12</v>
          </cell>
        </row>
        <row r="549">
          <cell r="B549" t="str">
            <v>Installation</v>
          </cell>
          <cell r="C549" t="str">
            <v>I</v>
          </cell>
          <cell r="D549">
            <v>4</v>
          </cell>
          <cell r="E549" t="str">
            <v>EU</v>
          </cell>
          <cell r="F549" t="str">
            <v>O_</v>
          </cell>
          <cell r="G549" t="str">
            <v>CH</v>
          </cell>
          <cell r="H549" t="str">
            <v>04-EU-O_-CH</v>
          </cell>
          <cell r="I549" t="str">
            <v>E-Installation: Field Panel (EB)</v>
          </cell>
          <cell r="Q549" t="str">
            <v>EXT</v>
          </cell>
          <cell r="R549" t="str">
            <v>Placeholder</v>
          </cell>
          <cell r="U549" t="str">
            <v>PC</v>
          </cell>
          <cell r="W549">
            <v>1</v>
          </cell>
          <cell r="X549" t="str">
            <v>USD</v>
          </cell>
          <cell r="Z549">
            <v>0</v>
          </cell>
          <cell r="AA549">
            <v>0</v>
          </cell>
          <cell r="AC549">
            <v>0</v>
          </cell>
          <cell r="AD549">
            <v>0</v>
          </cell>
          <cell r="AF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P549" t="str">
            <v>X</v>
          </cell>
          <cell r="AQ549" t="str">
            <v>CF.12</v>
          </cell>
        </row>
        <row r="550">
          <cell r="B550" t="str">
            <v>Installation</v>
          </cell>
          <cell r="C550" t="str">
            <v>I</v>
          </cell>
          <cell r="D550">
            <v>4</v>
          </cell>
          <cell r="E550" t="str">
            <v>EC</v>
          </cell>
          <cell r="F550" t="str">
            <v>O_</v>
          </cell>
          <cell r="G550" t="str">
            <v>SJ</v>
          </cell>
          <cell r="H550" t="str">
            <v>04-EC-O_-SJ</v>
          </cell>
          <cell r="I550" t="str">
            <v>E-Installation: Control Stations (CS)</v>
          </cell>
          <cell r="Q550" t="str">
            <v>EXT</v>
          </cell>
          <cell r="R550" t="str">
            <v>Placeholder</v>
          </cell>
          <cell r="U550" t="str">
            <v>PC</v>
          </cell>
          <cell r="W550">
            <v>1</v>
          </cell>
          <cell r="X550" t="str">
            <v>USD</v>
          </cell>
          <cell r="Z550">
            <v>0</v>
          </cell>
          <cell r="AA550">
            <v>0</v>
          </cell>
          <cell r="AC550">
            <v>0</v>
          </cell>
          <cell r="AD550">
            <v>0</v>
          </cell>
          <cell r="AF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P550" t="str">
            <v>X</v>
          </cell>
          <cell r="AQ550" t="str">
            <v>CF.12</v>
          </cell>
        </row>
        <row r="551">
          <cell r="B551" t="str">
            <v>Installation</v>
          </cell>
          <cell r="C551" t="str">
            <v>I</v>
          </cell>
          <cell r="D551">
            <v>4</v>
          </cell>
          <cell r="E551" t="str">
            <v>EC</v>
          </cell>
          <cell r="F551" t="str">
            <v>O_</v>
          </cell>
          <cell r="G551" t="str">
            <v>SP</v>
          </cell>
          <cell r="H551" t="str">
            <v>04-EC-O_-SP</v>
          </cell>
          <cell r="I551" t="str">
            <v>E-Installation: Light Beacons / Tower Lamps (LB)</v>
          </cell>
          <cell r="Q551" t="str">
            <v>EXT</v>
          </cell>
          <cell r="R551" t="str">
            <v>Placeholder</v>
          </cell>
          <cell r="U551" t="str">
            <v>PC</v>
          </cell>
          <cell r="W551">
            <v>1</v>
          </cell>
          <cell r="X551" t="str">
            <v>USD</v>
          </cell>
          <cell r="Z551">
            <v>0</v>
          </cell>
          <cell r="AA551">
            <v>0</v>
          </cell>
          <cell r="AC551">
            <v>0</v>
          </cell>
          <cell r="AD551">
            <v>0</v>
          </cell>
          <cell r="AF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P551" t="str">
            <v>X</v>
          </cell>
          <cell r="AQ551" t="str">
            <v>CF.12</v>
          </cell>
        </row>
        <row r="552">
          <cell r="B552" t="str">
            <v/>
          </cell>
          <cell r="H552" t="str">
            <v>--</v>
          </cell>
          <cell r="Q552" t="str">
            <v>EXT</v>
          </cell>
          <cell r="R552" t="str">
            <v>Placeholder</v>
          </cell>
          <cell r="W552">
            <v>1</v>
          </cell>
          <cell r="X552" t="str">
            <v>USD</v>
          </cell>
          <cell r="Z552">
            <v>0</v>
          </cell>
          <cell r="AA552">
            <v>0</v>
          </cell>
          <cell r="AC552">
            <v>0</v>
          </cell>
          <cell r="AD552">
            <v>0</v>
          </cell>
          <cell r="AF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P552" t="str">
            <v>X</v>
          </cell>
          <cell r="AQ552" t="str">
            <v/>
          </cell>
        </row>
        <row r="553">
          <cell r="B553" t="str">
            <v/>
          </cell>
          <cell r="H553" t="str">
            <v>--</v>
          </cell>
          <cell r="Q553" t="str">
            <v>EXT</v>
          </cell>
          <cell r="R553" t="str">
            <v>Placeholder</v>
          </cell>
          <cell r="W553">
            <v>1</v>
          </cell>
          <cell r="X553" t="str">
            <v>USD</v>
          </cell>
          <cell r="Z553">
            <v>0</v>
          </cell>
          <cell r="AA553">
            <v>0</v>
          </cell>
          <cell r="AC553">
            <v>0</v>
          </cell>
          <cell r="AD553">
            <v>0</v>
          </cell>
          <cell r="AF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P553" t="str">
            <v>X</v>
          </cell>
          <cell r="AQ553" t="str">
            <v/>
          </cell>
        </row>
        <row r="554">
          <cell r="I554" t="str">
            <v>13.6 Cable Supporting System</v>
          </cell>
        </row>
        <row r="555">
          <cell r="B555" t="str">
            <v>Installation</v>
          </cell>
          <cell r="C555" t="str">
            <v>I</v>
          </cell>
          <cell r="D555">
            <v>4</v>
          </cell>
          <cell r="E555" t="str">
            <v>CL</v>
          </cell>
          <cell r="F555" t="str">
            <v>O_</v>
          </cell>
          <cell r="G555" t="str">
            <v>CB</v>
          </cell>
          <cell r="H555" t="str">
            <v>04-EU-O_-CB</v>
          </cell>
          <cell r="I555" t="str">
            <v>E-Installation: Cable Tray Cable Rack, Cable Trunking, Cable Ladder, Conduit</v>
          </cell>
          <cell r="Q555" t="str">
            <v>EXT</v>
          </cell>
          <cell r="R555" t="str">
            <v>Placeholder</v>
          </cell>
          <cell r="U555" t="str">
            <v>PC</v>
          </cell>
          <cell r="W555">
            <v>1</v>
          </cell>
          <cell r="X555" t="str">
            <v>USD</v>
          </cell>
          <cell r="Z555">
            <v>0</v>
          </cell>
          <cell r="AA555">
            <v>0</v>
          </cell>
          <cell r="AC555">
            <v>0</v>
          </cell>
          <cell r="AD555">
            <v>0</v>
          </cell>
          <cell r="AF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P555" t="str">
            <v>X</v>
          </cell>
          <cell r="AQ555" t="str">
            <v>CF.12</v>
          </cell>
        </row>
        <row r="556">
          <cell r="B556" t="str">
            <v/>
          </cell>
          <cell r="H556" t="str">
            <v>--</v>
          </cell>
          <cell r="Q556" t="str">
            <v>EXT</v>
          </cell>
          <cell r="R556" t="str">
            <v>Placeholder</v>
          </cell>
          <cell r="W556">
            <v>1</v>
          </cell>
          <cell r="X556" t="str">
            <v>USD</v>
          </cell>
          <cell r="Z556">
            <v>0</v>
          </cell>
          <cell r="AA556">
            <v>0</v>
          </cell>
          <cell r="AC556">
            <v>0</v>
          </cell>
          <cell r="AD556">
            <v>0</v>
          </cell>
          <cell r="AF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P556" t="str">
            <v>X</v>
          </cell>
          <cell r="AQ556" t="str">
            <v/>
          </cell>
        </row>
        <row r="557">
          <cell r="B557" t="str">
            <v/>
          </cell>
          <cell r="H557" t="str">
            <v>--</v>
          </cell>
          <cell r="Q557" t="str">
            <v>EXT</v>
          </cell>
          <cell r="R557" t="str">
            <v>Placeholder</v>
          </cell>
          <cell r="W557">
            <v>1</v>
          </cell>
          <cell r="X557" t="str">
            <v>USD</v>
          </cell>
          <cell r="Z557">
            <v>0</v>
          </cell>
          <cell r="AA557">
            <v>0</v>
          </cell>
          <cell r="AC557">
            <v>0</v>
          </cell>
          <cell r="AD557">
            <v>0</v>
          </cell>
          <cell r="AF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P557" t="str">
            <v>X</v>
          </cell>
          <cell r="AQ557" t="str">
            <v/>
          </cell>
        </row>
        <row r="558">
          <cell r="I558" t="str">
            <v>13.6 Power and Control Cable</v>
          </cell>
        </row>
        <row r="559">
          <cell r="B559" t="str">
            <v>Installation</v>
          </cell>
          <cell r="C559" t="str">
            <v>I</v>
          </cell>
          <cell r="D559">
            <v>4</v>
          </cell>
          <cell r="E559" t="str">
            <v>CW</v>
          </cell>
          <cell r="F559" t="str">
            <v>O_</v>
          </cell>
          <cell r="G559" t="str">
            <v>DB</v>
          </cell>
          <cell r="H559" t="str">
            <v>I4-CW-O_-DB</v>
          </cell>
          <cell r="I559" t="str">
            <v>E-Installation: Low Voltage Power Cable</v>
          </cell>
          <cell r="Q559" t="str">
            <v>EXT</v>
          </cell>
          <cell r="R559" t="str">
            <v>Placeholder</v>
          </cell>
          <cell r="U559" t="str">
            <v>MT</v>
          </cell>
          <cell r="W559">
            <v>1</v>
          </cell>
          <cell r="X559" t="str">
            <v>USD</v>
          </cell>
          <cell r="Z559">
            <v>0</v>
          </cell>
          <cell r="AA559">
            <v>0</v>
          </cell>
          <cell r="AC559">
            <v>0</v>
          </cell>
          <cell r="AD559">
            <v>0</v>
          </cell>
          <cell r="AF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P559" t="str">
            <v>X</v>
          </cell>
          <cell r="AQ559" t="str">
            <v>CF.12</v>
          </cell>
        </row>
        <row r="560">
          <cell r="B560" t="str">
            <v>Installation</v>
          </cell>
          <cell r="C560" t="str">
            <v>I</v>
          </cell>
          <cell r="D560">
            <v>4</v>
          </cell>
          <cell r="E560" t="str">
            <v>CW</v>
          </cell>
          <cell r="F560" t="str">
            <v>O_</v>
          </cell>
          <cell r="G560" t="str">
            <v>EB</v>
          </cell>
          <cell r="H560" t="str">
            <v>I4-CW-O_-EB</v>
          </cell>
          <cell r="I560" t="str">
            <v>E-Installation: Earthing Cable</v>
          </cell>
          <cell r="Q560" t="str">
            <v>EXT</v>
          </cell>
          <cell r="R560" t="str">
            <v>Placeholder</v>
          </cell>
          <cell r="U560" t="str">
            <v>MT</v>
          </cell>
          <cell r="W560">
            <v>1</v>
          </cell>
          <cell r="X560" t="str">
            <v>USD</v>
          </cell>
          <cell r="Z560">
            <v>0</v>
          </cell>
          <cell r="AA560">
            <v>0</v>
          </cell>
          <cell r="AC560">
            <v>0</v>
          </cell>
          <cell r="AD560">
            <v>0</v>
          </cell>
          <cell r="AF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P560" t="str">
            <v>X</v>
          </cell>
          <cell r="AQ560" t="str">
            <v>CF.12</v>
          </cell>
        </row>
        <row r="561">
          <cell r="B561" t="str">
            <v>Installation</v>
          </cell>
          <cell r="C561" t="str">
            <v>I</v>
          </cell>
          <cell r="D561">
            <v>4</v>
          </cell>
          <cell r="E561" t="str">
            <v>CW</v>
          </cell>
          <cell r="F561" t="str">
            <v>O_</v>
          </cell>
          <cell r="G561" t="str">
            <v>GA</v>
          </cell>
          <cell r="H561" t="str">
            <v>I4-CW-O_-GA</v>
          </cell>
          <cell r="I561" t="str">
            <v>E-Installation: Signal Cable, CU Control Cable</v>
          </cell>
          <cell r="Q561" t="str">
            <v>EXT</v>
          </cell>
          <cell r="R561" t="str">
            <v>Placeholder</v>
          </cell>
          <cell r="U561" t="str">
            <v>MT</v>
          </cell>
          <cell r="W561">
            <v>1</v>
          </cell>
          <cell r="X561" t="str">
            <v>USD</v>
          </cell>
          <cell r="Z561">
            <v>0</v>
          </cell>
          <cell r="AA561">
            <v>0</v>
          </cell>
          <cell r="AC561">
            <v>0</v>
          </cell>
          <cell r="AD561">
            <v>0</v>
          </cell>
          <cell r="AF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P561" t="str">
            <v>X</v>
          </cell>
          <cell r="AQ561" t="str">
            <v>CF.12</v>
          </cell>
        </row>
        <row r="562">
          <cell r="B562" t="str">
            <v>Installation</v>
          </cell>
          <cell r="C562" t="str">
            <v>I</v>
          </cell>
          <cell r="D562">
            <v>4</v>
          </cell>
          <cell r="E562" t="str">
            <v>CW</v>
          </cell>
          <cell r="F562" t="str">
            <v>O_</v>
          </cell>
          <cell r="G562" t="str">
            <v>GB</v>
          </cell>
          <cell r="H562" t="str">
            <v>I4-CW-O_-GB</v>
          </cell>
          <cell r="I562" t="str">
            <v>E-Installation: Signal Cable, CU Data Cable</v>
          </cell>
          <cell r="Q562" t="str">
            <v>EXT</v>
          </cell>
          <cell r="R562" t="str">
            <v>Placeholder</v>
          </cell>
          <cell r="U562" t="str">
            <v>MT</v>
          </cell>
          <cell r="W562">
            <v>1</v>
          </cell>
          <cell r="X562" t="str">
            <v>USD</v>
          </cell>
          <cell r="Z562">
            <v>0</v>
          </cell>
          <cell r="AA562">
            <v>0</v>
          </cell>
          <cell r="AC562">
            <v>0</v>
          </cell>
          <cell r="AD562">
            <v>0</v>
          </cell>
          <cell r="AF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P562" t="str">
            <v>X</v>
          </cell>
          <cell r="AQ562" t="str">
            <v>CF.12</v>
          </cell>
        </row>
        <row r="563">
          <cell r="B563" t="str">
            <v>Installation</v>
          </cell>
          <cell r="C563" t="str">
            <v>I</v>
          </cell>
          <cell r="D563">
            <v>4</v>
          </cell>
          <cell r="E563" t="str">
            <v>CW</v>
          </cell>
          <cell r="F563" t="str">
            <v>O_</v>
          </cell>
          <cell r="G563" t="str">
            <v>HA</v>
          </cell>
          <cell r="H563" t="str">
            <v>I4-CW-O_-HA</v>
          </cell>
          <cell r="I563" t="str">
            <v>E-Installation: Signal Cable, Optical Fibre Optical Cable</v>
          </cell>
          <cell r="Q563" t="str">
            <v>EXT</v>
          </cell>
          <cell r="R563" t="str">
            <v>Placeholder</v>
          </cell>
          <cell r="U563" t="str">
            <v>MT</v>
          </cell>
          <cell r="W563">
            <v>1</v>
          </cell>
          <cell r="X563" t="str">
            <v>USD</v>
          </cell>
          <cell r="Z563">
            <v>0</v>
          </cell>
          <cell r="AA563">
            <v>0</v>
          </cell>
          <cell r="AC563">
            <v>0</v>
          </cell>
          <cell r="AD563">
            <v>0</v>
          </cell>
          <cell r="AF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P563" t="str">
            <v>X</v>
          </cell>
          <cell r="AQ563" t="str">
            <v>CF.12</v>
          </cell>
        </row>
        <row r="564">
          <cell r="B564" t="str">
            <v/>
          </cell>
          <cell r="H564" t="str">
            <v>--</v>
          </cell>
          <cell r="Q564" t="str">
            <v>EXT</v>
          </cell>
          <cell r="R564" t="str">
            <v>Placeholder</v>
          </cell>
          <cell r="W564">
            <v>1</v>
          </cell>
          <cell r="X564" t="str">
            <v>USD</v>
          </cell>
          <cell r="Z564">
            <v>0</v>
          </cell>
          <cell r="AA564">
            <v>0</v>
          </cell>
          <cell r="AC564">
            <v>0</v>
          </cell>
          <cell r="AD564">
            <v>0</v>
          </cell>
          <cell r="AF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P564" t="str">
            <v>X</v>
          </cell>
          <cell r="AQ564" t="str">
            <v/>
          </cell>
        </row>
        <row r="565">
          <cell r="B565" t="str">
            <v/>
          </cell>
          <cell r="H565" t="str">
            <v>--</v>
          </cell>
          <cell r="Q565" t="str">
            <v>EXT</v>
          </cell>
          <cell r="R565" t="str">
            <v>Placeholder</v>
          </cell>
          <cell r="W565">
            <v>1</v>
          </cell>
          <cell r="X565" t="str">
            <v>USD</v>
          </cell>
          <cell r="Z565">
            <v>0</v>
          </cell>
          <cell r="AA565">
            <v>0</v>
          </cell>
          <cell r="AC565">
            <v>0</v>
          </cell>
          <cell r="AD565">
            <v>0</v>
          </cell>
          <cell r="AF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P565" t="str">
            <v>X</v>
          </cell>
          <cell r="AQ565" t="str">
            <v/>
          </cell>
        </row>
        <row r="566">
          <cell r="I566" t="str">
            <v>13.7 Static Commissioning</v>
          </cell>
        </row>
        <row r="567">
          <cell r="B567" t="str">
            <v>Installation</v>
          </cell>
          <cell r="C567" t="str">
            <v>I</v>
          </cell>
          <cell r="D567">
            <v>4</v>
          </cell>
          <cell r="E567" t="str">
            <v>CC</v>
          </cell>
          <cell r="F567" t="str">
            <v>CI</v>
          </cell>
          <cell r="G567" t="str">
            <v>T5</v>
          </cell>
          <cell r="H567" t="str">
            <v>I4-CC-CI-T5</v>
          </cell>
          <cell r="I567" t="str">
            <v>Pre-Commissioning: Belt-Conveyor "Check-In"</v>
          </cell>
          <cell r="Q567" t="str">
            <v>EXT</v>
          </cell>
          <cell r="R567" t="str">
            <v>Placeholder</v>
          </cell>
          <cell r="U567" t="str">
            <v>PC</v>
          </cell>
          <cell r="W567">
            <v>1</v>
          </cell>
          <cell r="X567" t="str">
            <v>USD</v>
          </cell>
          <cell r="Z567">
            <v>0</v>
          </cell>
          <cell r="AA567">
            <v>0</v>
          </cell>
          <cell r="AC567">
            <v>0</v>
          </cell>
          <cell r="AD567">
            <v>0</v>
          </cell>
          <cell r="AF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P567" t="str">
            <v>X</v>
          </cell>
          <cell r="AQ567" t="str">
            <v>CF.12</v>
          </cell>
        </row>
        <row r="568">
          <cell r="B568" t="str">
            <v>Installation</v>
          </cell>
          <cell r="C568" t="str">
            <v>I</v>
          </cell>
          <cell r="D568">
            <v>4</v>
          </cell>
          <cell r="E568" t="str">
            <v>CC</v>
          </cell>
          <cell r="F568" t="str">
            <v>B_</v>
          </cell>
          <cell r="G568" t="str">
            <v>T5</v>
          </cell>
          <cell r="H568" t="str">
            <v>I4-CC-B_-T5</v>
          </cell>
          <cell r="I568" t="str">
            <v>Pre-Commissioning: Belt-Conveyor</v>
          </cell>
          <cell r="Q568" t="str">
            <v>EXT</v>
          </cell>
          <cell r="R568" t="str">
            <v>Placeholder</v>
          </cell>
          <cell r="U568" t="str">
            <v>PC</v>
          </cell>
          <cell r="W568">
            <v>1</v>
          </cell>
          <cell r="X568" t="str">
            <v>USD</v>
          </cell>
          <cell r="Z568">
            <v>0</v>
          </cell>
          <cell r="AA568">
            <v>0</v>
          </cell>
          <cell r="AC568">
            <v>0</v>
          </cell>
          <cell r="AD568">
            <v>0</v>
          </cell>
          <cell r="AF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P568" t="str">
            <v>X</v>
          </cell>
          <cell r="AQ568" t="str">
            <v>CF.12</v>
          </cell>
        </row>
        <row r="569">
          <cell r="B569" t="str">
            <v>Installation</v>
          </cell>
          <cell r="C569" t="str">
            <v>I</v>
          </cell>
          <cell r="D569">
            <v>4</v>
          </cell>
          <cell r="E569" t="str">
            <v>CC</v>
          </cell>
          <cell r="F569" t="str">
            <v>I_</v>
          </cell>
          <cell r="G569" t="str">
            <v>T5</v>
          </cell>
          <cell r="H569" t="str">
            <v>I4-CC-I_-T5</v>
          </cell>
          <cell r="I569" t="str">
            <v>Pre-Commissioning: Tray-Conveyor</v>
          </cell>
          <cell r="Q569" t="str">
            <v>EXT</v>
          </cell>
          <cell r="R569" t="str">
            <v>Placeholder</v>
          </cell>
          <cell r="U569" t="str">
            <v>PC</v>
          </cell>
          <cell r="W569">
            <v>1</v>
          </cell>
          <cell r="X569" t="str">
            <v>USD</v>
          </cell>
          <cell r="Z569">
            <v>0</v>
          </cell>
          <cell r="AA569">
            <v>0</v>
          </cell>
          <cell r="AC569">
            <v>0</v>
          </cell>
          <cell r="AD569">
            <v>0</v>
          </cell>
          <cell r="AF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P569" t="str">
            <v>X</v>
          </cell>
          <cell r="AQ569" t="str">
            <v>CF.12</v>
          </cell>
        </row>
        <row r="570">
          <cell r="B570" t="str">
            <v>Installation</v>
          </cell>
          <cell r="C570" t="str">
            <v>I</v>
          </cell>
          <cell r="D570">
            <v>4</v>
          </cell>
          <cell r="E570" t="str">
            <v>CC</v>
          </cell>
          <cell r="F570" t="str">
            <v>E_</v>
          </cell>
          <cell r="G570" t="str">
            <v>T5</v>
          </cell>
          <cell r="H570" t="str">
            <v>I4-CC-E_-T5</v>
          </cell>
          <cell r="I570" t="str">
            <v>Pre-Commissioning: Early Bag Storage</v>
          </cell>
          <cell r="Q570" t="str">
            <v>EXT</v>
          </cell>
          <cell r="R570" t="str">
            <v>Placeholder</v>
          </cell>
          <cell r="U570" t="str">
            <v>PC</v>
          </cell>
          <cell r="W570">
            <v>1</v>
          </cell>
          <cell r="X570" t="str">
            <v>USD</v>
          </cell>
          <cell r="Z570">
            <v>0</v>
          </cell>
          <cell r="AA570">
            <v>0</v>
          </cell>
          <cell r="AC570">
            <v>0</v>
          </cell>
          <cell r="AD570">
            <v>0</v>
          </cell>
          <cell r="AF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P570" t="str">
            <v>X</v>
          </cell>
          <cell r="AQ570" t="str">
            <v>CF.12</v>
          </cell>
        </row>
        <row r="571">
          <cell r="B571" t="str">
            <v/>
          </cell>
          <cell r="H571" t="str">
            <v>--</v>
          </cell>
          <cell r="Q571" t="str">
            <v>EXT</v>
          </cell>
          <cell r="R571" t="str">
            <v>Placeholder</v>
          </cell>
          <cell r="W571">
            <v>1</v>
          </cell>
          <cell r="X571" t="str">
            <v>USD</v>
          </cell>
          <cell r="Z571">
            <v>0</v>
          </cell>
          <cell r="AA571">
            <v>0</v>
          </cell>
          <cell r="AC571">
            <v>0</v>
          </cell>
          <cell r="AD571">
            <v>0</v>
          </cell>
          <cell r="AF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P571" t="str">
            <v>X</v>
          </cell>
          <cell r="AQ571" t="str">
            <v/>
          </cell>
        </row>
        <row r="572">
          <cell r="B572" t="str">
            <v/>
          </cell>
          <cell r="H572" t="str">
            <v>--</v>
          </cell>
          <cell r="Q572" t="str">
            <v>EXT</v>
          </cell>
          <cell r="R572" t="str">
            <v>Placeholder</v>
          </cell>
          <cell r="W572">
            <v>1</v>
          </cell>
          <cell r="X572" t="str">
            <v>USD</v>
          </cell>
          <cell r="Z572">
            <v>0</v>
          </cell>
          <cell r="AA572">
            <v>0</v>
          </cell>
          <cell r="AC572">
            <v>0</v>
          </cell>
          <cell r="AD572">
            <v>0</v>
          </cell>
          <cell r="AF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P572" t="str">
            <v>X</v>
          </cell>
          <cell r="AQ572" t="str">
            <v/>
          </cell>
        </row>
        <row r="573">
          <cell r="I573" t="str">
            <v>13.8 Electrical Installation Infrastucture</v>
          </cell>
        </row>
        <row r="574">
          <cell r="B574" t="str">
            <v>Installation</v>
          </cell>
          <cell r="C574" t="str">
            <v>I</v>
          </cell>
          <cell r="D574">
            <v>4</v>
          </cell>
          <cell r="E574" t="str">
            <v>FO</v>
          </cell>
          <cell r="F574" t="str">
            <v>O_</v>
          </cell>
          <cell r="G574" t="str">
            <v>4C</v>
          </cell>
          <cell r="H574" t="str">
            <v>I4-FO-O_-4C</v>
          </cell>
          <cell r="I574" t="str">
            <v>Electrical Installation Infrastucture: Site Management Container</v>
          </cell>
          <cell r="Q574" t="str">
            <v>EXT</v>
          </cell>
          <cell r="R574" t="str">
            <v>Placeholder</v>
          </cell>
          <cell r="U574" t="str">
            <v>MO</v>
          </cell>
          <cell r="W574">
            <v>1</v>
          </cell>
          <cell r="X574" t="str">
            <v>USD</v>
          </cell>
          <cell r="Z574">
            <v>0</v>
          </cell>
          <cell r="AA574">
            <v>0</v>
          </cell>
          <cell r="AC574">
            <v>0</v>
          </cell>
          <cell r="AD574">
            <v>0</v>
          </cell>
          <cell r="AF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P574" t="str">
            <v>X</v>
          </cell>
          <cell r="AQ574" t="str">
            <v>CF.12</v>
          </cell>
        </row>
        <row r="575">
          <cell r="B575" t="str">
            <v>Installation</v>
          </cell>
          <cell r="C575" t="str">
            <v>I</v>
          </cell>
          <cell r="D575">
            <v>4</v>
          </cell>
          <cell r="E575" t="str">
            <v>FO</v>
          </cell>
          <cell r="F575" t="str">
            <v>O_</v>
          </cell>
          <cell r="G575" t="str">
            <v>4C</v>
          </cell>
          <cell r="H575" t="str">
            <v>I4-FO-O_-4C</v>
          </cell>
          <cell r="I575" t="str">
            <v>Electrical Installation Infrastucture: Staff Container</v>
          </cell>
          <cell r="Q575" t="str">
            <v>EXT</v>
          </cell>
          <cell r="R575" t="str">
            <v>Placeholder</v>
          </cell>
          <cell r="U575" t="str">
            <v>MO</v>
          </cell>
          <cell r="W575">
            <v>1</v>
          </cell>
          <cell r="X575" t="str">
            <v>USD</v>
          </cell>
          <cell r="Z575">
            <v>0</v>
          </cell>
          <cell r="AA575">
            <v>0</v>
          </cell>
          <cell r="AC575">
            <v>0</v>
          </cell>
          <cell r="AD575">
            <v>0</v>
          </cell>
          <cell r="AF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P575" t="str">
            <v>X</v>
          </cell>
          <cell r="AQ575" t="str">
            <v>CF.12</v>
          </cell>
        </row>
        <row r="576">
          <cell r="B576" t="str">
            <v>Installation</v>
          </cell>
          <cell r="C576" t="str">
            <v>I</v>
          </cell>
          <cell r="D576">
            <v>4</v>
          </cell>
          <cell r="E576" t="str">
            <v>FO</v>
          </cell>
          <cell r="F576" t="str">
            <v>O_</v>
          </cell>
          <cell r="G576" t="str">
            <v>4C</v>
          </cell>
          <cell r="H576" t="str">
            <v>I4-FO-O_-4C</v>
          </cell>
          <cell r="I576" t="str">
            <v>Electrical Installation Infrastucture: Material Container</v>
          </cell>
          <cell r="Q576" t="str">
            <v>EXT</v>
          </cell>
          <cell r="R576" t="str">
            <v>Placeholder</v>
          </cell>
          <cell r="U576" t="str">
            <v>MO</v>
          </cell>
          <cell r="W576">
            <v>1</v>
          </cell>
          <cell r="X576" t="str">
            <v>USD</v>
          </cell>
          <cell r="Z576">
            <v>0</v>
          </cell>
          <cell r="AA576">
            <v>0</v>
          </cell>
          <cell r="AC576">
            <v>0</v>
          </cell>
          <cell r="AD576">
            <v>0</v>
          </cell>
          <cell r="AF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P576" t="str">
            <v>X</v>
          </cell>
          <cell r="AQ576" t="str">
            <v>CF.12</v>
          </cell>
        </row>
        <row r="577">
          <cell r="B577" t="str">
            <v>Installation</v>
          </cell>
          <cell r="C577" t="str">
            <v>I</v>
          </cell>
          <cell r="D577">
            <v>4</v>
          </cell>
          <cell r="E577" t="str">
            <v>FO</v>
          </cell>
          <cell r="F577" t="str">
            <v>O_</v>
          </cell>
          <cell r="G577" t="str">
            <v>4C</v>
          </cell>
          <cell r="H577" t="str">
            <v>I4-FO-O_-4C</v>
          </cell>
          <cell r="I577" t="str">
            <v>Electrical Installation Infrastucture: Restroom Container</v>
          </cell>
          <cell r="Q577" t="str">
            <v>EXT</v>
          </cell>
          <cell r="R577" t="str">
            <v>Placeholder</v>
          </cell>
          <cell r="U577" t="str">
            <v>MO</v>
          </cell>
          <cell r="W577">
            <v>1</v>
          </cell>
          <cell r="X577" t="str">
            <v>USD</v>
          </cell>
          <cell r="Z577">
            <v>0</v>
          </cell>
          <cell r="AA577">
            <v>0</v>
          </cell>
          <cell r="AC577">
            <v>0</v>
          </cell>
          <cell r="AD577">
            <v>0</v>
          </cell>
          <cell r="AF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P577" t="str">
            <v>X</v>
          </cell>
          <cell r="AQ577" t="str">
            <v>CF.12</v>
          </cell>
        </row>
        <row r="578">
          <cell r="B578" t="str">
            <v>Installation</v>
          </cell>
          <cell r="C578" t="str">
            <v>I</v>
          </cell>
          <cell r="D578">
            <v>4</v>
          </cell>
          <cell r="E578" t="str">
            <v>FI</v>
          </cell>
          <cell r="F578" t="str">
            <v>O_</v>
          </cell>
          <cell r="G578" t="str">
            <v>1M</v>
          </cell>
          <cell r="H578" t="str">
            <v>I4-FI-O_-1M</v>
          </cell>
          <cell r="I578" t="str">
            <v>Electrical Installation Infrastucture: Hydraulic Lift</v>
          </cell>
          <cell r="Q578" t="str">
            <v>EXT</v>
          </cell>
          <cell r="R578" t="str">
            <v>Placeholder</v>
          </cell>
          <cell r="U578" t="str">
            <v>MO</v>
          </cell>
          <cell r="W578">
            <v>1</v>
          </cell>
          <cell r="X578" t="str">
            <v>USD</v>
          </cell>
          <cell r="Z578">
            <v>0</v>
          </cell>
          <cell r="AA578">
            <v>0</v>
          </cell>
          <cell r="AC578">
            <v>0</v>
          </cell>
          <cell r="AD578">
            <v>0</v>
          </cell>
          <cell r="AF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P578" t="str">
            <v>X</v>
          </cell>
          <cell r="AQ578" t="str">
            <v>CF.12</v>
          </cell>
        </row>
        <row r="579">
          <cell r="B579" t="str">
            <v>Installation</v>
          </cell>
          <cell r="C579" t="str">
            <v>I</v>
          </cell>
          <cell r="D579">
            <v>4</v>
          </cell>
          <cell r="E579" t="str">
            <v>FI</v>
          </cell>
          <cell r="F579" t="str">
            <v>O_</v>
          </cell>
          <cell r="G579" t="str">
            <v>1N</v>
          </cell>
          <cell r="H579" t="str">
            <v>I4-FI-O_-1N</v>
          </cell>
          <cell r="I579" t="str">
            <v>Electrical Installation Infrastucture: Mobile Elevated Work Platform (Cherry Picker)</v>
          </cell>
          <cell r="Q579" t="str">
            <v>EXT</v>
          </cell>
          <cell r="R579" t="str">
            <v>Placeholder</v>
          </cell>
          <cell r="U579" t="str">
            <v>MO</v>
          </cell>
          <cell r="W579">
            <v>1</v>
          </cell>
          <cell r="X579" t="str">
            <v>USD</v>
          </cell>
          <cell r="Z579">
            <v>0</v>
          </cell>
          <cell r="AA579">
            <v>0</v>
          </cell>
          <cell r="AC579">
            <v>0</v>
          </cell>
          <cell r="AD579">
            <v>0</v>
          </cell>
          <cell r="AF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P579" t="str">
            <v>X</v>
          </cell>
          <cell r="AQ579" t="str">
            <v>CF.12</v>
          </cell>
        </row>
        <row r="580">
          <cell r="B580" t="str">
            <v>Installation</v>
          </cell>
          <cell r="C580" t="str">
            <v>I</v>
          </cell>
          <cell r="D580">
            <v>4</v>
          </cell>
          <cell r="E580" t="str">
            <v>FI</v>
          </cell>
          <cell r="F580" t="str">
            <v>O_</v>
          </cell>
          <cell r="G580" t="str">
            <v>YC</v>
          </cell>
          <cell r="H580" t="str">
            <v>I4-FI-O_-YC</v>
          </cell>
          <cell r="I580" t="str">
            <v>Electrical Installation Infrastucture: Tools for Complete Set for all installation work</v>
          </cell>
          <cell r="Q580" t="str">
            <v>EXT</v>
          </cell>
          <cell r="R580" t="str">
            <v>Placeholder</v>
          </cell>
          <cell r="U580" t="str">
            <v>LS</v>
          </cell>
          <cell r="W580">
            <v>1</v>
          </cell>
          <cell r="X580" t="str">
            <v>USD</v>
          </cell>
          <cell r="Z580">
            <v>0</v>
          </cell>
          <cell r="AA580">
            <v>0</v>
          </cell>
          <cell r="AC580">
            <v>0</v>
          </cell>
          <cell r="AD580">
            <v>0</v>
          </cell>
          <cell r="AF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P580" t="str">
            <v>X</v>
          </cell>
          <cell r="AQ580" t="str">
            <v>CF.12</v>
          </cell>
        </row>
        <row r="581">
          <cell r="B581" t="str">
            <v/>
          </cell>
          <cell r="H581" t="str">
            <v>--</v>
          </cell>
          <cell r="Q581" t="str">
            <v>EXT</v>
          </cell>
          <cell r="R581" t="str">
            <v>Placeholder</v>
          </cell>
          <cell r="W581">
            <v>1</v>
          </cell>
          <cell r="X581" t="str">
            <v>USD</v>
          </cell>
          <cell r="Z581">
            <v>0</v>
          </cell>
          <cell r="AA581">
            <v>0</v>
          </cell>
          <cell r="AC581">
            <v>0</v>
          </cell>
          <cell r="AD581">
            <v>0</v>
          </cell>
          <cell r="AF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P581" t="str">
            <v>X</v>
          </cell>
          <cell r="AQ581" t="str">
            <v/>
          </cell>
        </row>
        <row r="582">
          <cell r="B582" t="str">
            <v/>
          </cell>
          <cell r="H582" t="str">
            <v>--</v>
          </cell>
          <cell r="Q582" t="str">
            <v>EXT</v>
          </cell>
          <cell r="R582" t="str">
            <v>Placeholder</v>
          </cell>
          <cell r="W582">
            <v>1</v>
          </cell>
          <cell r="X582" t="str">
            <v>USD</v>
          </cell>
          <cell r="Z582">
            <v>0</v>
          </cell>
          <cell r="AA582">
            <v>0</v>
          </cell>
          <cell r="AC582">
            <v>0</v>
          </cell>
          <cell r="AD582">
            <v>0</v>
          </cell>
          <cell r="AF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P582" t="str">
            <v>X</v>
          </cell>
          <cell r="AQ582" t="str">
            <v/>
          </cell>
        </row>
        <row r="583">
          <cell r="B583" t="str">
            <v>Grandtotal</v>
          </cell>
          <cell r="AD583">
            <v>17265351.87716455</v>
          </cell>
          <cell r="AH583">
            <v>17265351.87716455</v>
          </cell>
          <cell r="AN583">
            <v>22631147.998089679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dre" id="{F1365564-A1AB-4156-9CA6-4C75B1B436E0}" userId="S::andre.bento@siemens-logistics.com::cae8bbd3-54bd-4862-89ed-cb518924737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9" dT="2022-11-04T12:24:16.44" personId="{F1365564-A1AB-4156-9CA6-4C75B1B436E0}" id="{CE5E87D8-87D7-4DAB-8F54-330E9F1BC145}">
    <text>Average Price</text>
  </threadedComment>
  <threadedComment ref="J27" dT="2022-11-04T12:24:16.44" personId="{F1365564-A1AB-4156-9CA6-4C75B1B436E0}" id="{F03E72AF-8FC5-466B-B62C-26C224642596}">
    <text>Price according to NTP for KLIA Ph1</text>
  </threadedComment>
  <threadedComment ref="J30" dT="2022-11-04T12:24:16.44" personId="{F1365564-A1AB-4156-9CA6-4C75B1B436E0}" id="{74FB9E97-D11C-4EC6-90F0-FB537FCC5F28}">
    <text>Price according to NTP for KLIA Ph1</text>
  </threadedComment>
  <threadedComment ref="J31" dT="2022-11-04T12:24:16.44" personId="{F1365564-A1AB-4156-9CA6-4C75B1B436E0}" id="{D01BCCDE-9334-4A89-BD85-5E031B10DDBB}">
    <text>Price according to NTP for KLIA Ph1</text>
  </threadedComment>
  <threadedComment ref="J32" dT="2022-11-04T12:24:16.44" personId="{F1365564-A1AB-4156-9CA6-4C75B1B436E0}" id="{A0DE3B2F-623C-4735-B237-E08F8B1A13D7}">
    <text>Average Price</text>
  </threadedComment>
  <threadedComment ref="J33" dT="2022-11-04T12:24:16.44" personId="{F1365564-A1AB-4156-9CA6-4C75B1B436E0}" id="{2A597FDA-4D0F-4999-8549-50E78D468334}">
    <text>Average Price</text>
  </threadedComment>
  <threadedComment ref="J34" dT="2022-11-04T12:24:16.44" personId="{F1365564-A1AB-4156-9CA6-4C75B1B436E0}" id="{9341211A-8F75-4B25-95C4-922C58AD4CDE}">
    <text>Average Price</text>
  </threadedComment>
  <threadedComment ref="J36" dT="2022-11-04T12:24:16.44" personId="{F1365564-A1AB-4156-9CA6-4C75B1B436E0}" id="{1B6C10F3-4BAC-4E9B-B12C-D676F2952C18}">
    <text>Price according to NTP for KLIA Ph1</text>
  </threadedComment>
  <threadedComment ref="J41" dT="2022-11-04T12:24:16.44" personId="{F1365564-A1AB-4156-9CA6-4C75B1B436E0}" id="{CC8B430C-843A-40C4-85DD-001C49D9FAE0}">
    <text>Price according to NTP for KLIA Ph1</text>
  </threadedComment>
  <threadedComment ref="J42" dT="2022-11-04T12:24:16.44" personId="{F1365564-A1AB-4156-9CA6-4C75B1B436E0}" id="{FC42BA05-D655-4941-8722-D98C5C2F08C7}">
    <text>Average Price</text>
  </threadedComment>
  <threadedComment ref="J45" dT="2022-11-04T12:24:16.44" personId="{F1365564-A1AB-4156-9CA6-4C75B1B436E0}" id="{1BCC75A2-6677-409C-82EA-5484425D1DE3}">
    <text>Average Price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8" dT="2022-11-04T12:24:16.44" personId="{F1365564-A1AB-4156-9CA6-4C75B1B436E0}" id="{CD98F1DF-3CBF-4406-8C6D-B5F1CAA54212}">
    <text>Average Price</text>
  </threadedComment>
  <threadedComment ref="J26" dT="2022-11-04T12:24:16.44" personId="{F1365564-A1AB-4156-9CA6-4C75B1B436E0}" id="{6B324B2A-C53D-402D-B648-7EFF5ADF7975}">
    <text>Price according to NTP for KLIA Ph1</text>
  </threadedComment>
  <threadedComment ref="J29" dT="2022-11-04T12:24:16.44" personId="{F1365564-A1AB-4156-9CA6-4C75B1B436E0}" id="{104493E8-1B7A-4106-9784-4D2A8399BA5A}">
    <text>Price according to NTP for KLIA Ph1</text>
  </threadedComment>
  <threadedComment ref="J37" dT="2022-11-04T12:24:16.44" personId="{F1365564-A1AB-4156-9CA6-4C75B1B436E0}" id="{CB000243-6C54-40F1-B459-EFC96091D525}">
    <text>Price according to NTP for KLIA Ph1</text>
  </threadedComment>
  <threadedComment ref="J38" dT="2022-11-04T12:24:16.44" personId="{F1365564-A1AB-4156-9CA6-4C75B1B436E0}" id="{5EEF8A6C-B520-40E1-91BE-B6F0DCAD4051}">
    <text>Average Price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8" dT="2022-11-04T12:24:16.44" personId="{F1365564-A1AB-4156-9CA6-4C75B1B436E0}" id="{8D1E1BF5-6C18-4EA2-B009-CF9708B0A986}">
    <text>Average Price</text>
  </threadedComment>
  <threadedComment ref="J24" dT="2022-11-04T12:24:16.44" personId="{F1365564-A1AB-4156-9CA6-4C75B1B436E0}" id="{14DA56C1-B9EC-4387-AFBA-1CA238CB831F}">
    <text>Price according to NTP for KLIA Ph1</text>
  </threadedComment>
  <threadedComment ref="J25" dT="2022-11-04T12:24:16.44" personId="{F1365564-A1AB-4156-9CA6-4C75B1B436E0}" id="{0A19E43F-F4F8-4B29-856C-70EE706616D0}">
    <text>Price according to NTP for KLIA Ph1</text>
  </threadedComment>
  <threadedComment ref="J26" dT="2022-11-04T12:24:16.44" personId="{F1365564-A1AB-4156-9CA6-4C75B1B436E0}" id="{38BB94A6-FE6E-4290-B28E-5FAAB892A05F}">
    <text>Average Price</text>
  </threadedComment>
  <threadedComment ref="J27" dT="2022-11-04T12:24:16.44" personId="{F1365564-A1AB-4156-9CA6-4C75B1B436E0}" id="{A051D3AE-A6F3-4A92-8A4B-AC2137426AE0}">
    <text>Average Price</text>
  </threadedComment>
  <threadedComment ref="J28" dT="2022-11-04T12:24:16.44" personId="{F1365564-A1AB-4156-9CA6-4C75B1B436E0}" id="{FDD81664-25D3-48C3-8425-539EAE9C82AA}">
    <text>Average Price</text>
  </threadedComment>
  <threadedComment ref="J30" dT="2022-11-04T12:24:16.44" personId="{F1365564-A1AB-4156-9CA6-4C75B1B436E0}" id="{A570BCB6-11C8-482C-A044-27818293BBA5}">
    <text>Price according to NTP for KLIA Ph1</text>
  </threadedComment>
  <threadedComment ref="J35" dT="2022-11-04T12:24:16.44" personId="{F1365564-A1AB-4156-9CA6-4C75B1B436E0}" id="{E8084F37-F2C0-40E1-B95E-2393EB8C7C87}">
    <text>Price according to NTP for KLIA Ph1</text>
  </threadedComment>
  <threadedComment ref="J36" dT="2022-11-04T12:24:16.44" personId="{F1365564-A1AB-4156-9CA6-4C75B1B436E0}" id="{E56E7D0E-6B90-45B6-81BB-911D403CAAAC}">
    <text>Average Price</text>
  </threadedComment>
  <threadedComment ref="J39" dT="2022-11-04T12:24:16.44" personId="{F1365564-A1AB-4156-9CA6-4C75B1B436E0}" id="{55018B9C-52D0-4F09-80C1-F38702FEB378}">
    <text>Average Price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1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12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4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A2624-F714-4FC3-B40A-D483FD8F086F}">
  <sheetPr codeName="Sheet2"/>
  <dimension ref="A1:Q196"/>
  <sheetViews>
    <sheetView zoomScale="90" zoomScaleNormal="90" workbookViewId="0">
      <selection activeCell="C15" sqref="C15"/>
    </sheetView>
  </sheetViews>
  <sheetFormatPr defaultColWidth="11.44140625" defaultRowHeight="13.2" outlineLevelRow="1" outlineLevelCol="1" x14ac:dyDescent="0.25"/>
  <cols>
    <col min="1" max="1" width="22.109375" style="26" customWidth="1"/>
    <col min="2" max="2" width="3.33203125" style="92" customWidth="1" outlineLevel="1"/>
    <col min="3" max="3" width="43.33203125" style="26" customWidth="1"/>
    <col min="4" max="4" width="17.88671875" style="130" hidden="1" customWidth="1" outlineLevel="1"/>
    <col min="5" max="5" width="15" style="9" hidden="1" customWidth="1" outlineLevel="1"/>
    <col min="6" max="6" width="44.5546875" style="9" hidden="1" customWidth="1" outlineLevel="1"/>
    <col min="7" max="7" width="45.5546875" style="29" hidden="1" customWidth="1" outlineLevel="1"/>
    <col min="8" max="8" width="23.88671875" style="29" hidden="1" customWidth="1" outlineLevel="1"/>
    <col min="9" max="9" width="15" style="29" hidden="1" customWidth="1" outlineLevel="1"/>
    <col min="10" max="10" width="19.33203125" style="10" hidden="1" customWidth="1" collapsed="1"/>
    <col min="11" max="11" width="10" style="114" hidden="1" customWidth="1"/>
    <col min="12" max="12" width="11.6640625" style="114" hidden="1" customWidth="1"/>
    <col min="13" max="13" width="13.6640625" style="26" customWidth="1"/>
    <col min="14" max="14" width="14.109375" style="26" customWidth="1"/>
    <col min="15" max="15" width="22.109375" style="26" customWidth="1"/>
    <col min="16" max="16" width="13.5546875" style="26" customWidth="1" outlineLevel="1"/>
    <col min="17" max="17" width="14.5546875" style="26" customWidth="1" outlineLevel="1"/>
    <col min="18" max="18" width="11.44140625" style="26" customWidth="1"/>
    <col min="19" max="16384" width="11.44140625" style="26"/>
  </cols>
  <sheetData>
    <row r="1" spans="1:17" ht="42" customHeight="1" thickBot="1" x14ac:dyDescent="0.3">
      <c r="K1" s="10"/>
      <c r="L1" s="10"/>
    </row>
    <row r="2" spans="1:17" ht="19.95" customHeight="1" thickBot="1" x14ac:dyDescent="0.45">
      <c r="A2" s="11" t="s">
        <v>0</v>
      </c>
      <c r="J2" s="341" t="s">
        <v>1</v>
      </c>
      <c r="K2" s="342"/>
      <c r="L2" s="343"/>
      <c r="M2" s="146"/>
      <c r="N2" s="163" t="s">
        <v>2</v>
      </c>
      <c r="O2" s="30"/>
      <c r="Q2" s="216"/>
    </row>
    <row r="3" spans="1:17" ht="43.95" customHeight="1" thickBot="1" x14ac:dyDescent="0.45">
      <c r="A3" s="186" t="s">
        <v>3</v>
      </c>
      <c r="B3" s="187"/>
      <c r="C3" s="186"/>
      <c r="D3" s="131"/>
      <c r="E3" s="12"/>
      <c r="F3" s="12"/>
      <c r="G3" s="27"/>
      <c r="J3" s="344"/>
      <c r="K3" s="345"/>
      <c r="L3" s="346"/>
      <c r="M3" s="161" t="s">
        <v>4</v>
      </c>
      <c r="N3" s="162">
        <f>N4/M4</f>
        <v>0.26037066370980511</v>
      </c>
    </row>
    <row r="4" spans="1:17" ht="37.950000000000003" customHeight="1" thickBot="1" x14ac:dyDescent="0.3">
      <c r="C4" s="185" t="s">
        <v>5</v>
      </c>
      <c r="D4" s="131"/>
      <c r="J4" s="160" t="s">
        <v>6</v>
      </c>
      <c r="K4" s="165"/>
      <c r="L4" s="166"/>
      <c r="M4" s="188">
        <v>6313</v>
      </c>
      <c r="N4" s="158">
        <f>N194</f>
        <v>1643.7199999999998</v>
      </c>
      <c r="O4" s="159">
        <f>N4-O133</f>
        <v>0</v>
      </c>
    </row>
    <row r="5" spans="1:17" s="28" customFormat="1" ht="26.4" x14ac:dyDescent="0.3">
      <c r="A5" s="164" t="s">
        <v>7</v>
      </c>
      <c r="C5" s="13" t="s">
        <v>8</v>
      </c>
      <c r="D5" s="132" t="s">
        <v>9</v>
      </c>
      <c r="E5" s="31" t="s">
        <v>10</v>
      </c>
      <c r="F5" s="31" t="s">
        <v>11</v>
      </c>
      <c r="G5" s="31" t="s">
        <v>12</v>
      </c>
      <c r="H5" s="31" t="s">
        <v>13</v>
      </c>
      <c r="I5" s="31" t="s">
        <v>14</v>
      </c>
      <c r="J5" s="32" t="s">
        <v>15</v>
      </c>
      <c r="K5" s="32" t="s">
        <v>16</v>
      </c>
      <c r="L5" s="32" t="s">
        <v>17</v>
      </c>
      <c r="M5" s="119" t="s">
        <v>18</v>
      </c>
      <c r="N5" s="119" t="s">
        <v>19</v>
      </c>
      <c r="O5" s="13" t="s">
        <v>20</v>
      </c>
      <c r="P5" s="93" t="s">
        <v>21</v>
      </c>
      <c r="Q5" s="93" t="s">
        <v>22</v>
      </c>
    </row>
    <row r="6" spans="1:17" ht="17.399999999999999" x14ac:dyDescent="0.3">
      <c r="C6" s="91" t="s">
        <v>23</v>
      </c>
      <c r="D6" s="133"/>
      <c r="E6" s="33"/>
      <c r="F6" s="33"/>
      <c r="G6" s="34"/>
      <c r="H6" s="34"/>
      <c r="I6" s="34"/>
      <c r="J6" s="33"/>
      <c r="K6" s="103"/>
      <c r="L6" s="103"/>
      <c r="M6" s="35"/>
      <c r="N6" s="35"/>
      <c r="O6" s="14">
        <f>O7+O17+O22+O39+O44</f>
        <v>0</v>
      </c>
    </row>
    <row r="7" spans="1:17" x14ac:dyDescent="0.25">
      <c r="C7" s="36" t="s">
        <v>24</v>
      </c>
      <c r="D7" s="129"/>
      <c r="E7" s="37"/>
      <c r="F7" s="37"/>
      <c r="G7" s="38"/>
      <c r="H7" s="38"/>
      <c r="I7" s="38"/>
      <c r="J7" s="39"/>
      <c r="K7" s="104"/>
      <c r="L7" s="104"/>
      <c r="M7" s="40"/>
      <c r="N7" s="41"/>
      <c r="O7" s="15">
        <f>SUM(N8:N16)</f>
        <v>0</v>
      </c>
    </row>
    <row r="8" spans="1:17" x14ac:dyDescent="0.25">
      <c r="A8" s="149" t="s">
        <v>25</v>
      </c>
      <c r="C8" s="124" t="s">
        <v>26</v>
      </c>
      <c r="D8" s="43" t="s">
        <v>27</v>
      </c>
      <c r="E8" s="43" t="s">
        <v>27</v>
      </c>
      <c r="F8" s="43"/>
      <c r="G8" s="44"/>
      <c r="H8" s="44" t="s">
        <v>28</v>
      </c>
      <c r="I8" s="44" t="s">
        <v>29</v>
      </c>
      <c r="J8" s="123">
        <v>44103.950000000004</v>
      </c>
      <c r="K8" s="105"/>
      <c r="L8" s="105"/>
      <c r="M8" s="46"/>
      <c r="N8" s="47">
        <f>J8*M8</f>
        <v>0</v>
      </c>
      <c r="O8" s="17" t="s">
        <v>30</v>
      </c>
      <c r="P8" s="211" t="s">
        <v>31</v>
      </c>
      <c r="Q8" s="94" t="s">
        <v>32</v>
      </c>
    </row>
    <row r="9" spans="1:17" x14ac:dyDescent="0.25">
      <c r="C9" s="42"/>
      <c r="D9" s="128"/>
      <c r="E9" s="50"/>
      <c r="F9" s="50"/>
      <c r="G9" s="44"/>
      <c r="H9" s="44"/>
      <c r="I9" s="44"/>
      <c r="J9" s="51"/>
      <c r="K9" s="106"/>
      <c r="L9" s="106"/>
      <c r="M9" s="46"/>
      <c r="N9" s="47"/>
      <c r="O9" s="52"/>
    </row>
    <row r="10" spans="1:17" x14ac:dyDescent="0.25">
      <c r="A10" s="149" t="s">
        <v>33</v>
      </c>
      <c r="C10" s="124" t="s">
        <v>34</v>
      </c>
      <c r="D10" s="128"/>
      <c r="E10" s="50"/>
      <c r="F10" s="50"/>
      <c r="G10" s="44"/>
      <c r="H10" s="44" t="s">
        <v>35</v>
      </c>
      <c r="I10" s="44" t="s">
        <v>29</v>
      </c>
      <c r="J10" s="49">
        <v>25630</v>
      </c>
      <c r="K10" s="105"/>
      <c r="L10" s="105"/>
      <c r="M10" s="46"/>
      <c r="N10" s="47">
        <f>J10*M10</f>
        <v>0</v>
      </c>
      <c r="O10" s="16" t="s">
        <v>36</v>
      </c>
      <c r="P10" s="211" t="s">
        <v>37</v>
      </c>
      <c r="Q10" s="94" t="s">
        <v>38</v>
      </c>
    </row>
    <row r="11" spans="1:17" x14ac:dyDescent="0.25">
      <c r="A11" s="149" t="s">
        <v>39</v>
      </c>
      <c r="C11" s="124" t="s">
        <v>40</v>
      </c>
      <c r="D11" s="43" t="s">
        <v>27</v>
      </c>
      <c r="E11" s="43" t="s">
        <v>27</v>
      </c>
      <c r="F11" s="50"/>
      <c r="G11" s="44"/>
      <c r="H11" s="44" t="s">
        <v>35</v>
      </c>
      <c r="I11" s="44" t="s">
        <v>29</v>
      </c>
      <c r="J11" s="123">
        <v>28193.000000000004</v>
      </c>
      <c r="K11" s="105"/>
      <c r="L11" s="105"/>
      <c r="M11" s="151"/>
      <c r="N11" s="15">
        <f>J11*M11</f>
        <v>0</v>
      </c>
      <c r="O11" s="17" t="s">
        <v>41</v>
      </c>
      <c r="P11" s="211" t="s">
        <v>37</v>
      </c>
      <c r="Q11" s="94" t="s">
        <v>38</v>
      </c>
    </row>
    <row r="12" spans="1:17" x14ac:dyDescent="0.25">
      <c r="C12" s="36"/>
      <c r="D12" s="129"/>
      <c r="E12" s="37"/>
      <c r="F12" s="37"/>
      <c r="G12" s="38"/>
      <c r="H12" s="38"/>
      <c r="I12" s="38"/>
      <c r="J12" s="40"/>
      <c r="K12" s="107"/>
      <c r="L12" s="107"/>
      <c r="M12" s="40"/>
      <c r="N12" s="47"/>
      <c r="O12" s="52"/>
    </row>
    <row r="13" spans="1:17" outlineLevel="1" x14ac:dyDescent="0.25">
      <c r="C13" s="53" t="s">
        <v>42</v>
      </c>
      <c r="D13" s="96" t="s">
        <v>43</v>
      </c>
      <c r="E13" s="96" t="s">
        <v>43</v>
      </c>
      <c r="F13" s="54" t="s">
        <v>44</v>
      </c>
      <c r="G13" s="55"/>
      <c r="H13" s="55" t="s">
        <v>45</v>
      </c>
      <c r="I13" s="55"/>
      <c r="J13" s="40"/>
      <c r="K13" s="107"/>
      <c r="L13" s="107"/>
      <c r="M13" s="46">
        <v>0</v>
      </c>
      <c r="N13" s="47">
        <f>J13*M13</f>
        <v>0</v>
      </c>
      <c r="O13" s="24" t="s">
        <v>46</v>
      </c>
      <c r="P13" s="211" t="s">
        <v>47</v>
      </c>
      <c r="Q13" s="94" t="s">
        <v>48</v>
      </c>
    </row>
    <row r="14" spans="1:17" outlineLevel="1" x14ac:dyDescent="0.25">
      <c r="C14" s="53"/>
      <c r="D14" s="128" t="s">
        <v>49</v>
      </c>
      <c r="E14" s="128" t="s">
        <v>49</v>
      </c>
      <c r="F14" s="50" t="s">
        <v>49</v>
      </c>
      <c r="G14" s="55"/>
      <c r="H14" s="55"/>
      <c r="I14" s="55"/>
      <c r="J14" s="40"/>
      <c r="K14" s="107"/>
      <c r="L14" s="107"/>
      <c r="M14" s="46">
        <v>0</v>
      </c>
      <c r="N14" s="47">
        <f>J14*M14</f>
        <v>0</v>
      </c>
      <c r="O14" s="24" t="s">
        <v>46</v>
      </c>
      <c r="P14" s="211" t="s">
        <v>47</v>
      </c>
      <c r="Q14" s="94" t="s">
        <v>48</v>
      </c>
    </row>
    <row r="15" spans="1:17" x14ac:dyDescent="0.25">
      <c r="A15" s="149" t="s">
        <v>50</v>
      </c>
      <c r="C15" s="53" t="s">
        <v>51</v>
      </c>
      <c r="D15" s="96" t="s">
        <v>43</v>
      </c>
      <c r="E15" s="96" t="s">
        <v>43</v>
      </c>
      <c r="F15" s="50" t="s">
        <v>49</v>
      </c>
      <c r="G15" s="55"/>
      <c r="H15" s="55"/>
      <c r="I15" s="55" t="s">
        <v>52</v>
      </c>
      <c r="J15" s="49">
        <v>10000</v>
      </c>
      <c r="K15" s="107"/>
      <c r="L15" s="107"/>
      <c r="M15" s="46"/>
      <c r="N15" s="47">
        <f>J15*M15</f>
        <v>0</v>
      </c>
      <c r="O15" s="24" t="s">
        <v>46</v>
      </c>
      <c r="P15" s="211" t="s">
        <v>47</v>
      </c>
      <c r="Q15" s="94" t="s">
        <v>48</v>
      </c>
    </row>
    <row r="16" spans="1:17" x14ac:dyDescent="0.25">
      <c r="C16" s="42"/>
      <c r="D16" s="128"/>
      <c r="E16" s="128"/>
      <c r="F16" s="50" t="s">
        <v>49</v>
      </c>
      <c r="G16" s="44"/>
      <c r="H16" s="44"/>
      <c r="I16" s="44"/>
      <c r="J16" s="40"/>
      <c r="K16" s="107"/>
      <c r="L16" s="107"/>
      <c r="M16" s="46"/>
      <c r="N16" s="47"/>
      <c r="O16" s="52"/>
    </row>
    <row r="17" spans="1:17" x14ac:dyDescent="0.25">
      <c r="C17" s="36" t="s">
        <v>53</v>
      </c>
      <c r="D17" s="129"/>
      <c r="E17" s="129"/>
      <c r="F17" s="37"/>
      <c r="G17" s="38"/>
      <c r="H17" s="38"/>
      <c r="I17" s="38"/>
      <c r="K17" s="107"/>
      <c r="L17" s="107"/>
      <c r="M17" s="40"/>
      <c r="N17" s="47"/>
      <c r="O17" s="15">
        <f>SUM(N18:N21)</f>
        <v>0</v>
      </c>
    </row>
    <row r="18" spans="1:17" x14ac:dyDescent="0.25">
      <c r="A18" s="153" t="s">
        <v>54</v>
      </c>
      <c r="C18" s="42" t="s">
        <v>55</v>
      </c>
      <c r="D18" s="96" t="s">
        <v>43</v>
      </c>
      <c r="E18" s="96" t="s">
        <v>43</v>
      </c>
      <c r="F18" s="58" t="s">
        <v>54</v>
      </c>
      <c r="G18" s="56"/>
      <c r="H18" s="55" t="s">
        <v>56</v>
      </c>
      <c r="I18" s="44" t="s">
        <v>29</v>
      </c>
      <c r="J18" s="49">
        <v>24665.55</v>
      </c>
      <c r="K18" s="105"/>
      <c r="L18" s="105"/>
      <c r="M18" s="46"/>
      <c r="N18" s="47">
        <f>J18*M18</f>
        <v>0</v>
      </c>
      <c r="O18" s="16" t="s">
        <v>57</v>
      </c>
      <c r="P18" s="211" t="s">
        <v>58</v>
      </c>
      <c r="Q18" s="94" t="s">
        <v>59</v>
      </c>
    </row>
    <row r="19" spans="1:17" x14ac:dyDescent="0.25">
      <c r="A19" s="149" t="s">
        <v>60</v>
      </c>
      <c r="C19" s="124" t="s">
        <v>61</v>
      </c>
      <c r="D19" s="96" t="s">
        <v>43</v>
      </c>
      <c r="E19" s="96" t="s">
        <v>43</v>
      </c>
      <c r="F19" s="147" t="s">
        <v>60</v>
      </c>
      <c r="G19" s="44"/>
      <c r="H19" s="55" t="s">
        <v>56</v>
      </c>
      <c r="I19" s="44" t="s">
        <v>29</v>
      </c>
      <c r="J19" s="123">
        <v>33502.35</v>
      </c>
      <c r="K19" s="105"/>
      <c r="L19" s="105"/>
      <c r="M19" s="46"/>
      <c r="N19" s="47">
        <f>J19*M19</f>
        <v>0</v>
      </c>
      <c r="O19" s="16" t="s">
        <v>57</v>
      </c>
      <c r="P19" s="211" t="s">
        <v>58</v>
      </c>
      <c r="Q19" s="94" t="s">
        <v>59</v>
      </c>
    </row>
    <row r="20" spans="1:17" ht="13.8" thickBot="1" x14ac:dyDescent="0.3">
      <c r="C20" s="42"/>
      <c r="D20" s="43"/>
      <c r="E20" s="56"/>
      <c r="F20" s="56"/>
      <c r="G20" s="44"/>
      <c r="H20" s="55"/>
      <c r="I20" s="55"/>
      <c r="J20" s="47"/>
      <c r="K20" s="105"/>
      <c r="L20" s="105"/>
      <c r="M20" s="46">
        <v>0</v>
      </c>
      <c r="N20" s="47">
        <f>J20*M20</f>
        <v>0</v>
      </c>
      <c r="O20" s="52"/>
    </row>
    <row r="21" spans="1:17" x14ac:dyDescent="0.25">
      <c r="B21" s="169" t="s">
        <v>62</v>
      </c>
      <c r="C21" s="167"/>
      <c r="D21" s="128"/>
      <c r="E21" s="50"/>
      <c r="F21" s="50"/>
      <c r="G21" s="44"/>
      <c r="H21" s="44"/>
      <c r="I21" s="44"/>
      <c r="J21" s="126"/>
      <c r="K21" s="108"/>
      <c r="L21" s="108"/>
      <c r="M21" s="46"/>
      <c r="N21" s="47"/>
      <c r="O21" s="52"/>
    </row>
    <row r="22" spans="1:17" ht="13.8" thickBot="1" x14ac:dyDescent="0.3">
      <c r="B22" s="173" t="s">
        <v>63</v>
      </c>
      <c r="C22" s="168" t="s">
        <v>23</v>
      </c>
      <c r="D22" s="129"/>
      <c r="E22" s="37"/>
      <c r="F22" s="37"/>
      <c r="G22" s="38"/>
      <c r="H22" s="38"/>
      <c r="I22" s="38"/>
      <c r="J22" s="126"/>
      <c r="K22" s="108"/>
      <c r="L22" s="108"/>
      <c r="M22" s="46"/>
      <c r="N22" s="47"/>
      <c r="O22" s="15">
        <f>SUM(N23:N38)</f>
        <v>0</v>
      </c>
    </row>
    <row r="23" spans="1:17" x14ac:dyDescent="0.25">
      <c r="A23" s="153" t="s">
        <v>64</v>
      </c>
      <c r="B23" s="169" t="s">
        <v>65</v>
      </c>
      <c r="C23" s="172" t="s">
        <v>66</v>
      </c>
      <c r="D23" s="95" t="s">
        <v>43</v>
      </c>
      <c r="E23" s="43"/>
      <c r="F23" s="125" t="s">
        <v>67</v>
      </c>
      <c r="G23" s="44"/>
      <c r="H23" s="55" t="s">
        <v>56</v>
      </c>
      <c r="I23" s="44" t="s">
        <v>29</v>
      </c>
      <c r="J23" s="123">
        <v>2956.8</v>
      </c>
      <c r="K23" s="105"/>
      <c r="L23" s="105"/>
      <c r="M23" s="46"/>
      <c r="N23" s="47">
        <f t="shared" ref="N23:N37" si="0">J23*M23</f>
        <v>0</v>
      </c>
      <c r="O23" s="16" t="s">
        <v>68</v>
      </c>
      <c r="P23" s="211" t="s">
        <v>69</v>
      </c>
      <c r="Q23" s="94" t="s">
        <v>70</v>
      </c>
    </row>
    <row r="24" spans="1:17" x14ac:dyDescent="0.25">
      <c r="A24" s="149" t="s">
        <v>71</v>
      </c>
      <c r="B24" s="173" t="s">
        <v>65</v>
      </c>
      <c r="C24" s="172" t="s">
        <v>72</v>
      </c>
      <c r="D24" s="95" t="s">
        <v>43</v>
      </c>
      <c r="E24" s="43"/>
      <c r="F24" s="125" t="s">
        <v>67</v>
      </c>
      <c r="G24" s="44"/>
      <c r="H24" s="55" t="s">
        <v>56</v>
      </c>
      <c r="I24" s="44" t="s">
        <v>29</v>
      </c>
      <c r="J24" s="123">
        <v>2956.8</v>
      </c>
      <c r="K24" s="105"/>
      <c r="L24" s="105"/>
      <c r="M24" s="46"/>
      <c r="N24" s="47">
        <f>J24*M24</f>
        <v>0</v>
      </c>
      <c r="O24" s="16" t="s">
        <v>68</v>
      </c>
      <c r="P24" s="211" t="s">
        <v>69</v>
      </c>
      <c r="Q24" s="94" t="s">
        <v>70</v>
      </c>
    </row>
    <row r="25" spans="1:17" x14ac:dyDescent="0.25">
      <c r="A25" s="152" t="s">
        <v>73</v>
      </c>
      <c r="B25" s="173" t="s">
        <v>74</v>
      </c>
      <c r="C25" s="172" t="s">
        <v>75</v>
      </c>
      <c r="D25" s="95" t="s">
        <v>43</v>
      </c>
      <c r="E25" s="43"/>
      <c r="F25" s="125" t="s">
        <v>76</v>
      </c>
      <c r="G25" s="44"/>
      <c r="H25" s="55" t="s">
        <v>56</v>
      </c>
      <c r="I25" s="44" t="s">
        <v>29</v>
      </c>
      <c r="J25" s="123">
        <v>13787.349999999999</v>
      </c>
      <c r="K25" s="105"/>
      <c r="L25" s="105"/>
      <c r="M25" s="46"/>
      <c r="N25" s="47">
        <f t="shared" si="0"/>
        <v>0</v>
      </c>
      <c r="O25" s="16" t="s">
        <v>77</v>
      </c>
      <c r="P25" s="26" t="s">
        <v>78</v>
      </c>
      <c r="Q25" s="94" t="s">
        <v>79</v>
      </c>
    </row>
    <row r="26" spans="1:17" x14ac:dyDescent="0.25">
      <c r="A26" s="149" t="s">
        <v>80</v>
      </c>
      <c r="B26" s="173" t="s">
        <v>74</v>
      </c>
      <c r="C26" s="167" t="s">
        <v>81</v>
      </c>
      <c r="D26" s="96" t="s">
        <v>82</v>
      </c>
      <c r="E26" s="56"/>
      <c r="F26" s="54" t="s">
        <v>43</v>
      </c>
      <c r="G26" s="44"/>
      <c r="H26" s="55" t="s">
        <v>56</v>
      </c>
      <c r="I26" s="44" t="s">
        <v>29</v>
      </c>
      <c r="J26" s="49">
        <v>11267</v>
      </c>
      <c r="K26" s="105"/>
      <c r="L26" s="105"/>
      <c r="M26" s="46"/>
      <c r="N26" s="47">
        <f t="shared" si="0"/>
        <v>0</v>
      </c>
      <c r="O26" s="17" t="s">
        <v>83</v>
      </c>
      <c r="P26" s="26" t="s">
        <v>84</v>
      </c>
      <c r="Q26" s="94" t="s">
        <v>85</v>
      </c>
    </row>
    <row r="27" spans="1:17" x14ac:dyDescent="0.25">
      <c r="A27" s="171" t="s">
        <v>86</v>
      </c>
      <c r="B27" s="173" t="s">
        <v>74</v>
      </c>
      <c r="C27" s="172" t="s">
        <v>87</v>
      </c>
      <c r="D27" s="95" t="s">
        <v>88</v>
      </c>
      <c r="E27" s="43"/>
      <c r="F27" s="125" t="s">
        <v>89</v>
      </c>
      <c r="G27" s="44"/>
      <c r="H27" s="55" t="s">
        <v>56</v>
      </c>
      <c r="I27" s="44" t="s">
        <v>29</v>
      </c>
      <c r="J27" s="123">
        <v>6871.2000000000007</v>
      </c>
      <c r="K27" s="109">
        <v>55</v>
      </c>
      <c r="L27" s="109" t="s">
        <v>90</v>
      </c>
      <c r="M27" s="46"/>
      <c r="N27" s="47">
        <f t="shared" si="0"/>
        <v>0</v>
      </c>
      <c r="O27" s="16" t="s">
        <v>77</v>
      </c>
      <c r="P27" s="26" t="s">
        <v>91</v>
      </c>
      <c r="Q27" s="94" t="s">
        <v>92</v>
      </c>
    </row>
    <row r="28" spans="1:17" x14ac:dyDescent="0.25">
      <c r="A28" s="171" t="s">
        <v>93</v>
      </c>
      <c r="B28" s="173" t="s">
        <v>74</v>
      </c>
      <c r="C28" s="167" t="s">
        <v>94</v>
      </c>
      <c r="D28" s="129"/>
      <c r="E28" s="56"/>
      <c r="F28" s="127" t="s">
        <v>27</v>
      </c>
      <c r="G28" s="44"/>
      <c r="H28" s="55" t="s">
        <v>56</v>
      </c>
      <c r="I28" s="44" t="s">
        <v>29</v>
      </c>
      <c r="J28" s="49">
        <v>1000</v>
      </c>
      <c r="K28" s="105"/>
      <c r="L28" s="105"/>
      <c r="M28" s="46"/>
      <c r="N28" s="47">
        <f t="shared" si="0"/>
        <v>0</v>
      </c>
      <c r="O28" s="17" t="s">
        <v>95</v>
      </c>
      <c r="P28" s="26" t="s">
        <v>96</v>
      </c>
      <c r="Q28" s="94" t="s">
        <v>97</v>
      </c>
    </row>
    <row r="29" spans="1:17" ht="13.8" x14ac:dyDescent="0.25">
      <c r="A29" s="150" t="s">
        <v>98</v>
      </c>
      <c r="B29" s="173" t="s">
        <v>74</v>
      </c>
      <c r="C29" s="167" t="s">
        <v>99</v>
      </c>
      <c r="D29" s="96" t="s">
        <v>43</v>
      </c>
      <c r="E29" s="56"/>
      <c r="F29" s="54" t="s">
        <v>43</v>
      </c>
      <c r="G29" s="44"/>
      <c r="H29" s="55" t="s">
        <v>56</v>
      </c>
      <c r="I29" s="44" t="s">
        <v>29</v>
      </c>
      <c r="J29" s="49">
        <v>1000</v>
      </c>
      <c r="K29" s="105"/>
      <c r="L29" s="105"/>
      <c r="M29" s="46"/>
      <c r="N29" s="47">
        <f t="shared" si="0"/>
        <v>0</v>
      </c>
      <c r="O29" s="17" t="s">
        <v>95</v>
      </c>
      <c r="P29" s="26" t="s">
        <v>100</v>
      </c>
      <c r="Q29" s="94" t="s">
        <v>97</v>
      </c>
    </row>
    <row r="30" spans="1:17" x14ac:dyDescent="0.25">
      <c r="A30" s="171" t="s">
        <v>101</v>
      </c>
      <c r="B30" s="173" t="s">
        <v>74</v>
      </c>
      <c r="C30" s="167" t="s">
        <v>102</v>
      </c>
      <c r="D30" s="96" t="s">
        <v>103</v>
      </c>
      <c r="E30" s="56"/>
      <c r="F30" s="54" t="s">
        <v>104</v>
      </c>
      <c r="G30" s="55"/>
      <c r="H30" s="55" t="s">
        <v>56</v>
      </c>
      <c r="I30" s="44" t="s">
        <v>29</v>
      </c>
      <c r="J30" s="45">
        <v>10555</v>
      </c>
      <c r="K30" s="109">
        <v>55</v>
      </c>
      <c r="L30" s="109" t="s">
        <v>90</v>
      </c>
      <c r="M30" s="46"/>
      <c r="N30" s="47">
        <f t="shared" si="0"/>
        <v>0</v>
      </c>
      <c r="O30" s="16" t="s">
        <v>77</v>
      </c>
      <c r="P30" s="26" t="s">
        <v>105</v>
      </c>
      <c r="Q30" s="94" t="s">
        <v>106</v>
      </c>
    </row>
    <row r="31" spans="1:17" x14ac:dyDescent="0.25">
      <c r="A31" s="152" t="s">
        <v>107</v>
      </c>
      <c r="B31" s="173" t="s">
        <v>74</v>
      </c>
      <c r="C31" s="167" t="s">
        <v>108</v>
      </c>
      <c r="D31" s="96" t="s">
        <v>103</v>
      </c>
      <c r="E31" s="37"/>
      <c r="F31" s="54" t="s">
        <v>104</v>
      </c>
      <c r="G31" s="55"/>
      <c r="H31" s="55" t="s">
        <v>56</v>
      </c>
      <c r="I31" s="44" t="s">
        <v>29</v>
      </c>
      <c r="J31" s="45">
        <v>10555</v>
      </c>
      <c r="K31" s="109">
        <v>55</v>
      </c>
      <c r="L31" s="109" t="s">
        <v>90</v>
      </c>
      <c r="M31" s="46"/>
      <c r="N31" s="47">
        <f t="shared" si="0"/>
        <v>0</v>
      </c>
      <c r="O31" s="16" t="s">
        <v>77</v>
      </c>
      <c r="P31" s="26" t="s">
        <v>109</v>
      </c>
      <c r="Q31" s="94" t="s">
        <v>106</v>
      </c>
    </row>
    <row r="32" spans="1:17" ht="13.8" x14ac:dyDescent="0.25">
      <c r="A32" s="150" t="s">
        <v>110</v>
      </c>
      <c r="B32" s="173" t="s">
        <v>65</v>
      </c>
      <c r="C32" s="167" t="s">
        <v>111</v>
      </c>
      <c r="D32" s="95" t="s">
        <v>43</v>
      </c>
      <c r="E32" s="37"/>
      <c r="F32" s="54" t="s">
        <v>112</v>
      </c>
      <c r="G32" s="44"/>
      <c r="H32" s="55" t="s">
        <v>56</v>
      </c>
      <c r="I32" s="44" t="s">
        <v>29</v>
      </c>
      <c r="J32" s="45">
        <v>13085</v>
      </c>
      <c r="K32" s="109">
        <v>55</v>
      </c>
      <c r="L32" s="109" t="s">
        <v>90</v>
      </c>
      <c r="M32" s="46"/>
      <c r="N32" s="47">
        <f t="shared" si="0"/>
        <v>0</v>
      </c>
      <c r="O32" s="16" t="s">
        <v>77</v>
      </c>
      <c r="P32" s="26" t="s">
        <v>113</v>
      </c>
      <c r="Q32" s="94" t="s">
        <v>114</v>
      </c>
    </row>
    <row r="33" spans="1:17" x14ac:dyDescent="0.25">
      <c r="A33" s="171" t="s">
        <v>115</v>
      </c>
      <c r="B33" s="173" t="s">
        <v>74</v>
      </c>
      <c r="C33" s="167" t="s">
        <v>116</v>
      </c>
      <c r="D33" s="96" t="s">
        <v>117</v>
      </c>
      <c r="E33" s="37"/>
      <c r="F33" s="58" t="s">
        <v>118</v>
      </c>
      <c r="G33" s="55"/>
      <c r="H33" s="55" t="s">
        <v>56</v>
      </c>
      <c r="I33" s="44" t="s">
        <v>29</v>
      </c>
      <c r="J33" s="45">
        <v>10971</v>
      </c>
      <c r="K33" s="109">
        <v>55</v>
      </c>
      <c r="L33" s="109" t="s">
        <v>90</v>
      </c>
      <c r="M33" s="46"/>
      <c r="N33" s="47">
        <f t="shared" si="0"/>
        <v>0</v>
      </c>
      <c r="O33" s="16" t="s">
        <v>77</v>
      </c>
      <c r="P33" s="26" t="s">
        <v>119</v>
      </c>
      <c r="Q33" s="94" t="s">
        <v>120</v>
      </c>
    </row>
    <row r="34" spans="1:17" x14ac:dyDescent="0.25">
      <c r="A34" s="171" t="s">
        <v>121</v>
      </c>
      <c r="B34" s="173" t="s">
        <v>65</v>
      </c>
      <c r="C34" s="167" t="s">
        <v>122</v>
      </c>
      <c r="D34" s="96" t="s">
        <v>123</v>
      </c>
      <c r="E34" s="37"/>
      <c r="F34" s="54" t="s">
        <v>124</v>
      </c>
      <c r="G34" s="55"/>
      <c r="H34" s="55" t="s">
        <v>56</v>
      </c>
      <c r="I34" s="44" t="s">
        <v>29</v>
      </c>
      <c r="J34" s="45">
        <v>16047</v>
      </c>
      <c r="K34" s="109">
        <v>55</v>
      </c>
      <c r="L34" s="109" t="s">
        <v>90</v>
      </c>
      <c r="M34" s="46"/>
      <c r="N34" s="47">
        <f t="shared" si="0"/>
        <v>0</v>
      </c>
      <c r="O34" s="16" t="s">
        <v>77</v>
      </c>
      <c r="P34" s="26" t="s">
        <v>125</v>
      </c>
      <c r="Q34" s="94" t="s">
        <v>126</v>
      </c>
    </row>
    <row r="35" spans="1:17" x14ac:dyDescent="0.25">
      <c r="A35" s="149" t="s">
        <v>127</v>
      </c>
      <c r="B35" s="173" t="s">
        <v>74</v>
      </c>
      <c r="C35" s="167" t="s">
        <v>128</v>
      </c>
      <c r="D35" s="129"/>
      <c r="E35" s="37"/>
      <c r="F35" s="58" t="s">
        <v>27</v>
      </c>
      <c r="G35" s="38"/>
      <c r="H35" s="55" t="s">
        <v>56</v>
      </c>
      <c r="I35" s="44" t="s">
        <v>29</v>
      </c>
      <c r="J35" s="49">
        <v>5000</v>
      </c>
      <c r="K35" s="105"/>
      <c r="L35" s="105"/>
      <c r="M35" s="46"/>
      <c r="N35" s="47">
        <f t="shared" si="0"/>
        <v>0</v>
      </c>
      <c r="O35" s="17" t="s">
        <v>83</v>
      </c>
      <c r="P35" s="26" t="s">
        <v>129</v>
      </c>
      <c r="Q35" s="94" t="s">
        <v>92</v>
      </c>
    </row>
    <row r="36" spans="1:17" x14ac:dyDescent="0.25">
      <c r="A36" s="152" t="s">
        <v>130</v>
      </c>
      <c r="B36" s="173" t="s">
        <v>74</v>
      </c>
      <c r="C36" s="167" t="s">
        <v>131</v>
      </c>
      <c r="D36" s="95" t="s">
        <v>43</v>
      </c>
      <c r="E36" s="56"/>
      <c r="F36" s="54" t="s">
        <v>76</v>
      </c>
      <c r="G36" s="38"/>
      <c r="H36" s="55" t="s">
        <v>56</v>
      </c>
      <c r="I36" s="44" t="s">
        <v>29</v>
      </c>
      <c r="J36" s="45">
        <v>13083</v>
      </c>
      <c r="K36" s="109">
        <v>55</v>
      </c>
      <c r="L36" s="109" t="s">
        <v>90</v>
      </c>
      <c r="M36" s="46"/>
      <c r="N36" s="47">
        <f t="shared" si="0"/>
        <v>0</v>
      </c>
      <c r="O36" s="16" t="s">
        <v>77</v>
      </c>
      <c r="P36" s="26" t="s">
        <v>132</v>
      </c>
      <c r="Q36" s="94" t="s">
        <v>133</v>
      </c>
    </row>
    <row r="37" spans="1:17" ht="13.8" x14ac:dyDescent="0.25">
      <c r="A37" s="150" t="s">
        <v>134</v>
      </c>
      <c r="B37" s="173" t="s">
        <v>74</v>
      </c>
      <c r="C37" s="167" t="s">
        <v>135</v>
      </c>
      <c r="D37" s="96" t="s">
        <v>82</v>
      </c>
      <c r="E37" s="56"/>
      <c r="F37" s="54" t="s">
        <v>43</v>
      </c>
      <c r="G37" s="44"/>
      <c r="H37" s="55" t="s">
        <v>56</v>
      </c>
      <c r="I37" s="44" t="s">
        <v>29</v>
      </c>
      <c r="J37" s="49">
        <v>11267</v>
      </c>
      <c r="K37" s="105"/>
      <c r="L37" s="105"/>
      <c r="M37" s="46"/>
      <c r="N37" s="47">
        <f t="shared" si="0"/>
        <v>0</v>
      </c>
      <c r="O37" s="17" t="s">
        <v>83</v>
      </c>
      <c r="P37" s="26" t="s">
        <v>136</v>
      </c>
      <c r="Q37" s="94" t="s">
        <v>85</v>
      </c>
    </row>
    <row r="38" spans="1:17" x14ac:dyDescent="0.25">
      <c r="B38" s="173"/>
      <c r="C38" s="167"/>
      <c r="D38" s="43"/>
      <c r="E38" s="56"/>
      <c r="F38" s="56"/>
      <c r="G38" s="44"/>
      <c r="H38" s="55"/>
      <c r="I38" s="55"/>
      <c r="J38" s="47"/>
      <c r="K38" s="105"/>
      <c r="L38" s="105"/>
      <c r="M38" s="46"/>
      <c r="N38" s="47"/>
      <c r="O38" s="52"/>
    </row>
    <row r="39" spans="1:17" x14ac:dyDescent="0.25">
      <c r="B39" s="173"/>
      <c r="C39" s="168" t="s">
        <v>137</v>
      </c>
      <c r="D39" s="129"/>
      <c r="E39" s="57"/>
      <c r="F39" s="54"/>
      <c r="G39" s="38"/>
      <c r="H39" s="38"/>
      <c r="I39" s="38"/>
      <c r="J39" s="126"/>
      <c r="K39" s="108"/>
      <c r="L39" s="108"/>
      <c r="M39" s="46"/>
      <c r="N39" s="47"/>
      <c r="O39" s="15">
        <f>SUM(N40:N43)</f>
        <v>0</v>
      </c>
    </row>
    <row r="40" spans="1:17" x14ac:dyDescent="0.25">
      <c r="A40" s="149" t="s">
        <v>138</v>
      </c>
      <c r="B40" s="173"/>
      <c r="C40" s="167" t="s">
        <v>139</v>
      </c>
      <c r="D40" s="96" t="s">
        <v>43</v>
      </c>
      <c r="E40" s="96" t="s">
        <v>43</v>
      </c>
      <c r="F40" s="54" t="s">
        <v>140</v>
      </c>
      <c r="G40" s="55"/>
      <c r="H40" s="55" t="s">
        <v>56</v>
      </c>
      <c r="I40" s="44" t="s">
        <v>29</v>
      </c>
      <c r="J40" s="45">
        <v>15073.800000000001</v>
      </c>
      <c r="K40" s="105"/>
      <c r="L40" s="105"/>
      <c r="M40" s="46"/>
      <c r="N40" s="47">
        <f>J40*M40</f>
        <v>0</v>
      </c>
      <c r="O40" s="16" t="s">
        <v>68</v>
      </c>
      <c r="P40" s="211" t="s">
        <v>141</v>
      </c>
      <c r="Q40" s="94" t="s">
        <v>142</v>
      </c>
    </row>
    <row r="41" spans="1:17" x14ac:dyDescent="0.25">
      <c r="A41" s="152" t="s">
        <v>143</v>
      </c>
      <c r="B41" s="173"/>
      <c r="C41" s="172" t="s">
        <v>144</v>
      </c>
      <c r="D41" s="96" t="s">
        <v>43</v>
      </c>
      <c r="E41" s="96" t="s">
        <v>43</v>
      </c>
      <c r="F41" s="125" t="s">
        <v>145</v>
      </c>
      <c r="G41" s="55"/>
      <c r="H41" s="55" t="s">
        <v>56</v>
      </c>
      <c r="I41" s="44" t="s">
        <v>29</v>
      </c>
      <c r="J41" s="123">
        <v>24956.400000000001</v>
      </c>
      <c r="K41" s="109">
        <v>55</v>
      </c>
      <c r="L41" s="109" t="s">
        <v>90</v>
      </c>
      <c r="M41" s="46"/>
      <c r="N41" s="47">
        <f>J41*M41</f>
        <v>0</v>
      </c>
      <c r="O41" s="16" t="s">
        <v>77</v>
      </c>
      <c r="P41" s="211" t="s">
        <v>141</v>
      </c>
      <c r="Q41" s="94" t="s">
        <v>142</v>
      </c>
    </row>
    <row r="42" spans="1:17" x14ac:dyDescent="0.25">
      <c r="A42" s="149" t="s">
        <v>146</v>
      </c>
      <c r="B42" s="173"/>
      <c r="C42" s="172" t="s">
        <v>147</v>
      </c>
      <c r="D42" s="96" t="s">
        <v>43</v>
      </c>
      <c r="E42" s="96" t="s">
        <v>43</v>
      </c>
      <c r="F42" s="125" t="s">
        <v>148</v>
      </c>
      <c r="G42" s="55"/>
      <c r="H42" s="55" t="s">
        <v>56</v>
      </c>
      <c r="I42" s="44" t="s">
        <v>29</v>
      </c>
      <c r="J42" s="123">
        <v>3019.8</v>
      </c>
      <c r="K42" s="109">
        <v>55</v>
      </c>
      <c r="L42" s="109" t="s">
        <v>90</v>
      </c>
      <c r="M42" s="46"/>
      <c r="N42" s="47">
        <f>J42*M42</f>
        <v>0</v>
      </c>
      <c r="O42" s="16" t="s">
        <v>77</v>
      </c>
      <c r="P42" s="211" t="s">
        <v>149</v>
      </c>
      <c r="Q42" s="94" t="s">
        <v>150</v>
      </c>
    </row>
    <row r="43" spans="1:17" x14ac:dyDescent="0.25">
      <c r="B43" s="173"/>
      <c r="C43" s="167"/>
      <c r="D43" s="128"/>
      <c r="E43" s="50"/>
      <c r="F43" s="50"/>
      <c r="G43" s="44"/>
      <c r="H43" s="44"/>
      <c r="I43" s="44"/>
      <c r="J43" s="126"/>
      <c r="K43" s="108"/>
      <c r="L43" s="108"/>
      <c r="M43" s="46"/>
      <c r="N43" s="47"/>
      <c r="O43" s="52"/>
    </row>
    <row r="44" spans="1:17" x14ac:dyDescent="0.25">
      <c r="B44" s="173"/>
      <c r="C44" s="168" t="s">
        <v>151</v>
      </c>
      <c r="D44" s="129"/>
      <c r="E44" s="37"/>
      <c r="F44" s="37"/>
      <c r="G44" s="38"/>
      <c r="H44" s="38"/>
      <c r="I44" s="38"/>
      <c r="J44" s="126"/>
      <c r="K44" s="108"/>
      <c r="L44" s="108"/>
      <c r="M44" s="46"/>
      <c r="N44" s="47"/>
      <c r="O44" s="15">
        <f>SUM(N45:N54)</f>
        <v>0</v>
      </c>
    </row>
    <row r="45" spans="1:17" ht="13.8" thickBot="1" x14ac:dyDescent="0.3">
      <c r="A45" s="153" t="s">
        <v>152</v>
      </c>
      <c r="B45" s="170" t="s">
        <v>74</v>
      </c>
      <c r="C45" s="167" t="s">
        <v>153</v>
      </c>
      <c r="D45" s="134" t="s">
        <v>154</v>
      </c>
      <c r="E45" s="57"/>
      <c r="F45" s="54" t="s">
        <v>155</v>
      </c>
      <c r="G45" s="44"/>
      <c r="H45" s="55" t="s">
        <v>56</v>
      </c>
      <c r="I45" s="44" t="s">
        <v>29</v>
      </c>
      <c r="J45" s="45">
        <v>1914</v>
      </c>
      <c r="K45" s="109">
        <v>55</v>
      </c>
      <c r="L45" s="109" t="s">
        <v>90</v>
      </c>
      <c r="M45" s="46"/>
      <c r="N45" s="47">
        <f t="shared" ref="N45:N52" si="1">J45*M45</f>
        <v>0</v>
      </c>
      <c r="O45" s="16" t="s">
        <v>77</v>
      </c>
      <c r="P45" s="26" t="s">
        <v>156</v>
      </c>
      <c r="Q45" s="94" t="s">
        <v>157</v>
      </c>
    </row>
    <row r="46" spans="1:17" x14ac:dyDescent="0.25">
      <c r="A46" s="153" t="s">
        <v>158</v>
      </c>
      <c r="C46" s="42" t="s">
        <v>159</v>
      </c>
      <c r="D46" s="128"/>
      <c r="E46" s="50"/>
      <c r="F46" s="50"/>
      <c r="G46" s="44"/>
      <c r="H46" s="55" t="s">
        <v>56</v>
      </c>
      <c r="I46" s="44" t="s">
        <v>29</v>
      </c>
      <c r="J46" s="49">
        <v>1440</v>
      </c>
      <c r="K46" s="105"/>
      <c r="L46" s="105"/>
      <c r="M46" s="46"/>
      <c r="N46" s="47">
        <f t="shared" si="1"/>
        <v>0</v>
      </c>
      <c r="O46" s="59" t="s">
        <v>160</v>
      </c>
      <c r="P46" s="26" t="s">
        <v>156</v>
      </c>
      <c r="Q46" s="94" t="s">
        <v>157</v>
      </c>
    </row>
    <row r="47" spans="1:17" x14ac:dyDescent="0.25">
      <c r="A47" s="152" t="s">
        <v>161</v>
      </c>
      <c r="C47" s="42" t="s">
        <v>162</v>
      </c>
      <c r="D47" s="134" t="s">
        <v>163</v>
      </c>
      <c r="E47" s="43"/>
      <c r="F47" s="54" t="s">
        <v>43</v>
      </c>
      <c r="G47" s="100" t="s">
        <v>164</v>
      </c>
      <c r="H47" s="55" t="s">
        <v>56</v>
      </c>
      <c r="I47" s="44" t="s">
        <v>29</v>
      </c>
      <c r="J47" s="49">
        <v>940.8</v>
      </c>
      <c r="K47" s="105"/>
      <c r="L47" s="105"/>
      <c r="M47" s="46"/>
      <c r="N47" s="47">
        <f t="shared" si="1"/>
        <v>0</v>
      </c>
      <c r="O47" s="17" t="s">
        <v>165</v>
      </c>
      <c r="P47" s="26" t="s">
        <v>156</v>
      </c>
      <c r="Q47" s="94" t="s">
        <v>157</v>
      </c>
    </row>
    <row r="48" spans="1:17" x14ac:dyDescent="0.25">
      <c r="A48" s="153" t="s">
        <v>166</v>
      </c>
      <c r="C48" s="42" t="s">
        <v>167</v>
      </c>
      <c r="D48" s="96" t="s">
        <v>43</v>
      </c>
      <c r="E48" s="97"/>
      <c r="F48" s="98" t="s">
        <v>166</v>
      </c>
      <c r="G48" s="44"/>
      <c r="H48" s="55" t="s">
        <v>56</v>
      </c>
      <c r="I48" s="44" t="s">
        <v>29</v>
      </c>
      <c r="J48" s="49">
        <v>10223</v>
      </c>
      <c r="K48" s="105"/>
      <c r="L48" s="105"/>
      <c r="M48" s="46"/>
      <c r="N48" s="47">
        <f t="shared" si="1"/>
        <v>0</v>
      </c>
      <c r="O48" s="16" t="s">
        <v>68</v>
      </c>
      <c r="P48" s="26" t="s">
        <v>168</v>
      </c>
      <c r="Q48" s="94" t="s">
        <v>169</v>
      </c>
    </row>
    <row r="49" spans="1:17" x14ac:dyDescent="0.25">
      <c r="A49" s="152" t="s">
        <v>170</v>
      </c>
      <c r="C49" s="42" t="s">
        <v>171</v>
      </c>
      <c r="D49" s="96" t="s">
        <v>43</v>
      </c>
      <c r="E49" s="97"/>
      <c r="F49" s="99" t="s">
        <v>170</v>
      </c>
      <c r="G49" s="55"/>
      <c r="H49" s="55" t="s">
        <v>56</v>
      </c>
      <c r="I49" s="44" t="s">
        <v>29</v>
      </c>
      <c r="J49" s="49">
        <v>2334</v>
      </c>
      <c r="K49" s="105"/>
      <c r="L49" s="105"/>
      <c r="M49" s="46"/>
      <c r="N49" s="47">
        <f t="shared" si="1"/>
        <v>0</v>
      </c>
      <c r="O49" s="16" t="s">
        <v>68</v>
      </c>
      <c r="P49" s="26" t="s">
        <v>172</v>
      </c>
      <c r="Q49" s="94" t="s">
        <v>173</v>
      </c>
    </row>
    <row r="50" spans="1:17" outlineLevel="1" x14ac:dyDescent="0.25">
      <c r="A50" s="149" t="s">
        <v>174</v>
      </c>
      <c r="C50" s="42" t="s">
        <v>175</v>
      </c>
      <c r="D50" s="128"/>
      <c r="E50" s="50"/>
      <c r="F50" s="50"/>
      <c r="G50" s="44"/>
      <c r="H50" s="44"/>
      <c r="I50" s="44"/>
      <c r="J50" s="49">
        <v>1500</v>
      </c>
      <c r="K50" s="105"/>
      <c r="L50" s="105"/>
      <c r="M50" s="46"/>
      <c r="N50" s="47">
        <f t="shared" si="1"/>
        <v>0</v>
      </c>
      <c r="O50" s="52"/>
    </row>
    <row r="51" spans="1:17" outlineLevel="1" x14ac:dyDescent="0.25">
      <c r="C51" s="42" t="s">
        <v>176</v>
      </c>
      <c r="D51" s="134"/>
      <c r="E51" s="56"/>
      <c r="F51" s="56"/>
      <c r="G51" s="55"/>
      <c r="H51" s="55" t="s">
        <v>45</v>
      </c>
      <c r="I51" s="55"/>
      <c r="J51" s="49"/>
      <c r="K51" s="105"/>
      <c r="L51" s="105"/>
      <c r="M51" s="46">
        <v>0</v>
      </c>
      <c r="N51" s="47">
        <f t="shared" si="1"/>
        <v>0</v>
      </c>
      <c r="O51" s="24" t="s">
        <v>177</v>
      </c>
      <c r="Q51" s="94" t="s">
        <v>176</v>
      </c>
    </row>
    <row r="52" spans="1:17" outlineLevel="1" x14ac:dyDescent="0.25">
      <c r="C52" s="42" t="s">
        <v>178</v>
      </c>
      <c r="D52" s="134"/>
      <c r="E52" s="56"/>
      <c r="F52" s="56"/>
      <c r="G52" s="55"/>
      <c r="H52" s="55" t="s">
        <v>45</v>
      </c>
      <c r="I52" s="55"/>
      <c r="J52" s="49"/>
      <c r="K52" s="105"/>
      <c r="L52" s="105"/>
      <c r="M52" s="46">
        <v>0</v>
      </c>
      <c r="N52" s="47">
        <f t="shared" si="1"/>
        <v>0</v>
      </c>
      <c r="O52" s="24" t="s">
        <v>177</v>
      </c>
      <c r="Q52" s="94" t="s">
        <v>178</v>
      </c>
    </row>
    <row r="53" spans="1:17" outlineLevel="1" x14ac:dyDescent="0.25">
      <c r="C53" s="42"/>
      <c r="D53" s="134"/>
      <c r="E53" s="56"/>
      <c r="F53" s="56"/>
      <c r="G53" s="55"/>
      <c r="H53" s="55"/>
      <c r="I53" s="55"/>
      <c r="J53" s="47"/>
      <c r="K53" s="105"/>
      <c r="L53" s="105"/>
      <c r="M53" s="46"/>
      <c r="N53" s="47"/>
      <c r="O53" s="24"/>
    </row>
    <row r="54" spans="1:17" x14ac:dyDescent="0.25">
      <c r="C54" s="42"/>
      <c r="D54" s="134"/>
      <c r="E54" s="56"/>
      <c r="F54" s="56"/>
      <c r="G54" s="55"/>
      <c r="H54" s="55"/>
      <c r="I54" s="55"/>
      <c r="J54" s="47"/>
      <c r="K54" s="110"/>
      <c r="L54" s="110"/>
      <c r="M54" s="46"/>
      <c r="N54" s="47"/>
      <c r="O54" s="52"/>
    </row>
    <row r="55" spans="1:17" ht="17.399999999999999" x14ac:dyDescent="0.3">
      <c r="C55" s="91" t="s">
        <v>179</v>
      </c>
      <c r="D55" s="133"/>
      <c r="E55" s="33"/>
      <c r="F55" s="33"/>
      <c r="G55" s="34"/>
      <c r="H55" s="34"/>
      <c r="I55" s="34"/>
      <c r="J55" s="33"/>
      <c r="K55" s="103"/>
      <c r="L55" s="103"/>
      <c r="M55" s="35"/>
      <c r="N55" s="33"/>
      <c r="O55" s="14">
        <f>O57+O69+O78+O119+O133+O154+O161+O163+O172+O175+O192</f>
        <v>1643.7199999999998</v>
      </c>
    </row>
    <row r="56" spans="1:17" x14ac:dyDescent="0.25">
      <c r="C56" s="42"/>
      <c r="D56" s="43"/>
      <c r="E56" s="43"/>
      <c r="F56" s="43"/>
      <c r="G56" s="44"/>
      <c r="H56" s="55"/>
      <c r="I56" s="55"/>
      <c r="J56" s="47"/>
      <c r="K56" s="110"/>
      <c r="L56" s="110"/>
      <c r="M56" s="46"/>
      <c r="N56" s="47"/>
      <c r="O56" s="52"/>
    </row>
    <row r="57" spans="1:17" x14ac:dyDescent="0.25">
      <c r="C57" s="36" t="s">
        <v>180</v>
      </c>
      <c r="D57" s="129"/>
      <c r="E57" s="37"/>
      <c r="F57" s="37"/>
      <c r="G57" s="38"/>
      <c r="H57" s="38"/>
      <c r="I57" s="38"/>
      <c r="J57" s="39"/>
      <c r="K57" s="104"/>
      <c r="L57" s="104"/>
      <c r="M57" s="46"/>
      <c r="N57" s="47"/>
      <c r="O57" s="15">
        <f>SUM(N58:N68)</f>
        <v>0</v>
      </c>
      <c r="Q57" s="30"/>
    </row>
    <row r="58" spans="1:17" x14ac:dyDescent="0.25">
      <c r="A58" s="149" t="s">
        <v>181</v>
      </c>
      <c r="C58" s="42" t="s">
        <v>182</v>
      </c>
      <c r="D58" s="135" t="s">
        <v>183</v>
      </c>
      <c r="E58" s="60"/>
      <c r="F58" s="60"/>
      <c r="G58" s="44">
        <v>61882010332</v>
      </c>
      <c r="H58" s="44" t="s">
        <v>184</v>
      </c>
      <c r="I58" s="44" t="s">
        <v>29</v>
      </c>
      <c r="J58" s="102">
        <v>73.52</v>
      </c>
      <c r="K58" s="105"/>
      <c r="L58" s="105"/>
      <c r="M58" s="46"/>
      <c r="N58" s="47">
        <f t="shared" ref="N58:N67" si="2">J58*M58</f>
        <v>0</v>
      </c>
      <c r="O58" s="25" t="s">
        <v>185</v>
      </c>
      <c r="P58" s="211" t="s">
        <v>186</v>
      </c>
      <c r="Q58" s="94" t="s">
        <v>187</v>
      </c>
    </row>
    <row r="59" spans="1:17" x14ac:dyDescent="0.25">
      <c r="A59" s="152" t="s">
        <v>188</v>
      </c>
      <c r="C59" s="42" t="s">
        <v>189</v>
      </c>
      <c r="D59" s="135" t="s">
        <v>183</v>
      </c>
      <c r="E59" s="60"/>
      <c r="F59" s="60"/>
      <c r="G59" s="44">
        <v>61882010332</v>
      </c>
      <c r="H59" s="44" t="s">
        <v>184</v>
      </c>
      <c r="I59" s="44" t="s">
        <v>29</v>
      </c>
      <c r="J59" s="102">
        <v>73.52</v>
      </c>
      <c r="K59" s="105"/>
      <c r="L59" s="105"/>
      <c r="M59" s="46"/>
      <c r="N59" s="47">
        <f t="shared" si="2"/>
        <v>0</v>
      </c>
      <c r="O59" s="25" t="s">
        <v>185</v>
      </c>
      <c r="P59" s="211" t="s">
        <v>186</v>
      </c>
      <c r="Q59" s="94" t="s">
        <v>187</v>
      </c>
    </row>
    <row r="60" spans="1:17" x14ac:dyDescent="0.25">
      <c r="A60" s="153" t="s">
        <v>190</v>
      </c>
      <c r="C60" s="42" t="s">
        <v>191</v>
      </c>
      <c r="D60" s="135" t="s">
        <v>183</v>
      </c>
      <c r="E60" s="60"/>
      <c r="F60" s="60"/>
      <c r="G60" s="44">
        <v>61882010332</v>
      </c>
      <c r="H60" s="44" t="s">
        <v>184</v>
      </c>
      <c r="I60" s="44" t="s">
        <v>29</v>
      </c>
      <c r="J60" s="102">
        <v>73.52</v>
      </c>
      <c r="K60" s="105"/>
      <c r="L60" s="105"/>
      <c r="M60" s="46"/>
      <c r="N60" s="47">
        <f t="shared" si="2"/>
        <v>0</v>
      </c>
      <c r="O60" s="25" t="s">
        <v>185</v>
      </c>
      <c r="P60" s="211" t="s">
        <v>186</v>
      </c>
      <c r="Q60" s="94" t="s">
        <v>187</v>
      </c>
    </row>
    <row r="61" spans="1:17" x14ac:dyDescent="0.25">
      <c r="A61" s="149" t="s">
        <v>192</v>
      </c>
      <c r="C61" s="42" t="s">
        <v>193</v>
      </c>
      <c r="D61" s="135" t="s">
        <v>194</v>
      </c>
      <c r="E61" s="60"/>
      <c r="F61" s="60"/>
      <c r="G61" s="44">
        <v>101184332</v>
      </c>
      <c r="H61" s="44" t="s">
        <v>195</v>
      </c>
      <c r="I61" s="44" t="s">
        <v>29</v>
      </c>
      <c r="J61" s="117">
        <v>134.52000000000001</v>
      </c>
      <c r="K61" s="118">
        <v>13</v>
      </c>
      <c r="L61" s="118" t="s">
        <v>196</v>
      </c>
      <c r="M61" s="46"/>
      <c r="N61" s="47">
        <f t="shared" si="2"/>
        <v>0</v>
      </c>
      <c r="O61" s="17" t="s">
        <v>197</v>
      </c>
      <c r="P61" s="211" t="s">
        <v>186</v>
      </c>
      <c r="Q61" s="94" t="s">
        <v>187</v>
      </c>
    </row>
    <row r="62" spans="1:17" x14ac:dyDescent="0.25">
      <c r="C62" s="61" t="s">
        <v>198</v>
      </c>
      <c r="D62" s="136"/>
      <c r="E62" s="62"/>
      <c r="F62" s="62"/>
      <c r="G62" s="44">
        <v>101150877</v>
      </c>
      <c r="H62" s="44" t="s">
        <v>195</v>
      </c>
      <c r="I62" s="44" t="s">
        <v>29</v>
      </c>
      <c r="J62" s="45">
        <v>12.2</v>
      </c>
      <c r="K62" s="109">
        <v>1</v>
      </c>
      <c r="L62" s="109" t="s">
        <v>196</v>
      </c>
      <c r="M62" s="74">
        <f>M61</f>
        <v>0</v>
      </c>
      <c r="N62" s="47">
        <f t="shared" si="2"/>
        <v>0</v>
      </c>
      <c r="O62" s="17" t="s">
        <v>197</v>
      </c>
      <c r="P62" s="211" t="s">
        <v>186</v>
      </c>
      <c r="Q62" s="94" t="s">
        <v>187</v>
      </c>
    </row>
    <row r="63" spans="1:17" x14ac:dyDescent="0.25">
      <c r="C63" s="61" t="s">
        <v>199</v>
      </c>
      <c r="D63" s="135" t="s">
        <v>200</v>
      </c>
      <c r="E63" s="63"/>
      <c r="F63" s="63"/>
      <c r="G63" s="44">
        <v>103003865</v>
      </c>
      <c r="H63" s="44" t="s">
        <v>195</v>
      </c>
      <c r="I63" s="44" t="s">
        <v>29</v>
      </c>
      <c r="J63" s="45">
        <v>24.8</v>
      </c>
      <c r="K63" s="109">
        <v>10</v>
      </c>
      <c r="L63" s="109" t="s">
        <v>196</v>
      </c>
      <c r="M63" s="74">
        <f>M61</f>
        <v>0</v>
      </c>
      <c r="N63" s="47">
        <f t="shared" si="2"/>
        <v>0</v>
      </c>
      <c r="O63" s="17" t="s">
        <v>197</v>
      </c>
      <c r="P63" s="211" t="s">
        <v>186</v>
      </c>
      <c r="Q63" s="94" t="s">
        <v>187</v>
      </c>
    </row>
    <row r="64" spans="1:17" x14ac:dyDescent="0.25">
      <c r="C64" s="61" t="s">
        <v>201</v>
      </c>
      <c r="D64" s="135" t="s">
        <v>202</v>
      </c>
      <c r="E64" s="63"/>
      <c r="F64" s="63"/>
      <c r="G64" s="44">
        <v>101186696</v>
      </c>
      <c r="H64" s="44" t="s">
        <v>195</v>
      </c>
      <c r="I64" s="44" t="s">
        <v>29</v>
      </c>
      <c r="J64" s="45">
        <v>8.4499999999999993</v>
      </c>
      <c r="K64" s="109">
        <v>6</v>
      </c>
      <c r="L64" s="109" t="s">
        <v>196</v>
      </c>
      <c r="M64" s="74">
        <f>M61</f>
        <v>0</v>
      </c>
      <c r="N64" s="47">
        <f t="shared" si="2"/>
        <v>0</v>
      </c>
      <c r="O64" s="17" t="s">
        <v>197</v>
      </c>
      <c r="P64" s="211" t="s">
        <v>186</v>
      </c>
      <c r="Q64" s="94" t="s">
        <v>187</v>
      </c>
    </row>
    <row r="65" spans="1:17" x14ac:dyDescent="0.25">
      <c r="C65" s="61" t="s">
        <v>203</v>
      </c>
      <c r="D65" s="135" t="s">
        <v>204</v>
      </c>
      <c r="E65" s="63"/>
      <c r="F65" s="63"/>
      <c r="G65" s="44">
        <v>101193046</v>
      </c>
      <c r="H65" s="44" t="s">
        <v>195</v>
      </c>
      <c r="I65" s="44" t="s">
        <v>29</v>
      </c>
      <c r="J65" s="45">
        <v>5.8</v>
      </c>
      <c r="K65" s="109">
        <v>1</v>
      </c>
      <c r="L65" s="109" t="s">
        <v>196</v>
      </c>
      <c r="M65" s="74">
        <f>M61*3</f>
        <v>0</v>
      </c>
      <c r="N65" s="47">
        <f t="shared" si="2"/>
        <v>0</v>
      </c>
      <c r="O65" s="17" t="s">
        <v>197</v>
      </c>
      <c r="P65" s="211" t="s">
        <v>186</v>
      </c>
      <c r="Q65" s="94" t="s">
        <v>187</v>
      </c>
    </row>
    <row r="66" spans="1:17" x14ac:dyDescent="0.25">
      <c r="C66" s="61" t="s">
        <v>205</v>
      </c>
      <c r="D66" s="135" t="s">
        <v>206</v>
      </c>
      <c r="E66" s="63"/>
      <c r="F66" s="63"/>
      <c r="G66" s="44">
        <v>101190917</v>
      </c>
      <c r="H66" s="44" t="s">
        <v>195</v>
      </c>
      <c r="I66" s="44" t="s">
        <v>29</v>
      </c>
      <c r="J66" s="45">
        <v>0.88000000000000012</v>
      </c>
      <c r="K66" s="109">
        <v>1</v>
      </c>
      <c r="L66" s="109" t="s">
        <v>196</v>
      </c>
      <c r="M66" s="74">
        <f>M61*3</f>
        <v>0</v>
      </c>
      <c r="N66" s="47">
        <f t="shared" si="2"/>
        <v>0</v>
      </c>
      <c r="O66" s="17" t="s">
        <v>197</v>
      </c>
      <c r="P66" s="211" t="s">
        <v>186</v>
      </c>
      <c r="Q66" s="94" t="s">
        <v>187</v>
      </c>
    </row>
    <row r="67" spans="1:17" x14ac:dyDescent="0.25">
      <c r="C67" s="61" t="s">
        <v>207</v>
      </c>
      <c r="D67" s="135" t="s">
        <v>208</v>
      </c>
      <c r="E67" s="63"/>
      <c r="F67" s="63"/>
      <c r="G67" s="44">
        <v>101087930</v>
      </c>
      <c r="H67" s="44" t="s">
        <v>195</v>
      </c>
      <c r="I67" s="44" t="s">
        <v>29</v>
      </c>
      <c r="J67" s="45">
        <v>2.15</v>
      </c>
      <c r="K67" s="109">
        <v>1</v>
      </c>
      <c r="L67" s="109" t="s">
        <v>196</v>
      </c>
      <c r="M67" s="74">
        <f>M61</f>
        <v>0</v>
      </c>
      <c r="N67" s="47">
        <f t="shared" si="2"/>
        <v>0</v>
      </c>
      <c r="O67" s="17" t="s">
        <v>197</v>
      </c>
      <c r="P67" s="211" t="s">
        <v>186</v>
      </c>
      <c r="Q67" s="94" t="s">
        <v>187</v>
      </c>
    </row>
    <row r="68" spans="1:17" x14ac:dyDescent="0.25">
      <c r="C68" s="42"/>
      <c r="D68" s="128"/>
      <c r="E68" s="50"/>
      <c r="F68" s="50"/>
      <c r="G68" s="44"/>
      <c r="H68" s="44"/>
      <c r="I68" s="44"/>
      <c r="J68" s="39"/>
      <c r="K68" s="104"/>
      <c r="L68" s="104"/>
      <c r="M68" s="46"/>
      <c r="N68" s="47"/>
      <c r="O68" s="52"/>
    </row>
    <row r="69" spans="1:17" x14ac:dyDescent="0.25">
      <c r="C69" s="36" t="s">
        <v>209</v>
      </c>
      <c r="D69" s="129"/>
      <c r="E69" s="37"/>
      <c r="F69" s="37"/>
      <c r="G69" s="44"/>
      <c r="H69" s="38"/>
      <c r="I69" s="38"/>
      <c r="J69" s="39"/>
      <c r="K69" s="104"/>
      <c r="L69" s="104"/>
      <c r="M69" s="46"/>
      <c r="N69" s="47"/>
      <c r="O69" s="15">
        <f>SUM(N70:N77)</f>
        <v>0</v>
      </c>
    </row>
    <row r="70" spans="1:17" x14ac:dyDescent="0.25">
      <c r="C70" s="42" t="s">
        <v>210</v>
      </c>
      <c r="D70" s="135"/>
      <c r="E70" s="60"/>
      <c r="F70" s="89" t="s">
        <v>211</v>
      </c>
      <c r="G70" s="69" t="s">
        <v>212</v>
      </c>
      <c r="H70" s="44" t="s">
        <v>213</v>
      </c>
      <c r="I70" s="44" t="s">
        <v>29</v>
      </c>
      <c r="J70" s="64">
        <f>J72</f>
        <v>80.52</v>
      </c>
      <c r="K70" s="111"/>
      <c r="L70" s="111"/>
      <c r="M70" s="46">
        <f>M61</f>
        <v>0</v>
      </c>
      <c r="N70" s="47">
        <f t="shared" ref="N70:N76" si="3">J70*M70</f>
        <v>0</v>
      </c>
      <c r="O70" s="25" t="s">
        <v>214</v>
      </c>
      <c r="P70" s="211" t="s">
        <v>186</v>
      </c>
      <c r="Q70" s="94" t="s">
        <v>187</v>
      </c>
    </row>
    <row r="71" spans="1:17" x14ac:dyDescent="0.25">
      <c r="A71" s="149" t="s">
        <v>215</v>
      </c>
      <c r="C71" s="42" t="s">
        <v>216</v>
      </c>
      <c r="D71" s="137" t="s">
        <v>27</v>
      </c>
      <c r="E71" s="44"/>
      <c r="F71" s="44"/>
      <c r="G71" s="44" t="s">
        <v>27</v>
      </c>
      <c r="H71" s="44"/>
      <c r="I71" s="44" t="s">
        <v>29</v>
      </c>
      <c r="J71" s="49">
        <v>600</v>
      </c>
      <c r="K71" s="105"/>
      <c r="L71" s="105"/>
      <c r="M71" s="46"/>
      <c r="N71" s="47">
        <f t="shared" si="3"/>
        <v>0</v>
      </c>
      <c r="O71" s="24" t="s">
        <v>217</v>
      </c>
      <c r="P71" s="26" t="s">
        <v>218</v>
      </c>
      <c r="Q71" s="94" t="s">
        <v>187</v>
      </c>
    </row>
    <row r="72" spans="1:17" x14ac:dyDescent="0.25">
      <c r="A72" s="152" t="s">
        <v>219</v>
      </c>
      <c r="C72" s="82" t="s">
        <v>220</v>
      </c>
      <c r="D72" s="138"/>
      <c r="E72" s="44"/>
      <c r="F72" s="89" t="s">
        <v>211</v>
      </c>
      <c r="G72" s="69" t="s">
        <v>212</v>
      </c>
      <c r="H72" s="44" t="s">
        <v>213</v>
      </c>
      <c r="I72" s="44" t="s">
        <v>29</v>
      </c>
      <c r="J72" s="101">
        <f>65.39+15.13</f>
        <v>80.52</v>
      </c>
      <c r="K72" s="112"/>
      <c r="L72" s="112"/>
      <c r="M72" s="46"/>
      <c r="N72" s="47">
        <f t="shared" si="3"/>
        <v>0</v>
      </c>
      <c r="O72" s="25" t="s">
        <v>214</v>
      </c>
      <c r="P72" s="211" t="s">
        <v>221</v>
      </c>
      <c r="Q72" s="94" t="s">
        <v>187</v>
      </c>
    </row>
    <row r="73" spans="1:17" x14ac:dyDescent="0.25">
      <c r="A73" s="153" t="s">
        <v>222</v>
      </c>
      <c r="C73" s="82" t="s">
        <v>223</v>
      </c>
      <c r="D73" s="138"/>
      <c r="E73" s="44"/>
      <c r="F73" s="89" t="s">
        <v>224</v>
      </c>
      <c r="G73" s="69" t="s">
        <v>225</v>
      </c>
      <c r="H73" s="44" t="s">
        <v>213</v>
      </c>
      <c r="I73" s="44" t="s">
        <v>29</v>
      </c>
      <c r="J73" s="101">
        <f>65.39+15.13</f>
        <v>80.52</v>
      </c>
      <c r="K73" s="112"/>
      <c r="L73" s="112"/>
      <c r="M73" s="46"/>
      <c r="N73" s="47">
        <f t="shared" si="3"/>
        <v>0</v>
      </c>
      <c r="O73" s="25" t="s">
        <v>214</v>
      </c>
      <c r="P73" s="211" t="s">
        <v>221</v>
      </c>
      <c r="Q73" s="94" t="s">
        <v>187</v>
      </c>
    </row>
    <row r="74" spans="1:17" x14ac:dyDescent="0.25">
      <c r="A74" s="149" t="s">
        <v>226</v>
      </c>
      <c r="C74" s="82" t="s">
        <v>227</v>
      </c>
      <c r="D74" s="135"/>
      <c r="E74" s="44"/>
      <c r="F74" s="89" t="s">
        <v>228</v>
      </c>
      <c r="G74" s="69" t="s">
        <v>229</v>
      </c>
      <c r="H74" s="44" t="s">
        <v>213</v>
      </c>
      <c r="I74" s="44" t="s">
        <v>29</v>
      </c>
      <c r="J74" s="101">
        <f>76.2+15.13</f>
        <v>91.33</v>
      </c>
      <c r="K74" s="112"/>
      <c r="L74" s="112"/>
      <c r="M74" s="46"/>
      <c r="N74" s="47">
        <f t="shared" si="3"/>
        <v>0</v>
      </c>
      <c r="O74" s="25" t="s">
        <v>214</v>
      </c>
      <c r="P74" s="211" t="s">
        <v>221</v>
      </c>
      <c r="Q74" s="94" t="s">
        <v>187</v>
      </c>
    </row>
    <row r="75" spans="1:17" x14ac:dyDescent="0.25">
      <c r="A75" s="152" t="s">
        <v>230</v>
      </c>
      <c r="C75" s="82" t="s">
        <v>231</v>
      </c>
      <c r="D75" s="135"/>
      <c r="E75" s="44"/>
      <c r="F75" s="89" t="s">
        <v>232</v>
      </c>
      <c r="G75" s="69" t="s">
        <v>233</v>
      </c>
      <c r="H75" s="44" t="s">
        <v>213</v>
      </c>
      <c r="I75" s="44" t="s">
        <v>29</v>
      </c>
      <c r="J75" s="101">
        <f>86.42+15.13</f>
        <v>101.55</v>
      </c>
      <c r="K75" s="112"/>
      <c r="L75" s="112"/>
      <c r="M75" s="46"/>
      <c r="N75" s="47">
        <f t="shared" si="3"/>
        <v>0</v>
      </c>
      <c r="O75" s="25" t="s">
        <v>214</v>
      </c>
      <c r="P75" s="211" t="s">
        <v>221</v>
      </c>
      <c r="Q75" s="94" t="s">
        <v>187</v>
      </c>
    </row>
    <row r="76" spans="1:17" x14ac:dyDescent="0.25">
      <c r="A76" s="149" t="s">
        <v>234</v>
      </c>
      <c r="C76" s="68" t="s">
        <v>235</v>
      </c>
      <c r="D76" s="138" t="s">
        <v>236</v>
      </c>
      <c r="E76" s="65"/>
      <c r="F76" s="66"/>
      <c r="G76" s="69" t="s">
        <v>237</v>
      </c>
      <c r="H76" s="44" t="s">
        <v>213</v>
      </c>
      <c r="I76" s="44" t="s">
        <v>29</v>
      </c>
      <c r="J76" s="101">
        <f>457*1.2+250</f>
        <v>798.4</v>
      </c>
      <c r="K76" s="112"/>
      <c r="L76" s="112"/>
      <c r="M76" s="70"/>
      <c r="N76" s="47">
        <f t="shared" si="3"/>
        <v>0</v>
      </c>
      <c r="O76" s="25" t="s">
        <v>214</v>
      </c>
      <c r="P76" s="211" t="s">
        <v>221</v>
      </c>
      <c r="Q76" s="94" t="s">
        <v>187</v>
      </c>
    </row>
    <row r="77" spans="1:17" x14ac:dyDescent="0.25">
      <c r="C77" s="52"/>
      <c r="D77" s="139"/>
      <c r="E77" s="71"/>
      <c r="F77" s="71"/>
      <c r="G77" s="72" t="s">
        <v>49</v>
      </c>
      <c r="H77" s="73"/>
      <c r="I77" s="44" t="s">
        <v>29</v>
      </c>
      <c r="J77" s="126"/>
      <c r="K77" s="108"/>
      <c r="L77" s="108"/>
      <c r="M77" s="73"/>
      <c r="N77" s="47"/>
      <c r="O77" s="15"/>
    </row>
    <row r="78" spans="1:17" x14ac:dyDescent="0.25">
      <c r="C78" s="36" t="s">
        <v>238</v>
      </c>
      <c r="D78" s="128"/>
      <c r="E78" s="50"/>
      <c r="F78" s="50"/>
      <c r="G78" s="72" t="s">
        <v>49</v>
      </c>
      <c r="H78" s="44"/>
      <c r="I78" s="44" t="s">
        <v>29</v>
      </c>
      <c r="J78" s="126"/>
      <c r="K78" s="108"/>
      <c r="L78" s="108"/>
      <c r="M78" s="46"/>
      <c r="N78" s="47"/>
      <c r="O78" s="15">
        <f>SUM(N79:N118)</f>
        <v>0</v>
      </c>
    </row>
    <row r="79" spans="1:17" x14ac:dyDescent="0.25">
      <c r="A79" s="149" t="s">
        <v>239</v>
      </c>
      <c r="C79" s="61" t="s">
        <v>240</v>
      </c>
      <c r="D79" s="142" t="s">
        <v>241</v>
      </c>
      <c r="E79" s="60"/>
      <c r="F79" s="60"/>
      <c r="G79" s="48" t="s">
        <v>242</v>
      </c>
      <c r="H79" s="44" t="s">
        <v>213</v>
      </c>
      <c r="I79" s="44" t="s">
        <v>29</v>
      </c>
      <c r="J79" s="67">
        <v>15.04</v>
      </c>
      <c r="K79" s="115">
        <v>1</v>
      </c>
      <c r="L79" s="115" t="s">
        <v>90</v>
      </c>
      <c r="M79" s="46"/>
      <c r="N79" s="47">
        <f>J79*M79</f>
        <v>0</v>
      </c>
      <c r="O79" s="25" t="s">
        <v>214</v>
      </c>
      <c r="P79" s="211" t="s">
        <v>243</v>
      </c>
      <c r="Q79" s="94" t="s">
        <v>244</v>
      </c>
    </row>
    <row r="80" spans="1:17" x14ac:dyDescent="0.25">
      <c r="C80" s="61" t="s">
        <v>245</v>
      </c>
      <c r="D80" s="142" t="s">
        <v>246</v>
      </c>
      <c r="E80" s="60"/>
      <c r="F80" s="60"/>
      <c r="G80" s="48" t="s">
        <v>247</v>
      </c>
      <c r="H80" s="44" t="s">
        <v>213</v>
      </c>
      <c r="I80" s="44" t="s">
        <v>29</v>
      </c>
      <c r="J80" s="67">
        <v>25.28</v>
      </c>
      <c r="K80" s="115">
        <v>1</v>
      </c>
      <c r="L80" s="115" t="s">
        <v>90</v>
      </c>
      <c r="M80" s="74">
        <f>$M$79</f>
        <v>0</v>
      </c>
      <c r="N80" s="47">
        <f>J80*M80</f>
        <v>0</v>
      </c>
      <c r="O80" s="25" t="s">
        <v>214</v>
      </c>
      <c r="P80" s="211" t="s">
        <v>243</v>
      </c>
      <c r="Q80" s="94" t="s">
        <v>244</v>
      </c>
    </row>
    <row r="81" spans="1:17" x14ac:dyDescent="0.25">
      <c r="C81" s="90" t="s">
        <v>248</v>
      </c>
      <c r="D81" s="142" t="s">
        <v>249</v>
      </c>
      <c r="E81" s="60"/>
      <c r="F81" s="60"/>
      <c r="G81" s="48" t="s">
        <v>250</v>
      </c>
      <c r="H81" s="44" t="s">
        <v>213</v>
      </c>
      <c r="I81" s="44" t="s">
        <v>29</v>
      </c>
      <c r="J81" s="67">
        <v>24.86</v>
      </c>
      <c r="K81" s="115">
        <f>55/5</f>
        <v>11</v>
      </c>
      <c r="L81" s="115" t="s">
        <v>90</v>
      </c>
      <c r="M81" s="74">
        <f>$M$79</f>
        <v>0</v>
      </c>
      <c r="N81" s="47">
        <f>J81*M81</f>
        <v>0</v>
      </c>
      <c r="O81" s="25" t="s">
        <v>214</v>
      </c>
      <c r="P81" s="211" t="s">
        <v>243</v>
      </c>
      <c r="Q81" s="94" t="s">
        <v>244</v>
      </c>
    </row>
    <row r="82" spans="1:17" x14ac:dyDescent="0.25">
      <c r="C82" s="90" t="s">
        <v>251</v>
      </c>
      <c r="D82" s="142" t="s">
        <v>252</v>
      </c>
      <c r="E82" s="60"/>
      <c r="F82" s="60"/>
      <c r="G82" s="48" t="s">
        <v>253</v>
      </c>
      <c r="H82" s="44" t="s">
        <v>213</v>
      </c>
      <c r="I82" s="44" t="s">
        <v>29</v>
      </c>
      <c r="J82" s="67">
        <v>80.540000000000006</v>
      </c>
      <c r="K82" s="115">
        <v>1</v>
      </c>
      <c r="L82" s="115" t="s">
        <v>90</v>
      </c>
      <c r="M82" s="74">
        <f>$M$79</f>
        <v>0</v>
      </c>
      <c r="N82" s="47">
        <f>J82*M82</f>
        <v>0</v>
      </c>
      <c r="O82" s="25" t="s">
        <v>214</v>
      </c>
      <c r="P82" s="211" t="s">
        <v>243</v>
      </c>
      <c r="Q82" s="94" t="s">
        <v>244</v>
      </c>
    </row>
    <row r="83" spans="1:17" x14ac:dyDescent="0.25">
      <c r="C83" s="61" t="s">
        <v>254</v>
      </c>
      <c r="D83" s="135" t="s">
        <v>255</v>
      </c>
      <c r="E83" s="60"/>
      <c r="F83" s="60"/>
      <c r="G83" s="44" t="s">
        <v>256</v>
      </c>
      <c r="H83" s="44" t="s">
        <v>213</v>
      </c>
      <c r="I83" s="44" t="s">
        <v>29</v>
      </c>
      <c r="J83" s="67">
        <v>25.49</v>
      </c>
      <c r="K83" s="115">
        <v>1</v>
      </c>
      <c r="L83" s="115" t="s">
        <v>90</v>
      </c>
      <c r="M83" s="74">
        <f>$M$79</f>
        <v>0</v>
      </c>
      <c r="N83" s="47">
        <f>J83*M83</f>
        <v>0</v>
      </c>
      <c r="O83" s="25" t="s">
        <v>214</v>
      </c>
      <c r="P83" s="211" t="s">
        <v>243</v>
      </c>
      <c r="Q83" s="94" t="s">
        <v>244</v>
      </c>
    </row>
    <row r="84" spans="1:17" x14ac:dyDescent="0.25">
      <c r="C84" s="36" t="s">
        <v>257</v>
      </c>
      <c r="D84" s="128"/>
      <c r="E84" s="50"/>
      <c r="F84" s="50"/>
      <c r="G84" s="72" t="s">
        <v>49</v>
      </c>
      <c r="H84" s="44"/>
      <c r="I84" s="44" t="s">
        <v>29</v>
      </c>
      <c r="J84" s="39"/>
      <c r="K84" s="104"/>
      <c r="L84" s="104"/>
      <c r="M84" s="46"/>
      <c r="N84" s="47"/>
      <c r="O84" s="52"/>
    </row>
    <row r="85" spans="1:17" x14ac:dyDescent="0.25">
      <c r="A85" s="149" t="s">
        <v>258</v>
      </c>
      <c r="C85" s="61" t="s">
        <v>240</v>
      </c>
      <c r="D85" s="142" t="s">
        <v>241</v>
      </c>
      <c r="E85" s="60"/>
      <c r="F85" s="60"/>
      <c r="G85" s="48" t="s">
        <v>242</v>
      </c>
      <c r="H85" s="44" t="s">
        <v>213</v>
      </c>
      <c r="I85" s="44" t="s">
        <v>29</v>
      </c>
      <c r="J85" s="67">
        <f>J79</f>
        <v>15.04</v>
      </c>
      <c r="K85" s="115">
        <v>1</v>
      </c>
      <c r="L85" s="115" t="s">
        <v>90</v>
      </c>
      <c r="M85" s="46"/>
      <c r="N85" s="47">
        <f t="shared" ref="N85:N90" si="4">J85*M85</f>
        <v>0</v>
      </c>
      <c r="O85" s="25" t="s">
        <v>214</v>
      </c>
      <c r="P85" s="211" t="s">
        <v>243</v>
      </c>
      <c r="Q85" s="94" t="s">
        <v>244</v>
      </c>
    </row>
    <row r="86" spans="1:17" x14ac:dyDescent="0.25">
      <c r="C86" s="61" t="s">
        <v>245</v>
      </c>
      <c r="D86" s="142" t="s">
        <v>246</v>
      </c>
      <c r="E86" s="60"/>
      <c r="F86" s="60"/>
      <c r="G86" s="48" t="s">
        <v>247</v>
      </c>
      <c r="H86" s="44" t="s">
        <v>213</v>
      </c>
      <c r="I86" s="44" t="s">
        <v>29</v>
      </c>
      <c r="J86" s="67">
        <f>J80</f>
        <v>25.28</v>
      </c>
      <c r="K86" s="115">
        <v>1</v>
      </c>
      <c r="L86" s="115" t="s">
        <v>90</v>
      </c>
      <c r="M86" s="74">
        <f>$M$85</f>
        <v>0</v>
      </c>
      <c r="N86" s="47">
        <f t="shared" si="4"/>
        <v>0</v>
      </c>
      <c r="O86" s="25" t="s">
        <v>214</v>
      </c>
      <c r="P86" s="211" t="s">
        <v>243</v>
      </c>
      <c r="Q86" s="94" t="s">
        <v>244</v>
      </c>
    </row>
    <row r="87" spans="1:17" x14ac:dyDescent="0.25">
      <c r="C87" s="90" t="s">
        <v>248</v>
      </c>
      <c r="D87" s="142" t="s">
        <v>249</v>
      </c>
      <c r="E87" s="60"/>
      <c r="F87" s="60"/>
      <c r="G87" s="48" t="s">
        <v>250</v>
      </c>
      <c r="H87" s="44" t="s">
        <v>213</v>
      </c>
      <c r="I87" s="44" t="s">
        <v>29</v>
      </c>
      <c r="J87" s="67">
        <f>J81</f>
        <v>24.86</v>
      </c>
      <c r="K87" s="115">
        <f>55/5</f>
        <v>11</v>
      </c>
      <c r="L87" s="115" t="s">
        <v>90</v>
      </c>
      <c r="M87" s="74">
        <f>$M$85</f>
        <v>0</v>
      </c>
      <c r="N87" s="47">
        <f t="shared" si="4"/>
        <v>0</v>
      </c>
      <c r="O87" s="25" t="s">
        <v>214</v>
      </c>
      <c r="P87" s="211" t="s">
        <v>243</v>
      </c>
      <c r="Q87" s="94" t="s">
        <v>244</v>
      </c>
    </row>
    <row r="88" spans="1:17" x14ac:dyDescent="0.25">
      <c r="C88" s="90" t="s">
        <v>251</v>
      </c>
      <c r="D88" s="142" t="s">
        <v>252</v>
      </c>
      <c r="E88" s="60"/>
      <c r="F88" s="60"/>
      <c r="G88" s="48" t="s">
        <v>253</v>
      </c>
      <c r="H88" s="44" t="s">
        <v>213</v>
      </c>
      <c r="I88" s="44" t="s">
        <v>29</v>
      </c>
      <c r="J88" s="67">
        <f>J82</f>
        <v>80.540000000000006</v>
      </c>
      <c r="K88" s="115">
        <v>1</v>
      </c>
      <c r="L88" s="115" t="s">
        <v>90</v>
      </c>
      <c r="M88" s="74">
        <f>$M$85</f>
        <v>0</v>
      </c>
      <c r="N88" s="47">
        <f t="shared" si="4"/>
        <v>0</v>
      </c>
      <c r="O88" s="25" t="s">
        <v>214</v>
      </c>
      <c r="P88" s="211" t="s">
        <v>243</v>
      </c>
      <c r="Q88" s="94" t="s">
        <v>244</v>
      </c>
    </row>
    <row r="89" spans="1:17" x14ac:dyDescent="0.25">
      <c r="C89" s="61" t="s">
        <v>254</v>
      </c>
      <c r="D89" s="135" t="s">
        <v>255</v>
      </c>
      <c r="E89" s="60"/>
      <c r="F89" s="60"/>
      <c r="G89" s="44" t="s">
        <v>253</v>
      </c>
      <c r="H89" s="44" t="s">
        <v>213</v>
      </c>
      <c r="I89" s="44" t="s">
        <v>29</v>
      </c>
      <c r="J89" s="67">
        <f>J83</f>
        <v>25.49</v>
      </c>
      <c r="K89" s="115">
        <v>1</v>
      </c>
      <c r="L89" s="115" t="s">
        <v>90</v>
      </c>
      <c r="M89" s="74">
        <f>$M$85</f>
        <v>0</v>
      </c>
      <c r="N89" s="47">
        <f t="shared" si="4"/>
        <v>0</v>
      </c>
      <c r="O89" s="25" t="s">
        <v>214</v>
      </c>
      <c r="P89" s="211" t="s">
        <v>243</v>
      </c>
      <c r="Q89" s="94" t="s">
        <v>244</v>
      </c>
    </row>
    <row r="90" spans="1:17" x14ac:dyDescent="0.25">
      <c r="C90" s="61" t="s">
        <v>259</v>
      </c>
      <c r="D90" s="135" t="s">
        <v>260</v>
      </c>
      <c r="E90" s="60"/>
      <c r="F90" s="60"/>
      <c r="G90" s="44" t="s">
        <v>261</v>
      </c>
      <c r="H90" s="44" t="s">
        <v>213</v>
      </c>
      <c r="I90" s="44" t="s">
        <v>29</v>
      </c>
      <c r="J90" s="67">
        <v>34.700000000000003</v>
      </c>
      <c r="K90" s="115">
        <v>1</v>
      </c>
      <c r="L90" s="115" t="s">
        <v>90</v>
      </c>
      <c r="M90" s="74">
        <f>$M$85</f>
        <v>0</v>
      </c>
      <c r="N90" s="47">
        <f t="shared" si="4"/>
        <v>0</v>
      </c>
      <c r="O90" s="25" t="s">
        <v>214</v>
      </c>
      <c r="P90" s="211" t="s">
        <v>243</v>
      </c>
      <c r="Q90" s="94" t="s">
        <v>244</v>
      </c>
    </row>
    <row r="91" spans="1:17" x14ac:dyDescent="0.25">
      <c r="C91" s="36" t="s">
        <v>262</v>
      </c>
      <c r="D91" s="128"/>
      <c r="E91" s="50"/>
      <c r="F91" s="50"/>
      <c r="G91" s="72" t="s">
        <v>49</v>
      </c>
      <c r="H91" s="44"/>
      <c r="I91" s="44" t="s">
        <v>29</v>
      </c>
      <c r="J91" s="39"/>
      <c r="K91" s="104"/>
      <c r="L91" s="104"/>
      <c r="M91" s="46"/>
      <c r="N91" s="47"/>
      <c r="O91" s="52"/>
    </row>
    <row r="92" spans="1:17" x14ac:dyDescent="0.25">
      <c r="A92" s="149" t="s">
        <v>263</v>
      </c>
      <c r="C92" s="61" t="s">
        <v>240</v>
      </c>
      <c r="D92" s="142" t="s">
        <v>241</v>
      </c>
      <c r="E92" s="60"/>
      <c r="F92" s="60"/>
      <c r="G92" s="48" t="s">
        <v>242</v>
      </c>
      <c r="H92" s="44" t="s">
        <v>213</v>
      </c>
      <c r="I92" s="44" t="s">
        <v>29</v>
      </c>
      <c r="J92" s="67">
        <f>J71</f>
        <v>600</v>
      </c>
      <c r="K92" s="115">
        <v>1</v>
      </c>
      <c r="L92" s="115" t="s">
        <v>90</v>
      </c>
      <c r="M92" s="46"/>
      <c r="N92" s="47">
        <f t="shared" ref="N92:N98" si="5">J92*M92</f>
        <v>0</v>
      </c>
      <c r="O92" s="25" t="s">
        <v>214</v>
      </c>
      <c r="P92" s="211" t="s">
        <v>243</v>
      </c>
      <c r="Q92" s="94" t="s">
        <v>244</v>
      </c>
    </row>
    <row r="93" spans="1:17" x14ac:dyDescent="0.25">
      <c r="C93" s="61" t="s">
        <v>245</v>
      </c>
      <c r="D93" s="142" t="s">
        <v>246</v>
      </c>
      <c r="E93" s="60"/>
      <c r="F93" s="60"/>
      <c r="G93" s="48" t="s">
        <v>247</v>
      </c>
      <c r="H93" s="44" t="s">
        <v>213</v>
      </c>
      <c r="I93" s="44" t="s">
        <v>29</v>
      </c>
      <c r="J93" s="67">
        <f>J72</f>
        <v>80.52</v>
      </c>
      <c r="K93" s="115">
        <v>1</v>
      </c>
      <c r="L93" s="115" t="s">
        <v>90</v>
      </c>
      <c r="M93" s="74">
        <f t="shared" ref="M93:M98" si="6">$M$109</f>
        <v>0</v>
      </c>
      <c r="N93" s="47">
        <f t="shared" si="5"/>
        <v>0</v>
      </c>
      <c r="O93" s="25" t="s">
        <v>214</v>
      </c>
      <c r="P93" s="211" t="s">
        <v>243</v>
      </c>
      <c r="Q93" s="94" t="s">
        <v>244</v>
      </c>
    </row>
    <row r="94" spans="1:17" x14ac:dyDescent="0.25">
      <c r="C94" s="90" t="s">
        <v>248</v>
      </c>
      <c r="D94" s="142" t="s">
        <v>249</v>
      </c>
      <c r="E94" s="60"/>
      <c r="F94" s="60"/>
      <c r="G94" s="48" t="s">
        <v>250</v>
      </c>
      <c r="H94" s="44" t="s">
        <v>213</v>
      </c>
      <c r="I94" s="44" t="s">
        <v>29</v>
      </c>
      <c r="J94" s="67">
        <f>J73</f>
        <v>80.52</v>
      </c>
      <c r="K94" s="115">
        <v>11</v>
      </c>
      <c r="L94" s="115" t="s">
        <v>90</v>
      </c>
      <c r="M94" s="74">
        <f t="shared" si="6"/>
        <v>0</v>
      </c>
      <c r="N94" s="47">
        <f t="shared" si="5"/>
        <v>0</v>
      </c>
      <c r="O94" s="25" t="s">
        <v>214</v>
      </c>
      <c r="P94" s="211" t="s">
        <v>243</v>
      </c>
      <c r="Q94" s="94" t="s">
        <v>244</v>
      </c>
    </row>
    <row r="95" spans="1:17" x14ac:dyDescent="0.25">
      <c r="C95" s="90" t="s">
        <v>251</v>
      </c>
      <c r="D95" s="142" t="s">
        <v>252</v>
      </c>
      <c r="E95" s="60"/>
      <c r="F95" s="60"/>
      <c r="G95" s="48" t="s">
        <v>253</v>
      </c>
      <c r="H95" s="44" t="s">
        <v>213</v>
      </c>
      <c r="I95" s="44" t="s">
        <v>29</v>
      </c>
      <c r="J95" s="67">
        <f>J74</f>
        <v>91.33</v>
      </c>
      <c r="K95" s="115">
        <v>1</v>
      </c>
      <c r="L95" s="115" t="s">
        <v>90</v>
      </c>
      <c r="M95" s="74">
        <f t="shared" si="6"/>
        <v>0</v>
      </c>
      <c r="N95" s="47">
        <f t="shared" si="5"/>
        <v>0</v>
      </c>
      <c r="O95" s="25" t="s">
        <v>214</v>
      </c>
      <c r="P95" s="211" t="s">
        <v>243</v>
      </c>
      <c r="Q95" s="94" t="s">
        <v>244</v>
      </c>
    </row>
    <row r="96" spans="1:17" x14ac:dyDescent="0.25">
      <c r="C96" s="61" t="s">
        <v>254</v>
      </c>
      <c r="D96" s="135" t="s">
        <v>255</v>
      </c>
      <c r="E96" s="60"/>
      <c r="F96" s="60"/>
      <c r="G96" s="44" t="s">
        <v>256</v>
      </c>
      <c r="H96" s="44" t="s">
        <v>213</v>
      </c>
      <c r="I96" s="44" t="s">
        <v>29</v>
      </c>
      <c r="J96" s="67">
        <f>J75</f>
        <v>101.55</v>
      </c>
      <c r="K96" s="115">
        <v>1</v>
      </c>
      <c r="L96" s="115" t="s">
        <v>90</v>
      </c>
      <c r="M96" s="74">
        <f t="shared" si="6"/>
        <v>0</v>
      </c>
      <c r="N96" s="47">
        <f t="shared" si="5"/>
        <v>0</v>
      </c>
      <c r="O96" s="25" t="s">
        <v>214</v>
      </c>
      <c r="P96" s="211" t="s">
        <v>243</v>
      </c>
      <c r="Q96" s="94" t="s">
        <v>244</v>
      </c>
    </row>
    <row r="97" spans="1:17" x14ac:dyDescent="0.25">
      <c r="C97" s="61" t="s">
        <v>264</v>
      </c>
      <c r="D97" s="135" t="s">
        <v>265</v>
      </c>
      <c r="E97" s="60"/>
      <c r="F97" s="60"/>
      <c r="G97" s="44" t="s">
        <v>266</v>
      </c>
      <c r="H97" s="44" t="s">
        <v>213</v>
      </c>
      <c r="I97" s="44" t="s">
        <v>29</v>
      </c>
      <c r="J97" s="67">
        <v>23.78</v>
      </c>
      <c r="K97" s="115">
        <v>1</v>
      </c>
      <c r="L97" s="115" t="s">
        <v>90</v>
      </c>
      <c r="M97" s="74">
        <f t="shared" si="6"/>
        <v>0</v>
      </c>
      <c r="N97" s="47">
        <f t="shared" si="5"/>
        <v>0</v>
      </c>
      <c r="O97" s="25" t="s">
        <v>214</v>
      </c>
      <c r="P97" s="211" t="s">
        <v>243</v>
      </c>
      <c r="Q97" s="94" t="s">
        <v>244</v>
      </c>
    </row>
    <row r="98" spans="1:17" x14ac:dyDescent="0.25">
      <c r="C98" s="61" t="s">
        <v>259</v>
      </c>
      <c r="D98" s="135" t="s">
        <v>260</v>
      </c>
      <c r="E98" s="60"/>
      <c r="F98" s="60"/>
      <c r="G98" s="44" t="s">
        <v>261</v>
      </c>
      <c r="H98" s="44" t="s">
        <v>213</v>
      </c>
      <c r="I98" s="44" t="s">
        <v>29</v>
      </c>
      <c r="J98" s="67">
        <f>J82</f>
        <v>80.540000000000006</v>
      </c>
      <c r="K98" s="115">
        <v>1</v>
      </c>
      <c r="L98" s="115" t="s">
        <v>90</v>
      </c>
      <c r="M98" s="74">
        <f t="shared" si="6"/>
        <v>0</v>
      </c>
      <c r="N98" s="47">
        <f t="shared" si="5"/>
        <v>0</v>
      </c>
      <c r="O98" s="25" t="s">
        <v>214</v>
      </c>
      <c r="P98" s="211" t="s">
        <v>243</v>
      </c>
      <c r="Q98" s="94" t="s">
        <v>244</v>
      </c>
    </row>
    <row r="99" spans="1:17" x14ac:dyDescent="0.25">
      <c r="C99" s="36" t="s">
        <v>267</v>
      </c>
      <c r="D99" s="128"/>
      <c r="E99" s="50"/>
      <c r="F99" s="50"/>
      <c r="G99" s="72" t="s">
        <v>49</v>
      </c>
      <c r="H99" s="44"/>
      <c r="I99" s="44" t="s">
        <v>29</v>
      </c>
      <c r="J99" s="39"/>
      <c r="K99" s="104"/>
      <c r="L99" s="104"/>
      <c r="M99" s="46"/>
      <c r="N99" s="47"/>
      <c r="O99" s="52"/>
    </row>
    <row r="100" spans="1:17" x14ac:dyDescent="0.25">
      <c r="A100" s="149" t="s">
        <v>268</v>
      </c>
      <c r="C100" s="61" t="s">
        <v>240</v>
      </c>
      <c r="D100" s="142" t="s">
        <v>241</v>
      </c>
      <c r="E100" s="60"/>
      <c r="F100" s="60"/>
      <c r="G100" s="48" t="s">
        <v>242</v>
      </c>
      <c r="H100" s="44" t="s">
        <v>213</v>
      </c>
      <c r="I100" s="44" t="s">
        <v>29</v>
      </c>
      <c r="J100" s="67">
        <f>J70</f>
        <v>80.52</v>
      </c>
      <c r="K100" s="115">
        <v>1</v>
      </c>
      <c r="L100" s="115" t="s">
        <v>90</v>
      </c>
      <c r="M100" s="46"/>
      <c r="N100" s="47">
        <f t="shared" ref="N100:N107" si="7">J100*M100</f>
        <v>0</v>
      </c>
      <c r="O100" s="25" t="s">
        <v>214</v>
      </c>
      <c r="P100" s="211" t="s">
        <v>243</v>
      </c>
      <c r="Q100" s="94" t="s">
        <v>244</v>
      </c>
    </row>
    <row r="101" spans="1:17" x14ac:dyDescent="0.25">
      <c r="C101" s="61" t="s">
        <v>245</v>
      </c>
      <c r="D101" s="142" t="s">
        <v>246</v>
      </c>
      <c r="E101" s="60"/>
      <c r="F101" s="60"/>
      <c r="G101" s="48" t="s">
        <v>247</v>
      </c>
      <c r="H101" s="44" t="s">
        <v>213</v>
      </c>
      <c r="I101" s="44" t="s">
        <v>29</v>
      </c>
      <c r="J101" s="67">
        <f>J71</f>
        <v>600</v>
      </c>
      <c r="K101" s="115">
        <v>1</v>
      </c>
      <c r="L101" s="115" t="s">
        <v>90</v>
      </c>
      <c r="M101" s="74">
        <f>$M$109</f>
        <v>0</v>
      </c>
      <c r="N101" s="47">
        <f t="shared" si="7"/>
        <v>0</v>
      </c>
      <c r="O101" s="25" t="s">
        <v>214</v>
      </c>
      <c r="P101" s="211" t="s">
        <v>243</v>
      </c>
      <c r="Q101" s="94" t="s">
        <v>244</v>
      </c>
    </row>
    <row r="102" spans="1:17" x14ac:dyDescent="0.25">
      <c r="C102" s="90" t="s">
        <v>248</v>
      </c>
      <c r="D102" s="142" t="s">
        <v>249</v>
      </c>
      <c r="E102" s="60"/>
      <c r="F102" s="60"/>
      <c r="G102" s="48" t="s">
        <v>250</v>
      </c>
      <c r="H102" s="44" t="s">
        <v>213</v>
      </c>
      <c r="I102" s="44" t="s">
        <v>29</v>
      </c>
      <c r="J102" s="67">
        <f>J72</f>
        <v>80.52</v>
      </c>
      <c r="K102" s="115">
        <v>11</v>
      </c>
      <c r="L102" s="115" t="s">
        <v>90</v>
      </c>
      <c r="M102" s="74">
        <f t="shared" ref="M102:M107" si="8">$M$109</f>
        <v>0</v>
      </c>
      <c r="N102" s="47">
        <f t="shared" si="7"/>
        <v>0</v>
      </c>
      <c r="O102" s="25" t="s">
        <v>214</v>
      </c>
      <c r="P102" s="211" t="s">
        <v>243</v>
      </c>
      <c r="Q102" s="94" t="s">
        <v>244</v>
      </c>
    </row>
    <row r="103" spans="1:17" x14ac:dyDescent="0.25">
      <c r="C103" s="90" t="s">
        <v>251</v>
      </c>
      <c r="D103" s="142" t="s">
        <v>252</v>
      </c>
      <c r="E103" s="60"/>
      <c r="F103" s="60"/>
      <c r="G103" s="48" t="s">
        <v>253</v>
      </c>
      <c r="H103" s="44" t="s">
        <v>213</v>
      </c>
      <c r="I103" s="44" t="s">
        <v>29</v>
      </c>
      <c r="J103" s="67">
        <f>J73</f>
        <v>80.52</v>
      </c>
      <c r="K103" s="115">
        <v>1</v>
      </c>
      <c r="L103" s="115" t="s">
        <v>90</v>
      </c>
      <c r="M103" s="74">
        <f t="shared" si="8"/>
        <v>0</v>
      </c>
      <c r="N103" s="47">
        <f t="shared" si="7"/>
        <v>0</v>
      </c>
      <c r="O103" s="25" t="s">
        <v>214</v>
      </c>
      <c r="P103" s="211" t="s">
        <v>243</v>
      </c>
      <c r="Q103" s="94" t="s">
        <v>244</v>
      </c>
    </row>
    <row r="104" spans="1:17" x14ac:dyDescent="0.25">
      <c r="C104" s="61" t="s">
        <v>254</v>
      </c>
      <c r="D104" s="135" t="s">
        <v>255</v>
      </c>
      <c r="E104" s="60"/>
      <c r="F104" s="60"/>
      <c r="G104" s="44" t="s">
        <v>256</v>
      </c>
      <c r="H104" s="44" t="s">
        <v>213</v>
      </c>
      <c r="I104" s="44" t="s">
        <v>29</v>
      </c>
      <c r="J104" s="67">
        <f>J74</f>
        <v>91.33</v>
      </c>
      <c r="K104" s="115">
        <v>1</v>
      </c>
      <c r="L104" s="115" t="s">
        <v>90</v>
      </c>
      <c r="M104" s="74">
        <f t="shared" si="8"/>
        <v>0</v>
      </c>
      <c r="N104" s="47">
        <f t="shared" si="7"/>
        <v>0</v>
      </c>
      <c r="O104" s="25" t="s">
        <v>214</v>
      </c>
      <c r="P104" s="211" t="s">
        <v>243</v>
      </c>
      <c r="Q104" s="94" t="s">
        <v>244</v>
      </c>
    </row>
    <row r="105" spans="1:17" x14ac:dyDescent="0.25">
      <c r="C105" s="61" t="s">
        <v>264</v>
      </c>
      <c r="D105" s="135" t="s">
        <v>265</v>
      </c>
      <c r="E105" s="60"/>
      <c r="F105" s="60"/>
      <c r="G105" s="44" t="s">
        <v>266</v>
      </c>
      <c r="H105" s="44" t="s">
        <v>213</v>
      </c>
      <c r="I105" s="44" t="s">
        <v>29</v>
      </c>
      <c r="J105" s="67">
        <v>23.78</v>
      </c>
      <c r="K105" s="115">
        <v>1</v>
      </c>
      <c r="L105" s="115" t="s">
        <v>90</v>
      </c>
      <c r="M105" s="74">
        <f t="shared" si="8"/>
        <v>0</v>
      </c>
      <c r="N105" s="47">
        <f t="shared" si="7"/>
        <v>0</v>
      </c>
      <c r="O105" s="25" t="s">
        <v>214</v>
      </c>
      <c r="P105" s="211" t="s">
        <v>243</v>
      </c>
      <c r="Q105" s="94" t="s">
        <v>244</v>
      </c>
    </row>
    <row r="106" spans="1:17" x14ac:dyDescent="0.25">
      <c r="C106" s="61" t="s">
        <v>269</v>
      </c>
      <c r="D106" s="135" t="s">
        <v>270</v>
      </c>
      <c r="E106" s="60"/>
      <c r="F106" s="60"/>
      <c r="G106" s="44" t="s">
        <v>271</v>
      </c>
      <c r="H106" s="44" t="s">
        <v>213</v>
      </c>
      <c r="I106" s="44" t="s">
        <v>29</v>
      </c>
      <c r="J106" s="67">
        <v>23.78</v>
      </c>
      <c r="K106" s="115">
        <v>1</v>
      </c>
      <c r="L106" s="115" t="s">
        <v>90</v>
      </c>
      <c r="M106" s="74">
        <f t="shared" si="8"/>
        <v>0</v>
      </c>
      <c r="N106" s="47">
        <f t="shared" si="7"/>
        <v>0</v>
      </c>
      <c r="O106" s="25" t="s">
        <v>214</v>
      </c>
      <c r="P106" s="211" t="s">
        <v>243</v>
      </c>
      <c r="Q106" s="94" t="s">
        <v>244</v>
      </c>
    </row>
    <row r="107" spans="1:17" x14ac:dyDescent="0.25">
      <c r="C107" s="61" t="s">
        <v>259</v>
      </c>
      <c r="D107" s="135" t="s">
        <v>260</v>
      </c>
      <c r="E107" s="60"/>
      <c r="F107" s="60"/>
      <c r="G107" s="44" t="s">
        <v>261</v>
      </c>
      <c r="H107" s="44" t="s">
        <v>213</v>
      </c>
      <c r="I107" s="44" t="s">
        <v>29</v>
      </c>
      <c r="J107" s="67">
        <f>J81</f>
        <v>24.86</v>
      </c>
      <c r="K107" s="115">
        <v>1</v>
      </c>
      <c r="L107" s="115" t="s">
        <v>90</v>
      </c>
      <c r="M107" s="74">
        <f t="shared" si="8"/>
        <v>0</v>
      </c>
      <c r="N107" s="47">
        <f t="shared" si="7"/>
        <v>0</v>
      </c>
      <c r="O107" s="25" t="s">
        <v>214</v>
      </c>
      <c r="P107" s="211" t="s">
        <v>243</v>
      </c>
      <c r="Q107" s="94" t="s">
        <v>244</v>
      </c>
    </row>
    <row r="108" spans="1:17" x14ac:dyDescent="0.25">
      <c r="C108" s="36" t="s">
        <v>272</v>
      </c>
      <c r="D108" s="128"/>
      <c r="E108" s="50"/>
      <c r="F108" s="50"/>
      <c r="G108" s="72" t="s">
        <v>49</v>
      </c>
      <c r="H108" s="44"/>
      <c r="I108" s="44" t="s">
        <v>29</v>
      </c>
      <c r="J108" s="39"/>
      <c r="K108" s="104"/>
      <c r="L108" s="104"/>
      <c r="M108" s="46"/>
      <c r="N108" s="47"/>
      <c r="O108" s="52"/>
    </row>
    <row r="109" spans="1:17" x14ac:dyDescent="0.25">
      <c r="A109" s="149" t="s">
        <v>273</v>
      </c>
      <c r="C109" s="61" t="s">
        <v>240</v>
      </c>
      <c r="D109" s="142" t="s">
        <v>241</v>
      </c>
      <c r="E109" s="60"/>
      <c r="F109" s="60"/>
      <c r="G109" s="48" t="s">
        <v>242</v>
      </c>
      <c r="H109" s="44" t="s">
        <v>213</v>
      </c>
      <c r="I109" s="44" t="s">
        <v>29</v>
      </c>
      <c r="J109" s="67">
        <f>J79</f>
        <v>15.04</v>
      </c>
      <c r="K109" s="115">
        <v>1</v>
      </c>
      <c r="L109" s="115" t="s">
        <v>90</v>
      </c>
      <c r="M109" s="46"/>
      <c r="N109" s="47">
        <f t="shared" ref="N109:N117" si="9">J109*M109</f>
        <v>0</v>
      </c>
      <c r="O109" s="25" t="s">
        <v>214</v>
      </c>
      <c r="P109" s="211" t="s">
        <v>243</v>
      </c>
      <c r="Q109" s="94" t="s">
        <v>244</v>
      </c>
    </row>
    <row r="110" spans="1:17" x14ac:dyDescent="0.25">
      <c r="C110" s="61" t="s">
        <v>245</v>
      </c>
      <c r="D110" s="142" t="s">
        <v>246</v>
      </c>
      <c r="E110" s="60"/>
      <c r="F110" s="60"/>
      <c r="G110" s="48" t="s">
        <v>247</v>
      </c>
      <c r="H110" s="44" t="s">
        <v>213</v>
      </c>
      <c r="I110" s="44" t="s">
        <v>29</v>
      </c>
      <c r="J110" s="67">
        <f>J80</f>
        <v>25.28</v>
      </c>
      <c r="K110" s="115">
        <v>1</v>
      </c>
      <c r="L110" s="115" t="s">
        <v>90</v>
      </c>
      <c r="M110" s="74">
        <f>$M$109</f>
        <v>0</v>
      </c>
      <c r="N110" s="47">
        <f t="shared" si="9"/>
        <v>0</v>
      </c>
      <c r="O110" s="25" t="s">
        <v>214</v>
      </c>
      <c r="P110" s="211" t="s">
        <v>243</v>
      </c>
      <c r="Q110" s="94" t="s">
        <v>244</v>
      </c>
    </row>
    <row r="111" spans="1:17" x14ac:dyDescent="0.25">
      <c r="C111" s="90" t="s">
        <v>248</v>
      </c>
      <c r="D111" s="142" t="s">
        <v>249</v>
      </c>
      <c r="E111" s="60"/>
      <c r="F111" s="60"/>
      <c r="G111" s="48" t="s">
        <v>250</v>
      </c>
      <c r="H111" s="44" t="s">
        <v>213</v>
      </c>
      <c r="I111" s="44" t="s">
        <v>29</v>
      </c>
      <c r="J111" s="67">
        <f>J81</f>
        <v>24.86</v>
      </c>
      <c r="K111" s="115">
        <v>11</v>
      </c>
      <c r="L111" s="115" t="s">
        <v>90</v>
      </c>
      <c r="M111" s="74">
        <f t="shared" ref="M111:M117" si="10">$M$109</f>
        <v>0</v>
      </c>
      <c r="N111" s="47">
        <f t="shared" si="9"/>
        <v>0</v>
      </c>
      <c r="O111" s="25" t="s">
        <v>214</v>
      </c>
      <c r="P111" s="211" t="s">
        <v>243</v>
      </c>
      <c r="Q111" s="94" t="s">
        <v>244</v>
      </c>
    </row>
    <row r="112" spans="1:17" x14ac:dyDescent="0.25">
      <c r="C112" s="90" t="s">
        <v>251</v>
      </c>
      <c r="D112" s="142" t="s">
        <v>252</v>
      </c>
      <c r="E112" s="60"/>
      <c r="F112" s="60"/>
      <c r="G112" s="48" t="s">
        <v>253</v>
      </c>
      <c r="H112" s="44" t="s">
        <v>213</v>
      </c>
      <c r="I112" s="44" t="s">
        <v>29</v>
      </c>
      <c r="J112" s="67">
        <f>J82</f>
        <v>80.540000000000006</v>
      </c>
      <c r="K112" s="115">
        <v>1</v>
      </c>
      <c r="L112" s="115" t="s">
        <v>90</v>
      </c>
      <c r="M112" s="74">
        <f t="shared" si="10"/>
        <v>0</v>
      </c>
      <c r="N112" s="47">
        <f t="shared" si="9"/>
        <v>0</v>
      </c>
      <c r="O112" s="25" t="s">
        <v>214</v>
      </c>
      <c r="P112" s="211" t="s">
        <v>243</v>
      </c>
      <c r="Q112" s="94" t="s">
        <v>244</v>
      </c>
    </row>
    <row r="113" spans="1:17" x14ac:dyDescent="0.25">
      <c r="C113" s="61" t="s">
        <v>254</v>
      </c>
      <c r="D113" s="135" t="s">
        <v>255</v>
      </c>
      <c r="E113" s="60"/>
      <c r="F113" s="60"/>
      <c r="G113" s="44" t="s">
        <v>256</v>
      </c>
      <c r="H113" s="44" t="s">
        <v>213</v>
      </c>
      <c r="I113" s="44" t="s">
        <v>29</v>
      </c>
      <c r="J113" s="67">
        <f>J83</f>
        <v>25.49</v>
      </c>
      <c r="K113" s="115">
        <v>1</v>
      </c>
      <c r="L113" s="115" t="s">
        <v>90</v>
      </c>
      <c r="M113" s="74">
        <f t="shared" si="10"/>
        <v>0</v>
      </c>
      <c r="N113" s="47">
        <f t="shared" si="9"/>
        <v>0</v>
      </c>
      <c r="O113" s="25" t="s">
        <v>214</v>
      </c>
      <c r="P113" s="211" t="s">
        <v>243</v>
      </c>
      <c r="Q113" s="94" t="s">
        <v>244</v>
      </c>
    </row>
    <row r="114" spans="1:17" x14ac:dyDescent="0.25">
      <c r="C114" s="61" t="s">
        <v>264</v>
      </c>
      <c r="D114" s="135" t="s">
        <v>265</v>
      </c>
      <c r="E114" s="60"/>
      <c r="F114" s="60"/>
      <c r="G114" s="44" t="s">
        <v>266</v>
      </c>
      <c r="H114" s="44" t="s">
        <v>213</v>
      </c>
      <c r="I114" s="44" t="s">
        <v>29</v>
      </c>
      <c r="J114" s="67">
        <v>23.78</v>
      </c>
      <c r="K114" s="115">
        <v>1</v>
      </c>
      <c r="L114" s="115" t="s">
        <v>90</v>
      </c>
      <c r="M114" s="74">
        <f t="shared" si="10"/>
        <v>0</v>
      </c>
      <c r="N114" s="47">
        <f>J114*M114</f>
        <v>0</v>
      </c>
      <c r="O114" s="25" t="s">
        <v>214</v>
      </c>
      <c r="P114" s="211" t="s">
        <v>243</v>
      </c>
      <c r="Q114" s="94" t="s">
        <v>244</v>
      </c>
    </row>
    <row r="115" spans="1:17" x14ac:dyDescent="0.25">
      <c r="C115" s="61" t="s">
        <v>269</v>
      </c>
      <c r="D115" s="135" t="s">
        <v>270</v>
      </c>
      <c r="E115" s="60"/>
      <c r="F115" s="60"/>
      <c r="G115" s="44" t="s">
        <v>271</v>
      </c>
      <c r="H115" s="44" t="s">
        <v>213</v>
      </c>
      <c r="I115" s="44" t="s">
        <v>29</v>
      </c>
      <c r="J115" s="67">
        <v>23.78</v>
      </c>
      <c r="K115" s="115">
        <v>1</v>
      </c>
      <c r="L115" s="115" t="s">
        <v>90</v>
      </c>
      <c r="M115" s="74">
        <f t="shared" si="10"/>
        <v>0</v>
      </c>
      <c r="N115" s="47">
        <f>J115*M115</f>
        <v>0</v>
      </c>
      <c r="O115" s="25" t="s">
        <v>214</v>
      </c>
      <c r="P115" s="211" t="s">
        <v>243</v>
      </c>
      <c r="Q115" s="94" t="s">
        <v>244</v>
      </c>
    </row>
    <row r="116" spans="1:17" x14ac:dyDescent="0.25">
      <c r="C116" s="61" t="s">
        <v>274</v>
      </c>
      <c r="D116" s="135" t="s">
        <v>275</v>
      </c>
      <c r="E116" s="60"/>
      <c r="F116" s="60"/>
      <c r="G116" s="44" t="s">
        <v>276</v>
      </c>
      <c r="H116" s="44" t="s">
        <v>213</v>
      </c>
      <c r="I116" s="44" t="s">
        <v>29</v>
      </c>
      <c r="J116" s="67">
        <v>23.78</v>
      </c>
      <c r="K116" s="115">
        <v>1</v>
      </c>
      <c r="L116" s="115" t="s">
        <v>90</v>
      </c>
      <c r="M116" s="74">
        <f t="shared" si="10"/>
        <v>0</v>
      </c>
      <c r="N116" s="47">
        <f t="shared" si="9"/>
        <v>0</v>
      </c>
      <c r="O116" s="25" t="s">
        <v>214</v>
      </c>
      <c r="P116" s="211" t="s">
        <v>243</v>
      </c>
      <c r="Q116" s="94" t="s">
        <v>244</v>
      </c>
    </row>
    <row r="117" spans="1:17" x14ac:dyDescent="0.25">
      <c r="C117" s="61" t="s">
        <v>259</v>
      </c>
      <c r="D117" s="135" t="s">
        <v>260</v>
      </c>
      <c r="E117" s="60"/>
      <c r="F117" s="60"/>
      <c r="G117" s="44" t="s">
        <v>261</v>
      </c>
      <c r="H117" s="44" t="s">
        <v>213</v>
      </c>
      <c r="I117" s="44" t="s">
        <v>29</v>
      </c>
      <c r="J117" s="67">
        <f>J90</f>
        <v>34.700000000000003</v>
      </c>
      <c r="K117" s="115">
        <v>1</v>
      </c>
      <c r="L117" s="115" t="s">
        <v>90</v>
      </c>
      <c r="M117" s="74">
        <f t="shared" si="10"/>
        <v>0</v>
      </c>
      <c r="N117" s="47">
        <f t="shared" si="9"/>
        <v>0</v>
      </c>
      <c r="O117" s="25" t="s">
        <v>214</v>
      </c>
      <c r="P117" s="211" t="s">
        <v>243</v>
      </c>
      <c r="Q117" s="94" t="s">
        <v>244</v>
      </c>
    </row>
    <row r="118" spans="1:17" x14ac:dyDescent="0.25">
      <c r="C118" s="18"/>
      <c r="D118" s="140"/>
      <c r="E118" s="21"/>
      <c r="F118" s="21"/>
      <c r="G118" s="22"/>
      <c r="H118" s="75"/>
      <c r="I118" s="75"/>
      <c r="J118" s="39"/>
      <c r="K118" s="104"/>
      <c r="L118" s="104"/>
      <c r="M118" s="20"/>
      <c r="N118" s="47"/>
      <c r="O118" s="52"/>
    </row>
    <row r="119" spans="1:17" x14ac:dyDescent="0.25">
      <c r="C119" s="36" t="s">
        <v>277</v>
      </c>
      <c r="D119" s="141"/>
      <c r="E119" s="76"/>
      <c r="F119" s="76"/>
      <c r="G119" s="38"/>
      <c r="H119" s="38"/>
      <c r="I119" s="38"/>
      <c r="J119" s="39"/>
      <c r="K119" s="104"/>
      <c r="L119" s="104"/>
      <c r="M119" s="40"/>
      <c r="N119" s="47"/>
      <c r="O119" s="15">
        <f>SUM(N120:N132)</f>
        <v>0</v>
      </c>
    </row>
    <row r="120" spans="1:17" x14ac:dyDescent="0.25">
      <c r="A120" s="149" t="s">
        <v>278</v>
      </c>
      <c r="C120" s="42" t="s">
        <v>279</v>
      </c>
      <c r="D120" s="135" t="s">
        <v>280</v>
      </c>
      <c r="E120" s="77"/>
      <c r="F120" s="44" t="s">
        <v>281</v>
      </c>
      <c r="G120" s="44">
        <v>1071153</v>
      </c>
      <c r="H120" s="44" t="s">
        <v>282</v>
      </c>
      <c r="I120" s="44" t="s">
        <v>283</v>
      </c>
      <c r="J120" s="49">
        <v>9.6999999999999993</v>
      </c>
      <c r="K120" s="105"/>
      <c r="L120" s="105"/>
      <c r="M120" s="46"/>
      <c r="N120" s="47">
        <f t="shared" ref="N120:N131" si="11">J120*M120</f>
        <v>0</v>
      </c>
      <c r="O120" s="25" t="s">
        <v>284</v>
      </c>
      <c r="P120" s="211" t="s">
        <v>285</v>
      </c>
      <c r="Q120" s="94" t="s">
        <v>286</v>
      </c>
    </row>
    <row r="121" spans="1:17" x14ac:dyDescent="0.25">
      <c r="C121" s="53" t="s">
        <v>287</v>
      </c>
      <c r="D121" s="95" t="s">
        <v>288</v>
      </c>
      <c r="E121" s="79"/>
      <c r="F121" s="175" t="s">
        <v>289</v>
      </c>
      <c r="G121" s="175">
        <v>1012720</v>
      </c>
      <c r="H121" s="55" t="s">
        <v>282</v>
      </c>
      <c r="I121" s="44" t="s">
        <v>283</v>
      </c>
      <c r="J121" s="49">
        <v>1.5</v>
      </c>
      <c r="K121" s="105"/>
      <c r="L121" s="105"/>
      <c r="M121" s="74">
        <f>M120</f>
        <v>0</v>
      </c>
      <c r="N121" s="47">
        <f t="shared" si="11"/>
        <v>0</v>
      </c>
      <c r="O121" s="25" t="s">
        <v>284</v>
      </c>
      <c r="P121" s="211" t="s">
        <v>285</v>
      </c>
      <c r="Q121" s="94" t="s">
        <v>286</v>
      </c>
    </row>
    <row r="122" spans="1:17" x14ac:dyDescent="0.25">
      <c r="A122" s="149" t="s">
        <v>290</v>
      </c>
      <c r="C122" s="42" t="s">
        <v>291</v>
      </c>
      <c r="D122" s="142" t="s">
        <v>43</v>
      </c>
      <c r="E122" s="60"/>
      <c r="F122" s="44" t="s">
        <v>292</v>
      </c>
      <c r="G122" s="44">
        <v>1065899</v>
      </c>
      <c r="H122" s="44" t="s">
        <v>282</v>
      </c>
      <c r="I122" s="44" t="s">
        <v>283</v>
      </c>
      <c r="J122" s="49">
        <v>33.5</v>
      </c>
      <c r="K122" s="105"/>
      <c r="L122" s="105"/>
      <c r="M122" s="46"/>
      <c r="N122" s="47">
        <f>J122*M122</f>
        <v>0</v>
      </c>
      <c r="O122" s="25" t="s">
        <v>284</v>
      </c>
      <c r="P122" s="211" t="s">
        <v>285</v>
      </c>
      <c r="Q122" s="94" t="s">
        <v>286</v>
      </c>
    </row>
    <row r="123" spans="1:17" x14ac:dyDescent="0.25">
      <c r="A123" s="152" t="s">
        <v>293</v>
      </c>
      <c r="C123" s="42" t="s">
        <v>294</v>
      </c>
      <c r="D123" s="142" t="s">
        <v>295</v>
      </c>
      <c r="E123" s="60"/>
      <c r="F123" s="44" t="s">
        <v>296</v>
      </c>
      <c r="G123" s="44">
        <v>1218666</v>
      </c>
      <c r="H123" s="44" t="s">
        <v>282</v>
      </c>
      <c r="I123" s="44" t="s">
        <v>283</v>
      </c>
      <c r="J123" s="49">
        <v>28.2</v>
      </c>
      <c r="K123" s="105"/>
      <c r="L123" s="105"/>
      <c r="M123" s="46"/>
      <c r="N123" s="47">
        <f t="shared" si="11"/>
        <v>0</v>
      </c>
      <c r="O123" s="25" t="s">
        <v>284</v>
      </c>
      <c r="P123" s="211" t="s">
        <v>285</v>
      </c>
      <c r="Q123" s="94" t="s">
        <v>286</v>
      </c>
    </row>
    <row r="124" spans="1:17" x14ac:dyDescent="0.25">
      <c r="A124" s="149" t="s">
        <v>297</v>
      </c>
      <c r="C124" s="53" t="s">
        <v>298</v>
      </c>
      <c r="D124" s="43" t="s">
        <v>299</v>
      </c>
      <c r="E124" s="78"/>
      <c r="F124" s="55" t="s">
        <v>300</v>
      </c>
      <c r="G124" s="55">
        <v>1025502</v>
      </c>
      <c r="H124" s="55" t="s">
        <v>282</v>
      </c>
      <c r="I124" s="44" t="s">
        <v>283</v>
      </c>
      <c r="J124" s="49">
        <v>260.7</v>
      </c>
      <c r="K124" s="105"/>
      <c r="L124" s="105"/>
      <c r="M124" s="46"/>
      <c r="N124" s="47">
        <f>J124*M124</f>
        <v>0</v>
      </c>
      <c r="O124" s="25" t="s">
        <v>284</v>
      </c>
      <c r="P124" s="211" t="s">
        <v>285</v>
      </c>
      <c r="Q124" s="94" t="s">
        <v>286</v>
      </c>
    </row>
    <row r="125" spans="1:17" x14ac:dyDescent="0.25">
      <c r="A125" s="152" t="s">
        <v>301</v>
      </c>
      <c r="C125" s="53" t="s">
        <v>302</v>
      </c>
      <c r="D125" s="43"/>
      <c r="E125" s="78"/>
      <c r="F125" s="55"/>
      <c r="G125" s="55"/>
      <c r="H125" s="55" t="s">
        <v>282</v>
      </c>
      <c r="I125" s="44" t="s">
        <v>283</v>
      </c>
      <c r="J125" s="49">
        <v>14.85</v>
      </c>
      <c r="K125" s="105"/>
      <c r="L125" s="105"/>
      <c r="M125" s="46"/>
      <c r="N125" s="47">
        <f t="shared" si="11"/>
        <v>0</v>
      </c>
      <c r="O125" s="25" t="s">
        <v>284</v>
      </c>
      <c r="P125" s="211" t="s">
        <v>285</v>
      </c>
      <c r="Q125" s="94" t="s">
        <v>286</v>
      </c>
    </row>
    <row r="126" spans="1:17" x14ac:dyDescent="0.25">
      <c r="A126" s="149" t="s">
        <v>303</v>
      </c>
      <c r="C126" s="53" t="s">
        <v>304</v>
      </c>
      <c r="D126" s="43"/>
      <c r="E126" s="78"/>
      <c r="F126" s="55" t="s">
        <v>305</v>
      </c>
      <c r="G126" s="55"/>
      <c r="H126" s="55" t="s">
        <v>282</v>
      </c>
      <c r="I126" s="44" t="s">
        <v>283</v>
      </c>
      <c r="J126" s="49">
        <v>6.95</v>
      </c>
      <c r="K126" s="105"/>
      <c r="L126" s="105"/>
      <c r="M126" s="46"/>
      <c r="N126" s="47">
        <f t="shared" si="11"/>
        <v>0</v>
      </c>
      <c r="O126" s="25" t="s">
        <v>284</v>
      </c>
      <c r="P126" s="211" t="s">
        <v>285</v>
      </c>
      <c r="Q126" s="94" t="s">
        <v>286</v>
      </c>
    </row>
    <row r="127" spans="1:17" x14ac:dyDescent="0.25">
      <c r="A127" s="152" t="s">
        <v>306</v>
      </c>
      <c r="C127" s="53" t="s">
        <v>307</v>
      </c>
      <c r="D127" s="43"/>
      <c r="E127" s="78"/>
      <c r="F127" s="55" t="s">
        <v>308</v>
      </c>
      <c r="G127" s="55"/>
      <c r="H127" s="55" t="s">
        <v>213</v>
      </c>
      <c r="I127" s="44" t="s">
        <v>29</v>
      </c>
      <c r="J127" s="49">
        <v>0</v>
      </c>
      <c r="K127" s="105"/>
      <c r="L127" s="105"/>
      <c r="M127" s="52"/>
      <c r="N127" s="47">
        <f>J127*M127</f>
        <v>0</v>
      </c>
      <c r="O127" s="80"/>
      <c r="P127" s="211" t="s">
        <v>285</v>
      </c>
      <c r="Q127" s="94" t="s">
        <v>286</v>
      </c>
    </row>
    <row r="128" spans="1:17" x14ac:dyDescent="0.25">
      <c r="A128" s="152" t="s">
        <v>309</v>
      </c>
      <c r="C128" s="53" t="s">
        <v>310</v>
      </c>
      <c r="D128" s="43"/>
      <c r="E128" s="78"/>
      <c r="F128" s="55" t="s">
        <v>311</v>
      </c>
      <c r="G128" s="55"/>
      <c r="H128" s="55" t="s">
        <v>213</v>
      </c>
      <c r="I128" s="44" t="s">
        <v>29</v>
      </c>
      <c r="J128" s="49">
        <v>0</v>
      </c>
      <c r="K128" s="105"/>
      <c r="L128" s="105"/>
      <c r="M128" s="52"/>
      <c r="N128" s="47">
        <f>J128*M128</f>
        <v>0</v>
      </c>
      <c r="O128" s="80"/>
      <c r="P128" s="211" t="s">
        <v>285</v>
      </c>
      <c r="Q128" s="94" t="s">
        <v>286</v>
      </c>
    </row>
    <row r="129" spans="1:17" x14ac:dyDescent="0.25">
      <c r="A129" s="149" t="s">
        <v>312</v>
      </c>
      <c r="C129" s="53" t="s">
        <v>313</v>
      </c>
      <c r="D129" s="43" t="s">
        <v>314</v>
      </c>
      <c r="E129" s="78"/>
      <c r="F129" s="78"/>
      <c r="G129" s="55" t="s">
        <v>315</v>
      </c>
      <c r="H129" s="55" t="s">
        <v>213</v>
      </c>
      <c r="I129" s="44" t="s">
        <v>29</v>
      </c>
      <c r="J129" s="45">
        <v>20.11</v>
      </c>
      <c r="K129" s="109">
        <v>1</v>
      </c>
      <c r="L129" s="115" t="s">
        <v>90</v>
      </c>
      <c r="M129" s="46"/>
      <c r="N129" s="47">
        <f t="shared" si="11"/>
        <v>0</v>
      </c>
      <c r="O129" s="25" t="s">
        <v>214</v>
      </c>
      <c r="P129" s="26" t="s">
        <v>316</v>
      </c>
      <c r="Q129" s="94" t="s">
        <v>317</v>
      </c>
    </row>
    <row r="130" spans="1:17" x14ac:dyDescent="0.25">
      <c r="A130" s="152" t="s">
        <v>318</v>
      </c>
      <c r="C130" s="189" t="s">
        <v>319</v>
      </c>
      <c r="D130" s="190" t="s">
        <v>320</v>
      </c>
      <c r="E130" s="191"/>
      <c r="F130" s="192" t="s">
        <v>321</v>
      </c>
      <c r="G130" s="192">
        <v>1082009</v>
      </c>
      <c r="H130" s="192" t="s">
        <v>282</v>
      </c>
      <c r="I130" s="192" t="s">
        <v>283</v>
      </c>
      <c r="J130" s="193">
        <v>67.8</v>
      </c>
      <c r="K130" s="194"/>
      <c r="L130" s="194"/>
      <c r="M130" s="195"/>
      <c r="N130" s="196">
        <f t="shared" si="11"/>
        <v>0</v>
      </c>
      <c r="O130" s="197" t="s">
        <v>284</v>
      </c>
      <c r="P130" s="211" t="s">
        <v>322</v>
      </c>
      <c r="Q130" s="94" t="s">
        <v>286</v>
      </c>
    </row>
    <row r="131" spans="1:17" x14ac:dyDescent="0.25">
      <c r="A131" s="149" t="s">
        <v>323</v>
      </c>
      <c r="C131" s="176" t="s">
        <v>324</v>
      </c>
      <c r="D131" s="95" t="s">
        <v>325</v>
      </c>
      <c r="E131" s="78"/>
      <c r="F131" s="176" t="s">
        <v>326</v>
      </c>
      <c r="G131" s="175">
        <v>54630</v>
      </c>
      <c r="H131" s="177" t="s">
        <v>327</v>
      </c>
      <c r="I131" s="44" t="s">
        <v>29</v>
      </c>
      <c r="J131" s="45">
        <v>288.3</v>
      </c>
      <c r="K131" s="109">
        <f>85/5</f>
        <v>17</v>
      </c>
      <c r="L131" s="115" t="s">
        <v>90</v>
      </c>
      <c r="M131" s="46"/>
      <c r="N131" s="47">
        <f t="shared" si="11"/>
        <v>0</v>
      </c>
      <c r="O131" s="25" t="s">
        <v>214</v>
      </c>
      <c r="P131" s="211" t="s">
        <v>322</v>
      </c>
      <c r="Q131" s="94" t="s">
        <v>328</v>
      </c>
    </row>
    <row r="132" spans="1:17" x14ac:dyDescent="0.25">
      <c r="C132" s="42"/>
      <c r="D132" s="135"/>
      <c r="E132" s="60"/>
      <c r="F132" s="60"/>
      <c r="G132" s="44"/>
      <c r="H132" s="44"/>
      <c r="I132" s="44"/>
      <c r="J132" s="39"/>
      <c r="K132" s="104"/>
      <c r="L132" s="104"/>
      <c r="M132" s="46"/>
      <c r="N132" s="47"/>
      <c r="O132" s="80"/>
    </row>
    <row r="133" spans="1:17" x14ac:dyDescent="0.25">
      <c r="C133" s="36" t="s">
        <v>329</v>
      </c>
      <c r="D133" s="141"/>
      <c r="E133" s="76"/>
      <c r="F133" s="76"/>
      <c r="G133" s="38"/>
      <c r="H133" s="38"/>
      <c r="I133" s="38"/>
      <c r="J133" s="39"/>
      <c r="K133" s="104"/>
      <c r="L133" s="104"/>
      <c r="M133" s="40"/>
      <c r="N133" s="47"/>
      <c r="O133" s="15">
        <f>SUM(N134:N152)</f>
        <v>1643.7199999999998</v>
      </c>
    </row>
    <row r="134" spans="1:17" outlineLevel="1" x14ac:dyDescent="0.25">
      <c r="A134" s="149" t="s">
        <v>330</v>
      </c>
      <c r="C134" s="82" t="s">
        <v>331</v>
      </c>
      <c r="D134" s="135"/>
      <c r="E134" s="60"/>
      <c r="F134" s="60"/>
      <c r="G134" s="85" t="s">
        <v>332</v>
      </c>
      <c r="H134" s="44" t="s">
        <v>213</v>
      </c>
      <c r="I134" s="44"/>
      <c r="J134" s="49">
        <v>352.17</v>
      </c>
      <c r="K134" s="109"/>
      <c r="L134" s="109"/>
      <c r="M134" s="46"/>
      <c r="N134" s="47">
        <f t="shared" ref="N134:N151" si="12">J134*M134</f>
        <v>0</v>
      </c>
      <c r="O134" s="25" t="s">
        <v>214</v>
      </c>
      <c r="Q134" s="94" t="s">
        <v>333</v>
      </c>
    </row>
    <row r="135" spans="1:17" outlineLevel="1" x14ac:dyDescent="0.25">
      <c r="A135" s="152" t="s">
        <v>334</v>
      </c>
      <c r="C135" s="82" t="s">
        <v>335</v>
      </c>
      <c r="D135" s="135"/>
      <c r="E135" s="60"/>
      <c r="F135" s="60"/>
      <c r="G135" s="85" t="s">
        <v>336</v>
      </c>
      <c r="H135" s="44" t="s">
        <v>213</v>
      </c>
      <c r="I135" s="44"/>
      <c r="J135" s="49">
        <v>386.02199999999999</v>
      </c>
      <c r="K135" s="109"/>
      <c r="L135" s="109"/>
      <c r="M135" s="46"/>
      <c r="N135" s="47">
        <f t="shared" si="12"/>
        <v>0</v>
      </c>
      <c r="O135" s="25" t="s">
        <v>214</v>
      </c>
      <c r="Q135" s="94" t="s">
        <v>333</v>
      </c>
    </row>
    <row r="136" spans="1:17" outlineLevel="1" x14ac:dyDescent="0.25">
      <c r="A136" s="149" t="s">
        <v>337</v>
      </c>
      <c r="C136" s="82" t="s">
        <v>338</v>
      </c>
      <c r="D136" s="135"/>
      <c r="E136" s="60"/>
      <c r="F136" s="60"/>
      <c r="G136" s="85" t="s">
        <v>339</v>
      </c>
      <c r="H136" s="44" t="s">
        <v>213</v>
      </c>
      <c r="I136" s="44"/>
      <c r="J136" s="49">
        <v>366.36600000000004</v>
      </c>
      <c r="K136" s="109"/>
      <c r="L136" s="109"/>
      <c r="M136" s="46"/>
      <c r="N136" s="47">
        <f t="shared" si="12"/>
        <v>0</v>
      </c>
      <c r="O136" s="25" t="s">
        <v>214</v>
      </c>
      <c r="Q136" s="94" t="s">
        <v>333</v>
      </c>
    </row>
    <row r="137" spans="1:17" outlineLevel="1" x14ac:dyDescent="0.25">
      <c r="A137" s="152" t="s">
        <v>340</v>
      </c>
      <c r="C137" s="82" t="s">
        <v>341</v>
      </c>
      <c r="D137" s="135"/>
      <c r="E137" s="60"/>
      <c r="F137" s="60"/>
      <c r="G137" s="85" t="s">
        <v>342</v>
      </c>
      <c r="H137" s="44" t="s">
        <v>213</v>
      </c>
      <c r="I137" s="44"/>
      <c r="J137" s="49">
        <v>400.21800000000002</v>
      </c>
      <c r="K137" s="109"/>
      <c r="L137" s="109"/>
      <c r="M137" s="46"/>
      <c r="N137" s="47">
        <f t="shared" si="12"/>
        <v>0</v>
      </c>
      <c r="O137" s="25" t="s">
        <v>214</v>
      </c>
      <c r="Q137" s="94" t="s">
        <v>333</v>
      </c>
    </row>
    <row r="138" spans="1:17" outlineLevel="1" x14ac:dyDescent="0.25">
      <c r="A138" s="154" t="s">
        <v>343</v>
      </c>
      <c r="C138" s="82" t="s">
        <v>344</v>
      </c>
      <c r="D138" s="135"/>
      <c r="E138" s="60"/>
      <c r="F138" s="60"/>
      <c r="G138" s="85" t="s">
        <v>345</v>
      </c>
      <c r="H138" s="44" t="s">
        <v>213</v>
      </c>
      <c r="I138" s="44"/>
      <c r="J138" s="49">
        <v>320.50200000000001</v>
      </c>
      <c r="K138" s="109"/>
      <c r="L138" s="109"/>
      <c r="M138" s="46"/>
      <c r="N138" s="47">
        <f t="shared" si="12"/>
        <v>0</v>
      </c>
      <c r="O138" s="25" t="s">
        <v>214</v>
      </c>
      <c r="Q138" s="94" t="s">
        <v>333</v>
      </c>
    </row>
    <row r="139" spans="1:17" outlineLevel="1" x14ac:dyDescent="0.25">
      <c r="A139" s="152" t="s">
        <v>346</v>
      </c>
      <c r="C139" s="82" t="s">
        <v>347</v>
      </c>
      <c r="D139" s="135"/>
      <c r="E139" s="60"/>
      <c r="F139" s="60"/>
      <c r="G139" s="85" t="s">
        <v>348</v>
      </c>
      <c r="H139" s="44" t="s">
        <v>213</v>
      </c>
      <c r="I139" s="44"/>
      <c r="J139" s="49">
        <v>354.35399999999998</v>
      </c>
      <c r="K139" s="109"/>
      <c r="L139" s="109"/>
      <c r="M139" s="46"/>
      <c r="N139" s="47">
        <f t="shared" si="12"/>
        <v>0</v>
      </c>
      <c r="O139" s="25" t="s">
        <v>214</v>
      </c>
      <c r="Q139" s="94" t="s">
        <v>333</v>
      </c>
    </row>
    <row r="140" spans="1:17" x14ac:dyDescent="0.25">
      <c r="A140" s="149" t="s">
        <v>349</v>
      </c>
      <c r="C140" s="82" t="s">
        <v>350</v>
      </c>
      <c r="D140" s="135" t="s">
        <v>351</v>
      </c>
      <c r="E140" s="60"/>
      <c r="F140" s="60" t="s">
        <v>352</v>
      </c>
      <c r="G140" s="44"/>
      <c r="H140" s="44" t="s">
        <v>213</v>
      </c>
      <c r="I140" s="44" t="s">
        <v>29</v>
      </c>
      <c r="J140" s="45">
        <v>521.95000000000005</v>
      </c>
      <c r="K140" s="109">
        <f t="shared" ref="K140:K147" si="13">85/5</f>
        <v>17</v>
      </c>
      <c r="L140" s="109" t="s">
        <v>353</v>
      </c>
      <c r="M140" s="148"/>
      <c r="N140" s="47">
        <f t="shared" si="12"/>
        <v>0</v>
      </c>
      <c r="O140" s="24" t="s">
        <v>354</v>
      </c>
      <c r="P140" s="211" t="s">
        <v>355</v>
      </c>
      <c r="Q140" s="94" t="s">
        <v>333</v>
      </c>
    </row>
    <row r="141" spans="1:17" x14ac:dyDescent="0.25">
      <c r="A141" s="152" t="s">
        <v>356</v>
      </c>
      <c r="C141" s="82" t="s">
        <v>357</v>
      </c>
      <c r="D141" s="135" t="s">
        <v>358</v>
      </c>
      <c r="E141" s="60"/>
      <c r="F141" s="60" t="s">
        <v>359</v>
      </c>
      <c r="G141" s="44"/>
      <c r="H141" s="44" t="s">
        <v>213</v>
      </c>
      <c r="I141" s="44" t="s">
        <v>29</v>
      </c>
      <c r="J141" s="45">
        <v>552.54999999999995</v>
      </c>
      <c r="K141" s="109">
        <f t="shared" si="13"/>
        <v>17</v>
      </c>
      <c r="L141" s="109" t="s">
        <v>353</v>
      </c>
      <c r="M141" s="148"/>
      <c r="N141" s="47">
        <f t="shared" si="12"/>
        <v>0</v>
      </c>
      <c r="O141" s="24" t="s">
        <v>354</v>
      </c>
      <c r="P141" s="211" t="s">
        <v>355</v>
      </c>
      <c r="Q141" s="94" t="s">
        <v>333</v>
      </c>
    </row>
    <row r="142" spans="1:17" x14ac:dyDescent="0.25">
      <c r="A142" s="149" t="s">
        <v>360</v>
      </c>
      <c r="C142" s="82" t="s">
        <v>361</v>
      </c>
      <c r="D142" s="135" t="s">
        <v>362</v>
      </c>
      <c r="E142" s="60"/>
      <c r="F142" s="60" t="s">
        <v>363</v>
      </c>
      <c r="G142" s="44"/>
      <c r="H142" s="44" t="s">
        <v>213</v>
      </c>
      <c r="I142" s="44" t="s">
        <v>29</v>
      </c>
      <c r="J142" s="45">
        <v>583.16</v>
      </c>
      <c r="K142" s="109">
        <f t="shared" si="13"/>
        <v>17</v>
      </c>
      <c r="L142" s="109" t="s">
        <v>353</v>
      </c>
      <c r="M142" s="148"/>
      <c r="N142" s="47">
        <f t="shared" si="12"/>
        <v>0</v>
      </c>
      <c r="O142" s="24" t="s">
        <v>354</v>
      </c>
      <c r="P142" s="211" t="s">
        <v>355</v>
      </c>
      <c r="Q142" s="94" t="s">
        <v>333</v>
      </c>
    </row>
    <row r="143" spans="1:17" x14ac:dyDescent="0.25">
      <c r="A143" s="152" t="s">
        <v>364</v>
      </c>
      <c r="C143" s="82" t="s">
        <v>365</v>
      </c>
      <c r="D143" s="135" t="s">
        <v>366</v>
      </c>
      <c r="E143" s="60"/>
      <c r="F143" s="60" t="s">
        <v>367</v>
      </c>
      <c r="G143" s="44"/>
      <c r="H143" s="44" t="s">
        <v>213</v>
      </c>
      <c r="I143" s="44" t="s">
        <v>29</v>
      </c>
      <c r="J143" s="45">
        <v>648.98</v>
      </c>
      <c r="K143" s="109">
        <f t="shared" si="13"/>
        <v>17</v>
      </c>
      <c r="L143" s="109" t="s">
        <v>353</v>
      </c>
      <c r="M143" s="148"/>
      <c r="N143" s="47">
        <f t="shared" si="12"/>
        <v>0</v>
      </c>
      <c r="O143" s="24" t="s">
        <v>354</v>
      </c>
      <c r="P143" s="211" t="s">
        <v>355</v>
      </c>
      <c r="Q143" s="94" t="s">
        <v>333</v>
      </c>
    </row>
    <row r="144" spans="1:17" x14ac:dyDescent="0.25">
      <c r="A144" s="149" t="s">
        <v>368</v>
      </c>
      <c r="C144" s="82" t="s">
        <v>369</v>
      </c>
      <c r="D144" s="135" t="s">
        <v>370</v>
      </c>
      <c r="E144" s="60"/>
      <c r="F144" s="60" t="s">
        <v>371</v>
      </c>
      <c r="G144" s="44"/>
      <c r="H144" s="44" t="s">
        <v>213</v>
      </c>
      <c r="I144" s="44" t="s">
        <v>29</v>
      </c>
      <c r="J144" s="45">
        <v>703.12</v>
      </c>
      <c r="K144" s="109">
        <f t="shared" si="13"/>
        <v>17</v>
      </c>
      <c r="L144" s="109" t="s">
        <v>353</v>
      </c>
      <c r="M144" s="148"/>
      <c r="N144" s="47">
        <f t="shared" si="12"/>
        <v>0</v>
      </c>
      <c r="O144" s="24" t="s">
        <v>354</v>
      </c>
      <c r="P144" s="211" t="s">
        <v>355</v>
      </c>
      <c r="Q144" s="94" t="s">
        <v>333</v>
      </c>
    </row>
    <row r="145" spans="1:17" x14ac:dyDescent="0.25">
      <c r="A145" s="152" t="s">
        <v>372</v>
      </c>
      <c r="C145" s="82" t="s">
        <v>373</v>
      </c>
      <c r="D145" s="135" t="s">
        <v>374</v>
      </c>
      <c r="E145" s="60"/>
      <c r="F145" s="60" t="s">
        <v>375</v>
      </c>
      <c r="G145" s="44"/>
      <c r="H145" s="44" t="s">
        <v>213</v>
      </c>
      <c r="I145" s="44" t="s">
        <v>29</v>
      </c>
      <c r="J145" s="45">
        <v>790.22</v>
      </c>
      <c r="K145" s="109">
        <f t="shared" si="13"/>
        <v>17</v>
      </c>
      <c r="L145" s="109" t="s">
        <v>353</v>
      </c>
      <c r="M145" s="148"/>
      <c r="N145" s="47">
        <f t="shared" si="12"/>
        <v>0</v>
      </c>
      <c r="O145" s="24" t="s">
        <v>354</v>
      </c>
      <c r="P145" s="211" t="s">
        <v>355</v>
      </c>
      <c r="Q145" s="94" t="s">
        <v>333</v>
      </c>
    </row>
    <row r="146" spans="1:17" x14ac:dyDescent="0.25">
      <c r="A146" s="152" t="s">
        <v>376</v>
      </c>
      <c r="C146" s="82" t="s">
        <v>377</v>
      </c>
      <c r="D146" s="135" t="s">
        <v>378</v>
      </c>
      <c r="E146" s="60"/>
      <c r="F146" s="60" t="s">
        <v>379</v>
      </c>
      <c r="G146" s="44"/>
      <c r="H146" s="44" t="s">
        <v>213</v>
      </c>
      <c r="I146" s="44" t="s">
        <v>29</v>
      </c>
      <c r="J146" s="45">
        <v>926.66</v>
      </c>
      <c r="K146" s="109">
        <f t="shared" si="13"/>
        <v>17</v>
      </c>
      <c r="L146" s="109" t="s">
        <v>353</v>
      </c>
      <c r="M146" s="148"/>
      <c r="N146" s="47">
        <f t="shared" si="12"/>
        <v>0</v>
      </c>
      <c r="O146" s="24" t="s">
        <v>354</v>
      </c>
      <c r="P146" s="211" t="s">
        <v>355</v>
      </c>
      <c r="Q146" s="94" t="s">
        <v>333</v>
      </c>
    </row>
    <row r="147" spans="1:17" x14ac:dyDescent="0.25">
      <c r="A147" s="149" t="s">
        <v>380</v>
      </c>
      <c r="C147" s="82" t="s">
        <v>381</v>
      </c>
      <c r="D147" s="135" t="s">
        <v>382</v>
      </c>
      <c r="E147" s="60"/>
      <c r="F147" s="60" t="s">
        <v>383</v>
      </c>
      <c r="G147" s="44"/>
      <c r="H147" s="44" t="s">
        <v>213</v>
      </c>
      <c r="I147" s="44" t="s">
        <v>29</v>
      </c>
      <c r="J147" s="45">
        <v>1100.8699999999999</v>
      </c>
      <c r="K147" s="109">
        <f t="shared" si="13"/>
        <v>17</v>
      </c>
      <c r="L147" s="109" t="s">
        <v>353</v>
      </c>
      <c r="M147" s="148"/>
      <c r="N147" s="47">
        <f t="shared" si="12"/>
        <v>0</v>
      </c>
      <c r="O147" s="24" t="s">
        <v>354</v>
      </c>
      <c r="P147" s="211" t="s">
        <v>355</v>
      </c>
      <c r="Q147" s="94" t="s">
        <v>333</v>
      </c>
    </row>
    <row r="148" spans="1:17" x14ac:dyDescent="0.25">
      <c r="C148" s="42" t="s">
        <v>384</v>
      </c>
      <c r="D148" s="142" t="s">
        <v>385</v>
      </c>
      <c r="E148" s="42"/>
      <c r="F148" s="178" t="s">
        <v>386</v>
      </c>
      <c r="G148" s="44"/>
      <c r="H148" s="44" t="s">
        <v>213</v>
      </c>
      <c r="I148" s="44" t="s">
        <v>29</v>
      </c>
      <c r="J148" s="45">
        <v>148.85</v>
      </c>
      <c r="K148" s="109">
        <f>15/5</f>
        <v>3</v>
      </c>
      <c r="L148" s="109" t="s">
        <v>353</v>
      </c>
      <c r="M148" s="83">
        <v>5</v>
      </c>
      <c r="N148" s="47">
        <f t="shared" si="12"/>
        <v>744.25</v>
      </c>
      <c r="O148" s="24" t="s">
        <v>354</v>
      </c>
      <c r="P148" s="211" t="s">
        <v>355</v>
      </c>
      <c r="Q148" s="94" t="s">
        <v>333</v>
      </c>
    </row>
    <row r="149" spans="1:17" x14ac:dyDescent="0.25">
      <c r="C149" s="42" t="s">
        <v>387</v>
      </c>
      <c r="D149" s="142" t="s">
        <v>388</v>
      </c>
      <c r="E149" s="42"/>
      <c r="F149" s="179" t="s">
        <v>389</v>
      </c>
      <c r="G149" s="44"/>
      <c r="H149" s="44" t="s">
        <v>213</v>
      </c>
      <c r="I149" s="44" t="s">
        <v>29</v>
      </c>
      <c r="J149" s="45">
        <v>192.63</v>
      </c>
      <c r="K149" s="109">
        <f>15/5</f>
        <v>3</v>
      </c>
      <c r="L149" s="109" t="s">
        <v>353</v>
      </c>
      <c r="M149" s="83">
        <v>3</v>
      </c>
      <c r="N149" s="47">
        <f t="shared" si="12"/>
        <v>577.89</v>
      </c>
      <c r="O149" s="24" t="s">
        <v>354</v>
      </c>
      <c r="P149" s="211" t="s">
        <v>355</v>
      </c>
      <c r="Q149" s="94" t="s">
        <v>333</v>
      </c>
    </row>
    <row r="150" spans="1:17" x14ac:dyDescent="0.25">
      <c r="C150" s="42" t="s">
        <v>390</v>
      </c>
      <c r="D150" s="142" t="s">
        <v>391</v>
      </c>
      <c r="E150" s="42"/>
      <c r="F150" s="178" t="s">
        <v>392</v>
      </c>
      <c r="G150" s="44"/>
      <c r="H150" s="44" t="s">
        <v>213</v>
      </c>
      <c r="I150" s="44" t="s">
        <v>29</v>
      </c>
      <c r="J150" s="45">
        <v>160.79</v>
      </c>
      <c r="K150" s="109">
        <f>15/5</f>
        <v>3</v>
      </c>
      <c r="L150" s="109" t="s">
        <v>353</v>
      </c>
      <c r="M150" s="83">
        <v>2</v>
      </c>
      <c r="N150" s="47">
        <f t="shared" si="12"/>
        <v>321.58</v>
      </c>
      <c r="O150" s="24" t="s">
        <v>354</v>
      </c>
      <c r="P150" s="211" t="s">
        <v>355</v>
      </c>
      <c r="Q150" s="94" t="s">
        <v>333</v>
      </c>
    </row>
    <row r="151" spans="1:17" x14ac:dyDescent="0.25">
      <c r="C151" s="42" t="s">
        <v>393</v>
      </c>
      <c r="D151" s="142" t="s">
        <v>388</v>
      </c>
      <c r="E151" s="42"/>
      <c r="F151" s="178" t="s">
        <v>394</v>
      </c>
      <c r="G151" s="44"/>
      <c r="H151" s="44" t="s">
        <v>213</v>
      </c>
      <c r="I151" s="44" t="s">
        <v>29</v>
      </c>
      <c r="J151" s="45">
        <v>212.52999999999997</v>
      </c>
      <c r="K151" s="109">
        <f>85/5</f>
        <v>17</v>
      </c>
      <c r="L151" s="109" t="s">
        <v>353</v>
      </c>
      <c r="M151" s="83">
        <v>0</v>
      </c>
      <c r="N151" s="47">
        <f t="shared" si="12"/>
        <v>0</v>
      </c>
      <c r="O151" s="24" t="s">
        <v>354</v>
      </c>
      <c r="P151" s="211" t="s">
        <v>355</v>
      </c>
      <c r="Q151" s="94" t="s">
        <v>333</v>
      </c>
    </row>
    <row r="152" spans="1:17" x14ac:dyDescent="0.25">
      <c r="C152" s="42"/>
      <c r="D152" s="128"/>
      <c r="E152" s="50"/>
      <c r="F152" s="50"/>
      <c r="G152" s="44"/>
      <c r="H152" s="44"/>
      <c r="I152" s="44"/>
      <c r="J152" s="51"/>
      <c r="K152" s="106"/>
      <c r="L152" s="106"/>
      <c r="M152" s="46"/>
      <c r="N152" s="47"/>
      <c r="O152" s="52"/>
    </row>
    <row r="153" spans="1:17" x14ac:dyDescent="0.25">
      <c r="C153" s="36" t="s">
        <v>395</v>
      </c>
      <c r="D153" s="129"/>
      <c r="E153" s="37"/>
      <c r="F153" s="37"/>
      <c r="G153" s="38"/>
      <c r="H153" s="38"/>
      <c r="I153" s="38"/>
      <c r="J153" s="39"/>
      <c r="K153" s="104"/>
      <c r="L153" s="104"/>
      <c r="M153" s="40"/>
      <c r="N153" s="47"/>
      <c r="O153" s="52"/>
    </row>
    <row r="154" spans="1:17" x14ac:dyDescent="0.25">
      <c r="C154" s="157" t="s">
        <v>396</v>
      </c>
      <c r="D154" s="141"/>
      <c r="E154" s="76"/>
      <c r="F154" s="76"/>
      <c r="G154" s="38"/>
      <c r="H154" s="44"/>
      <c r="I154" s="44"/>
      <c r="J154" s="51"/>
      <c r="K154" s="106"/>
      <c r="L154" s="106"/>
      <c r="M154" s="46"/>
      <c r="N154" s="47"/>
      <c r="O154" s="15">
        <f>SUM(N155:N160)</f>
        <v>0</v>
      </c>
    </row>
    <row r="155" spans="1:17" x14ac:dyDescent="0.25">
      <c r="A155" s="149" t="s">
        <v>397</v>
      </c>
      <c r="C155" s="61" t="s">
        <v>398</v>
      </c>
      <c r="D155" s="145" t="s">
        <v>399</v>
      </c>
      <c r="E155" s="60"/>
      <c r="F155" s="76"/>
      <c r="G155" s="44" t="s">
        <v>400</v>
      </c>
      <c r="H155" s="44" t="s">
        <v>213</v>
      </c>
      <c r="I155" s="44" t="s">
        <v>29</v>
      </c>
      <c r="J155" s="45">
        <v>368.9</v>
      </c>
      <c r="K155" s="109">
        <v>1</v>
      </c>
      <c r="L155" s="115" t="s">
        <v>90</v>
      </c>
      <c r="M155" s="46"/>
      <c r="N155" s="47">
        <f t="shared" ref="N155:N160" si="14">J155*M155</f>
        <v>0</v>
      </c>
      <c r="O155" s="25" t="s">
        <v>214</v>
      </c>
      <c r="P155" s="211" t="s">
        <v>401</v>
      </c>
      <c r="Q155" s="94" t="s">
        <v>402</v>
      </c>
    </row>
    <row r="156" spans="1:17" x14ac:dyDescent="0.25">
      <c r="C156" s="156" t="s">
        <v>403</v>
      </c>
      <c r="D156" s="145" t="s">
        <v>404</v>
      </c>
      <c r="E156" s="179" t="s">
        <v>405</v>
      </c>
      <c r="F156" s="42"/>
      <c r="G156" s="48" t="s">
        <v>406</v>
      </c>
      <c r="H156" s="44" t="s">
        <v>213</v>
      </c>
      <c r="I156" s="44" t="s">
        <v>29</v>
      </c>
      <c r="J156" s="45">
        <v>533.20000000000005</v>
      </c>
      <c r="K156" s="109">
        <v>8</v>
      </c>
      <c r="L156" s="115" t="s">
        <v>90</v>
      </c>
      <c r="M156" s="46">
        <f>M155</f>
        <v>0</v>
      </c>
      <c r="N156" s="47">
        <f t="shared" si="14"/>
        <v>0</v>
      </c>
      <c r="O156" s="25" t="s">
        <v>407</v>
      </c>
      <c r="P156" s="211" t="s">
        <v>401</v>
      </c>
      <c r="Q156" s="94" t="s">
        <v>402</v>
      </c>
    </row>
    <row r="157" spans="1:17" x14ac:dyDescent="0.25">
      <c r="C157" s="61" t="s">
        <v>408</v>
      </c>
      <c r="D157" s="135" t="s">
        <v>409</v>
      </c>
      <c r="E157" s="63"/>
      <c r="F157" s="84"/>
      <c r="G157" s="44" t="s">
        <v>410</v>
      </c>
      <c r="H157" s="44" t="s">
        <v>213</v>
      </c>
      <c r="I157" s="44" t="s">
        <v>29</v>
      </c>
      <c r="J157" s="45">
        <v>103.54</v>
      </c>
      <c r="K157" s="109">
        <v>1</v>
      </c>
      <c r="L157" s="115" t="s">
        <v>90</v>
      </c>
      <c r="M157" s="46">
        <f>M155</f>
        <v>0</v>
      </c>
      <c r="N157" s="47">
        <f t="shared" si="14"/>
        <v>0</v>
      </c>
      <c r="O157" s="25" t="s">
        <v>214</v>
      </c>
      <c r="P157" s="211" t="s">
        <v>401</v>
      </c>
      <c r="Q157" s="94" t="s">
        <v>402</v>
      </c>
    </row>
    <row r="158" spans="1:17" x14ac:dyDescent="0.25">
      <c r="A158" s="149" t="s">
        <v>411</v>
      </c>
      <c r="C158" s="61" t="s">
        <v>412</v>
      </c>
      <c r="D158" s="135" t="s">
        <v>413</v>
      </c>
      <c r="E158" s="63"/>
      <c r="F158" s="84"/>
      <c r="G158" s="44" t="s">
        <v>414</v>
      </c>
      <c r="H158" s="44" t="s">
        <v>213</v>
      </c>
      <c r="I158" s="44" t="s">
        <v>29</v>
      </c>
      <c r="J158" s="45">
        <v>5.8</v>
      </c>
      <c r="K158" s="109">
        <v>1</v>
      </c>
      <c r="L158" s="115" t="s">
        <v>90</v>
      </c>
      <c r="M158" s="46"/>
      <c r="N158" s="47">
        <f t="shared" si="14"/>
        <v>0</v>
      </c>
      <c r="O158" s="52" t="s">
        <v>415</v>
      </c>
      <c r="P158" s="26" t="s">
        <v>416</v>
      </c>
      <c r="Q158" s="94" t="s">
        <v>402</v>
      </c>
    </row>
    <row r="159" spans="1:17" x14ac:dyDescent="0.25">
      <c r="C159" s="61" t="s">
        <v>417</v>
      </c>
      <c r="D159" s="135" t="s">
        <v>418</v>
      </c>
      <c r="E159" s="63"/>
      <c r="F159" s="63"/>
      <c r="G159" s="44" t="s">
        <v>419</v>
      </c>
      <c r="H159" s="44" t="s">
        <v>213</v>
      </c>
      <c r="I159" s="44" t="s">
        <v>29</v>
      </c>
      <c r="J159" s="45">
        <v>1.99</v>
      </c>
      <c r="K159" s="109">
        <v>1</v>
      </c>
      <c r="L159" s="115" t="s">
        <v>90</v>
      </c>
      <c r="M159" s="46">
        <v>0</v>
      </c>
      <c r="N159" s="47">
        <f t="shared" si="14"/>
        <v>0</v>
      </c>
      <c r="O159" s="52" t="s">
        <v>415</v>
      </c>
      <c r="P159" s="26" t="s">
        <v>416</v>
      </c>
      <c r="Q159" s="94" t="s">
        <v>402</v>
      </c>
    </row>
    <row r="160" spans="1:17" x14ac:dyDescent="0.25">
      <c r="C160" s="61" t="s">
        <v>420</v>
      </c>
      <c r="D160" s="135" t="s">
        <v>421</v>
      </c>
      <c r="E160" s="63"/>
      <c r="F160" s="63"/>
      <c r="G160" s="44" t="s">
        <v>422</v>
      </c>
      <c r="H160" s="44" t="s">
        <v>213</v>
      </c>
      <c r="I160" s="44" t="s">
        <v>29</v>
      </c>
      <c r="J160" s="45">
        <v>1.95</v>
      </c>
      <c r="K160" s="109">
        <v>1</v>
      </c>
      <c r="L160" s="115" t="s">
        <v>90</v>
      </c>
      <c r="M160" s="46">
        <v>0</v>
      </c>
      <c r="N160" s="47">
        <f t="shared" si="14"/>
        <v>0</v>
      </c>
      <c r="O160" s="52" t="s">
        <v>415</v>
      </c>
      <c r="P160" s="26" t="s">
        <v>416</v>
      </c>
      <c r="Q160" s="94" t="s">
        <v>402</v>
      </c>
    </row>
    <row r="161" spans="1:17" x14ac:dyDescent="0.25">
      <c r="C161" s="36" t="s">
        <v>423</v>
      </c>
      <c r="D161" s="128"/>
      <c r="E161" s="50"/>
      <c r="F161" s="50"/>
      <c r="G161" s="44"/>
      <c r="H161" s="44"/>
      <c r="I161" s="44"/>
      <c r="J161" s="47"/>
      <c r="K161" s="110"/>
      <c r="L161" s="110"/>
      <c r="M161" s="46"/>
      <c r="N161" s="47"/>
      <c r="O161" s="15">
        <f>SUM(N162)</f>
        <v>0</v>
      </c>
    </row>
    <row r="162" spans="1:17" x14ac:dyDescent="0.25">
      <c r="A162" s="149" t="s">
        <v>424</v>
      </c>
      <c r="C162" s="61" t="s">
        <v>425</v>
      </c>
      <c r="D162" s="43" t="s">
        <v>426</v>
      </c>
      <c r="E162" s="50"/>
      <c r="F162" s="78" t="s">
        <v>427</v>
      </c>
      <c r="G162" s="44">
        <v>6054538</v>
      </c>
      <c r="H162" s="44" t="s">
        <v>282</v>
      </c>
      <c r="I162" s="44" t="s">
        <v>283</v>
      </c>
      <c r="J162" s="49">
        <v>105.4</v>
      </c>
      <c r="K162" s="105"/>
      <c r="L162" s="105"/>
      <c r="M162" s="46"/>
      <c r="N162" s="47">
        <f>J162*M162</f>
        <v>0</v>
      </c>
      <c r="O162" s="24"/>
      <c r="P162" s="26" t="s">
        <v>428</v>
      </c>
    </row>
    <row r="163" spans="1:17" x14ac:dyDescent="0.25">
      <c r="C163" s="36" t="s">
        <v>429</v>
      </c>
      <c r="D163" s="128"/>
      <c r="E163" s="50"/>
      <c r="F163" s="50"/>
      <c r="G163" s="44"/>
      <c r="H163" s="44"/>
      <c r="I163" s="44"/>
      <c r="J163" s="47"/>
      <c r="K163" s="110"/>
      <c r="L163" s="110"/>
      <c r="M163" s="46"/>
      <c r="N163" s="47"/>
      <c r="O163" s="15">
        <f>SUM(N164:N171)</f>
        <v>0</v>
      </c>
    </row>
    <row r="164" spans="1:17" x14ac:dyDescent="0.25">
      <c r="A164" s="154" t="s">
        <v>430</v>
      </c>
      <c r="C164" s="61" t="s">
        <v>431</v>
      </c>
      <c r="D164" s="43" t="s">
        <v>432</v>
      </c>
      <c r="E164" s="50"/>
      <c r="F164" s="60" t="s">
        <v>433</v>
      </c>
      <c r="G164" s="44">
        <v>1075909</v>
      </c>
      <c r="H164" s="44" t="s">
        <v>282</v>
      </c>
      <c r="I164" s="44" t="s">
        <v>283</v>
      </c>
      <c r="J164" s="49">
        <v>16120</v>
      </c>
      <c r="K164" s="105"/>
      <c r="L164" s="105"/>
      <c r="M164" s="46"/>
      <c r="N164" s="47">
        <f t="shared" ref="N164:N171" si="15">J164*M164</f>
        <v>0</v>
      </c>
      <c r="O164" s="24" t="s">
        <v>434</v>
      </c>
      <c r="P164" s="26" t="s">
        <v>435</v>
      </c>
      <c r="Q164" s="94" t="s">
        <v>436</v>
      </c>
    </row>
    <row r="165" spans="1:17" x14ac:dyDescent="0.25">
      <c r="A165" s="174" t="s">
        <v>437</v>
      </c>
      <c r="C165" s="61" t="s">
        <v>438</v>
      </c>
      <c r="D165" s="43" t="s">
        <v>439</v>
      </c>
      <c r="E165" s="50"/>
      <c r="F165" s="60" t="s">
        <v>440</v>
      </c>
      <c r="G165" s="44">
        <v>1095308</v>
      </c>
      <c r="H165" s="44" t="s">
        <v>282</v>
      </c>
      <c r="I165" s="44" t="s">
        <v>283</v>
      </c>
      <c r="J165" s="49">
        <v>19972.8</v>
      </c>
      <c r="K165" s="105"/>
      <c r="L165" s="105"/>
      <c r="M165" s="46"/>
      <c r="N165" s="47">
        <f t="shared" si="15"/>
        <v>0</v>
      </c>
      <c r="O165" s="24" t="s">
        <v>434</v>
      </c>
      <c r="P165" s="26" t="s">
        <v>441</v>
      </c>
      <c r="Q165" s="120" t="s">
        <v>442</v>
      </c>
    </row>
    <row r="166" spans="1:17" x14ac:dyDescent="0.25">
      <c r="A166" s="154" t="s">
        <v>443</v>
      </c>
      <c r="C166" s="61" t="s">
        <v>444</v>
      </c>
      <c r="D166" s="135" t="s">
        <v>445</v>
      </c>
      <c r="E166" s="50"/>
      <c r="F166" s="60" t="s">
        <v>446</v>
      </c>
      <c r="G166" s="44">
        <v>1073413</v>
      </c>
      <c r="H166" s="44" t="s">
        <v>282</v>
      </c>
      <c r="I166" s="44" t="s">
        <v>283</v>
      </c>
      <c r="J166" s="49">
        <v>35020</v>
      </c>
      <c r="K166" s="105"/>
      <c r="L166" s="105"/>
      <c r="M166" s="46"/>
      <c r="N166" s="47">
        <f t="shared" si="15"/>
        <v>0</v>
      </c>
      <c r="O166" s="24" t="s">
        <v>434</v>
      </c>
      <c r="P166" s="26" t="s">
        <v>447</v>
      </c>
      <c r="Q166" s="94" t="s">
        <v>448</v>
      </c>
    </row>
    <row r="167" spans="1:17" x14ac:dyDescent="0.25">
      <c r="A167" s="155" t="s">
        <v>449</v>
      </c>
      <c r="C167" s="61" t="s">
        <v>450</v>
      </c>
      <c r="D167" s="135" t="s">
        <v>451</v>
      </c>
      <c r="E167" s="50"/>
      <c r="F167" s="60" t="s">
        <v>452</v>
      </c>
      <c r="G167" s="44">
        <v>1094307</v>
      </c>
      <c r="H167" s="44" t="s">
        <v>282</v>
      </c>
      <c r="I167" s="44" t="s">
        <v>283</v>
      </c>
      <c r="J167" s="49">
        <v>38000</v>
      </c>
      <c r="K167" s="105"/>
      <c r="L167" s="105"/>
      <c r="M167" s="46"/>
      <c r="N167" s="47">
        <f t="shared" si="15"/>
        <v>0</v>
      </c>
      <c r="O167" s="24" t="s">
        <v>434</v>
      </c>
      <c r="P167" s="26" t="s">
        <v>453</v>
      </c>
      <c r="Q167" s="121" t="s">
        <v>454</v>
      </c>
    </row>
    <row r="168" spans="1:17" x14ac:dyDescent="0.25">
      <c r="A168" s="154" t="s">
        <v>455</v>
      </c>
      <c r="C168" s="61" t="s">
        <v>456</v>
      </c>
      <c r="D168" s="43" t="s">
        <v>457</v>
      </c>
      <c r="E168" s="50"/>
      <c r="F168" s="60" t="s">
        <v>452</v>
      </c>
      <c r="G168" s="44">
        <v>1094870</v>
      </c>
      <c r="H168" s="44" t="s">
        <v>282</v>
      </c>
      <c r="I168" s="44" t="s">
        <v>283</v>
      </c>
      <c r="J168" s="49">
        <v>36750</v>
      </c>
      <c r="K168" s="105"/>
      <c r="L168" s="105"/>
      <c r="M168" s="46"/>
      <c r="N168" s="47">
        <f t="shared" si="15"/>
        <v>0</v>
      </c>
      <c r="O168" s="24" t="s">
        <v>434</v>
      </c>
      <c r="P168" s="26" t="s">
        <v>458</v>
      </c>
      <c r="Q168" s="121" t="s">
        <v>459</v>
      </c>
    </row>
    <row r="169" spans="1:17" x14ac:dyDescent="0.25">
      <c r="A169" s="155" t="s">
        <v>460</v>
      </c>
      <c r="C169" s="61" t="s">
        <v>461</v>
      </c>
      <c r="D169" s="43"/>
      <c r="E169" s="50"/>
      <c r="F169" s="60" t="s">
        <v>462</v>
      </c>
      <c r="G169" s="44" t="s">
        <v>463</v>
      </c>
      <c r="H169" s="44" t="s">
        <v>282</v>
      </c>
      <c r="I169" s="44" t="s">
        <v>283</v>
      </c>
      <c r="J169" s="49">
        <v>52750</v>
      </c>
      <c r="K169" s="105"/>
      <c r="L169" s="105"/>
      <c r="M169" s="46"/>
      <c r="N169" s="47">
        <f t="shared" si="15"/>
        <v>0</v>
      </c>
      <c r="O169" s="24" t="s">
        <v>434</v>
      </c>
      <c r="P169" s="26" t="s">
        <v>464</v>
      </c>
      <c r="Q169" s="94" t="s">
        <v>465</v>
      </c>
    </row>
    <row r="170" spans="1:17" x14ac:dyDescent="0.25">
      <c r="A170" s="154" t="s">
        <v>466</v>
      </c>
      <c r="C170" s="61" t="s">
        <v>467</v>
      </c>
      <c r="D170" s="143"/>
      <c r="E170" s="50"/>
      <c r="F170" s="26"/>
      <c r="G170" s="44"/>
      <c r="H170" s="44" t="s">
        <v>282</v>
      </c>
      <c r="I170" s="44" t="s">
        <v>283</v>
      </c>
      <c r="J170" s="49">
        <f>(1500+500)+(3800+500)</f>
        <v>6300</v>
      </c>
      <c r="K170" s="105"/>
      <c r="L170" s="105"/>
      <c r="M170" s="46"/>
      <c r="N170" s="47">
        <f t="shared" si="15"/>
        <v>0</v>
      </c>
      <c r="O170" s="24" t="s">
        <v>434</v>
      </c>
      <c r="P170" s="26" t="s">
        <v>468</v>
      </c>
      <c r="Q170" s="94" t="s">
        <v>469</v>
      </c>
    </row>
    <row r="171" spans="1:17" x14ac:dyDescent="0.25">
      <c r="C171" s="61" t="s">
        <v>470</v>
      </c>
      <c r="D171" s="135" t="s">
        <v>471</v>
      </c>
      <c r="E171" s="50"/>
      <c r="F171" s="78" t="s">
        <v>472</v>
      </c>
      <c r="G171" s="44"/>
      <c r="H171" s="44" t="s">
        <v>282</v>
      </c>
      <c r="I171" s="44" t="s">
        <v>283</v>
      </c>
      <c r="J171" s="49">
        <v>550</v>
      </c>
      <c r="K171" s="105"/>
      <c r="L171" s="105"/>
      <c r="M171" s="83">
        <v>0</v>
      </c>
      <c r="N171" s="47">
        <f t="shared" si="15"/>
        <v>0</v>
      </c>
      <c r="O171" s="24" t="s">
        <v>434</v>
      </c>
      <c r="P171" s="26" t="s">
        <v>473</v>
      </c>
      <c r="Q171" s="121" t="s">
        <v>474</v>
      </c>
    </row>
    <row r="172" spans="1:17" x14ac:dyDescent="0.25">
      <c r="C172" s="36" t="s">
        <v>475</v>
      </c>
      <c r="D172" s="128"/>
      <c r="E172" s="50"/>
      <c r="F172" s="50"/>
      <c r="G172" s="44"/>
      <c r="H172" s="44"/>
      <c r="I172" s="44"/>
      <c r="J172" s="47"/>
      <c r="K172" s="110"/>
      <c r="L172" s="110"/>
      <c r="M172" s="46"/>
      <c r="N172" s="47"/>
      <c r="O172" s="15">
        <f>SUM(N173:N174)</f>
        <v>0</v>
      </c>
    </row>
    <row r="173" spans="1:17" x14ac:dyDescent="0.25">
      <c r="A173" s="149" t="s">
        <v>476</v>
      </c>
      <c r="C173" s="61" t="s">
        <v>477</v>
      </c>
      <c r="D173" s="135" t="s">
        <v>478</v>
      </c>
      <c r="E173" s="50"/>
      <c r="F173" s="60" t="s">
        <v>476</v>
      </c>
      <c r="G173" s="44">
        <v>1080169</v>
      </c>
      <c r="H173" s="44" t="s">
        <v>282</v>
      </c>
      <c r="I173" s="44" t="s">
        <v>283</v>
      </c>
      <c r="J173" s="49">
        <v>13080</v>
      </c>
      <c r="K173" s="105"/>
      <c r="L173" s="105"/>
      <c r="M173" s="46"/>
      <c r="N173" s="47">
        <f>J173*M173</f>
        <v>0</v>
      </c>
      <c r="O173" s="24" t="s">
        <v>434</v>
      </c>
      <c r="P173" s="26" t="s">
        <v>479</v>
      </c>
      <c r="Q173" s="94" t="s">
        <v>480</v>
      </c>
    </row>
    <row r="174" spans="1:17" x14ac:dyDescent="0.25">
      <c r="C174" s="42"/>
      <c r="D174" s="128"/>
      <c r="E174" s="50"/>
      <c r="F174" s="50"/>
      <c r="G174" s="44"/>
      <c r="H174" s="44"/>
      <c r="I174" s="44"/>
      <c r="J174" s="51"/>
      <c r="K174" s="106"/>
      <c r="L174" s="106"/>
      <c r="M174" s="46"/>
      <c r="N174" s="47"/>
      <c r="O174" s="52"/>
    </row>
    <row r="175" spans="1:17" x14ac:dyDescent="0.25">
      <c r="C175" s="36" t="s">
        <v>481</v>
      </c>
      <c r="D175" s="129"/>
      <c r="E175" s="37"/>
      <c r="F175" s="37"/>
      <c r="G175" s="86"/>
      <c r="H175" s="86"/>
      <c r="I175" s="86"/>
      <c r="J175" s="51"/>
      <c r="K175" s="106"/>
      <c r="L175" s="106"/>
      <c r="M175" s="52"/>
      <c r="N175" s="47"/>
      <c r="O175" s="15">
        <f>SUM(N176:N191)</f>
        <v>0</v>
      </c>
      <c r="Q175" s="30"/>
    </row>
    <row r="176" spans="1:17" x14ac:dyDescent="0.25">
      <c r="C176" s="53" t="s">
        <v>482</v>
      </c>
      <c r="D176" s="95" t="s">
        <v>483</v>
      </c>
      <c r="E176" s="50"/>
      <c r="F176" s="50"/>
      <c r="G176" s="180" t="s">
        <v>484</v>
      </c>
      <c r="H176" s="53" t="s">
        <v>485</v>
      </c>
      <c r="I176" s="44" t="s">
        <v>29</v>
      </c>
      <c r="J176" s="45">
        <f>27.28*1.1</f>
        <v>30.008000000000003</v>
      </c>
      <c r="K176" s="109">
        <v>17</v>
      </c>
      <c r="L176" s="109" t="s">
        <v>353</v>
      </c>
      <c r="M176" s="46">
        <f>SUM(M25:M37)-M32-M34+M45+SUM(M136:M147)</f>
        <v>0</v>
      </c>
      <c r="N176" s="47">
        <f t="shared" ref="N176:N191" si="16">J176*M176</f>
        <v>0</v>
      </c>
      <c r="O176" s="16" t="s">
        <v>486</v>
      </c>
      <c r="P176" s="211" t="s">
        <v>355</v>
      </c>
      <c r="Q176" s="94" t="s">
        <v>487</v>
      </c>
    </row>
    <row r="177" spans="3:17" x14ac:dyDescent="0.25">
      <c r="C177" s="53" t="s">
        <v>488</v>
      </c>
      <c r="D177" s="181" t="s">
        <v>489</v>
      </c>
      <c r="E177" s="179" t="s">
        <v>490</v>
      </c>
      <c r="F177" s="182"/>
      <c r="G177" s="175" t="s">
        <v>491</v>
      </c>
      <c r="H177" s="53" t="s">
        <v>485</v>
      </c>
      <c r="I177" s="44" t="s">
        <v>29</v>
      </c>
      <c r="J177" s="45">
        <f>52.89*1.1</f>
        <v>58.179000000000002</v>
      </c>
      <c r="K177" s="109">
        <f>90/5</f>
        <v>18</v>
      </c>
      <c r="L177" s="109" t="s">
        <v>353</v>
      </c>
      <c r="M177" s="46">
        <f>ROUNDUP(SUM(M136:M147)*0.4,0)</f>
        <v>0</v>
      </c>
      <c r="N177" s="47">
        <f t="shared" si="16"/>
        <v>0</v>
      </c>
      <c r="O177" s="16" t="s">
        <v>492</v>
      </c>
      <c r="P177" s="211" t="s">
        <v>493</v>
      </c>
      <c r="Q177" s="94" t="s">
        <v>494</v>
      </c>
    </row>
    <row r="178" spans="3:17" x14ac:dyDescent="0.25">
      <c r="C178" s="53" t="s">
        <v>495</v>
      </c>
      <c r="D178" s="181" t="s">
        <v>496</v>
      </c>
      <c r="E178" s="179" t="s">
        <v>497</v>
      </c>
      <c r="F178" s="182"/>
      <c r="G178" s="175" t="s">
        <v>498</v>
      </c>
      <c r="H178" s="53" t="s">
        <v>485</v>
      </c>
      <c r="I178" s="44" t="s">
        <v>29</v>
      </c>
      <c r="J178" s="45">
        <f>60.7214*1.1</f>
        <v>66.793540000000007</v>
      </c>
      <c r="K178" s="109">
        <f>90/5</f>
        <v>18</v>
      </c>
      <c r="L178" s="109" t="s">
        <v>353</v>
      </c>
      <c r="M178" s="46">
        <f>ROUNDUP(SUM(M136:M147)*0.4,0)</f>
        <v>0</v>
      </c>
      <c r="N178" s="47">
        <f t="shared" si="16"/>
        <v>0</v>
      </c>
      <c r="O178" s="16" t="s">
        <v>499</v>
      </c>
      <c r="P178" s="211" t="s">
        <v>493</v>
      </c>
      <c r="Q178" s="94" t="s">
        <v>494</v>
      </c>
    </row>
    <row r="179" spans="3:17" x14ac:dyDescent="0.25">
      <c r="C179" s="53" t="s">
        <v>500</v>
      </c>
      <c r="D179" s="181" t="s">
        <v>501</v>
      </c>
      <c r="E179" s="179" t="s">
        <v>502</v>
      </c>
      <c r="F179" s="182"/>
      <c r="G179" s="175" t="s">
        <v>503</v>
      </c>
      <c r="H179" s="53" t="s">
        <v>485</v>
      </c>
      <c r="I179" s="44" t="s">
        <v>29</v>
      </c>
      <c r="J179" s="45">
        <f>72.011*1.1</f>
        <v>79.212100000000007</v>
      </c>
      <c r="K179" s="109">
        <f>90/5</f>
        <v>18</v>
      </c>
      <c r="L179" s="109" t="s">
        <v>353</v>
      </c>
      <c r="M179" s="46">
        <f>SUM(M136:M147)-(M177+M178)</f>
        <v>0</v>
      </c>
      <c r="N179" s="47">
        <f t="shared" si="16"/>
        <v>0</v>
      </c>
      <c r="O179" s="16" t="s">
        <v>504</v>
      </c>
      <c r="P179" s="211" t="s">
        <v>493</v>
      </c>
      <c r="Q179" s="94" t="s">
        <v>494</v>
      </c>
    </row>
    <row r="180" spans="3:17" x14ac:dyDescent="0.25">
      <c r="C180" s="53" t="s">
        <v>505</v>
      </c>
      <c r="D180" s="181" t="s">
        <v>506</v>
      </c>
      <c r="E180" s="179" t="s">
        <v>507</v>
      </c>
      <c r="F180" s="182"/>
      <c r="G180" s="175" t="s">
        <v>508</v>
      </c>
      <c r="H180" s="53" t="s">
        <v>485</v>
      </c>
      <c r="I180" s="44" t="s">
        <v>29</v>
      </c>
      <c r="J180" s="49">
        <v>50</v>
      </c>
      <c r="K180" s="105"/>
      <c r="L180" s="105"/>
      <c r="M180" s="46">
        <v>0</v>
      </c>
      <c r="N180" s="47">
        <f t="shared" si="16"/>
        <v>0</v>
      </c>
      <c r="O180" s="19"/>
      <c r="P180" s="211" t="s">
        <v>493</v>
      </c>
      <c r="Q180" s="94" t="s">
        <v>494</v>
      </c>
    </row>
    <row r="181" spans="3:17" x14ac:dyDescent="0.25">
      <c r="C181" s="53" t="s">
        <v>509</v>
      </c>
      <c r="D181" s="145" t="s">
        <v>510</v>
      </c>
      <c r="E181" s="179" t="s">
        <v>511</v>
      </c>
      <c r="F181" s="182"/>
      <c r="G181" s="183" t="s">
        <v>512</v>
      </c>
      <c r="H181" s="53" t="s">
        <v>485</v>
      </c>
      <c r="I181" s="44" t="s">
        <v>29</v>
      </c>
      <c r="J181" s="45">
        <f>38.24*1.1</f>
        <v>42.064000000000007</v>
      </c>
      <c r="K181" s="116">
        <f>84/5</f>
        <v>16.8</v>
      </c>
      <c r="L181" s="109" t="s">
        <v>353</v>
      </c>
      <c r="M181" s="46">
        <f>M177</f>
        <v>0</v>
      </c>
      <c r="N181" s="47">
        <f t="shared" si="16"/>
        <v>0</v>
      </c>
      <c r="O181" s="16" t="s">
        <v>486</v>
      </c>
      <c r="P181" s="211" t="s">
        <v>493</v>
      </c>
      <c r="Q181" s="94" t="s">
        <v>494</v>
      </c>
    </row>
    <row r="182" spans="3:17" x14ac:dyDescent="0.25">
      <c r="C182" s="53" t="s">
        <v>513</v>
      </c>
      <c r="D182" s="145" t="s">
        <v>514</v>
      </c>
      <c r="E182" s="179" t="s">
        <v>515</v>
      </c>
      <c r="F182" s="182"/>
      <c r="G182" s="184" t="s">
        <v>516</v>
      </c>
      <c r="H182" s="53" t="s">
        <v>485</v>
      </c>
      <c r="I182" s="44" t="s">
        <v>29</v>
      </c>
      <c r="J182" s="45">
        <f>41.67*1.1</f>
        <v>45.837000000000003</v>
      </c>
      <c r="K182" s="116">
        <f>154/5</f>
        <v>30.8</v>
      </c>
      <c r="L182" s="109" t="s">
        <v>353</v>
      </c>
      <c r="M182" s="46">
        <f>M178</f>
        <v>0</v>
      </c>
      <c r="N182" s="47">
        <f t="shared" si="16"/>
        <v>0</v>
      </c>
      <c r="O182" s="16" t="s">
        <v>486</v>
      </c>
      <c r="P182" s="211" t="s">
        <v>493</v>
      </c>
      <c r="Q182" s="94" t="s">
        <v>494</v>
      </c>
    </row>
    <row r="183" spans="3:17" x14ac:dyDescent="0.25">
      <c r="C183" s="53" t="s">
        <v>517</v>
      </c>
      <c r="D183" s="145" t="s">
        <v>518</v>
      </c>
      <c r="E183" s="179" t="s">
        <v>519</v>
      </c>
      <c r="F183" s="182"/>
      <c r="G183" s="184" t="s">
        <v>520</v>
      </c>
      <c r="H183" s="53" t="s">
        <v>485</v>
      </c>
      <c r="I183" s="44" t="s">
        <v>29</v>
      </c>
      <c r="J183" s="45">
        <f>48.6*1.1</f>
        <v>53.460000000000008</v>
      </c>
      <c r="K183" s="116">
        <f>154/5</f>
        <v>30.8</v>
      </c>
      <c r="L183" s="109" t="s">
        <v>353</v>
      </c>
      <c r="M183" s="46">
        <f>M179+(SUM(M25:M37)-M32-M34+M45)</f>
        <v>0</v>
      </c>
      <c r="N183" s="47">
        <f t="shared" si="16"/>
        <v>0</v>
      </c>
      <c r="O183" s="16" t="s">
        <v>486</v>
      </c>
      <c r="P183" s="211" t="s">
        <v>493</v>
      </c>
      <c r="Q183" s="94" t="s">
        <v>494</v>
      </c>
    </row>
    <row r="184" spans="3:17" x14ac:dyDescent="0.25">
      <c r="C184" s="53" t="s">
        <v>521</v>
      </c>
      <c r="D184" s="135" t="s">
        <v>522</v>
      </c>
      <c r="E184" s="60"/>
      <c r="F184" s="60"/>
      <c r="G184" s="44" t="s">
        <v>523</v>
      </c>
      <c r="H184" s="42" t="s">
        <v>327</v>
      </c>
      <c r="I184" s="44" t="s">
        <v>29</v>
      </c>
      <c r="J184" s="45">
        <f>3.92+0.35</f>
        <v>4.2699999999999996</v>
      </c>
      <c r="K184" s="109">
        <v>4</v>
      </c>
      <c r="L184" s="115" t="s">
        <v>90</v>
      </c>
      <c r="M184" s="46">
        <f>ROUNDUP((SUM(M120:M130)-M121)/4*2,0)</f>
        <v>0</v>
      </c>
      <c r="N184" s="47">
        <f t="shared" si="16"/>
        <v>0</v>
      </c>
      <c r="O184" s="25" t="s">
        <v>524</v>
      </c>
      <c r="P184" s="211" t="s">
        <v>525</v>
      </c>
      <c r="Q184" s="94" t="s">
        <v>526</v>
      </c>
    </row>
    <row r="185" spans="3:17" x14ac:dyDescent="0.25">
      <c r="C185" s="53" t="s">
        <v>527</v>
      </c>
      <c r="D185" s="43" t="s">
        <v>528</v>
      </c>
      <c r="E185" s="50"/>
      <c r="F185" s="50"/>
      <c r="G185" s="55" t="s">
        <v>529</v>
      </c>
      <c r="H185" s="53" t="s">
        <v>327</v>
      </c>
      <c r="I185" s="44" t="s">
        <v>29</v>
      </c>
      <c r="J185" s="45">
        <f>4.94+0.44</f>
        <v>5.3800000000000008</v>
      </c>
      <c r="K185" s="109">
        <v>4</v>
      </c>
      <c r="L185" s="115" t="s">
        <v>90</v>
      </c>
      <c r="M185" s="46">
        <f>ROUNDUP((SUM(M120:M130)-M121)/4*1,0)</f>
        <v>0</v>
      </c>
      <c r="N185" s="47">
        <f t="shared" si="16"/>
        <v>0</v>
      </c>
      <c r="O185" s="25" t="s">
        <v>524</v>
      </c>
      <c r="P185" s="211" t="s">
        <v>525</v>
      </c>
      <c r="Q185" s="94" t="s">
        <v>526</v>
      </c>
    </row>
    <row r="186" spans="3:17" x14ac:dyDescent="0.25">
      <c r="C186" s="42" t="s">
        <v>530</v>
      </c>
      <c r="D186" s="135" t="s">
        <v>531</v>
      </c>
      <c r="E186" s="60"/>
      <c r="F186" s="60"/>
      <c r="G186" s="44" t="s">
        <v>532</v>
      </c>
      <c r="H186" s="42" t="s">
        <v>327</v>
      </c>
      <c r="I186" s="44" t="s">
        <v>29</v>
      </c>
      <c r="J186" s="45">
        <f>7.4+0.67</f>
        <v>8.07</v>
      </c>
      <c r="K186" s="109">
        <v>4</v>
      </c>
      <c r="L186" s="115" t="s">
        <v>90</v>
      </c>
      <c r="M186" s="46">
        <f>ROUNDUP((SUM(M120:M130)-M121)/4*1,0)</f>
        <v>0</v>
      </c>
      <c r="N186" s="47">
        <f t="shared" si="16"/>
        <v>0</v>
      </c>
      <c r="O186" s="25" t="s">
        <v>524</v>
      </c>
      <c r="P186" s="211" t="s">
        <v>525</v>
      </c>
      <c r="Q186" s="94" t="s">
        <v>526</v>
      </c>
    </row>
    <row r="187" spans="3:17" x14ac:dyDescent="0.25">
      <c r="C187" s="81" t="s">
        <v>533</v>
      </c>
      <c r="D187" s="135" t="s">
        <v>522</v>
      </c>
      <c r="E187" s="50"/>
      <c r="F187" s="50"/>
      <c r="G187" s="44" t="s">
        <v>523</v>
      </c>
      <c r="H187" s="42" t="s">
        <v>327</v>
      </c>
      <c r="I187" s="44" t="s">
        <v>29</v>
      </c>
      <c r="J187" s="45">
        <f>3.92+0.35</f>
        <v>4.2699999999999996</v>
      </c>
      <c r="K187" s="109">
        <v>4</v>
      </c>
      <c r="L187" s="115" t="s">
        <v>90</v>
      </c>
      <c r="M187" s="46">
        <f>ROUNDUP((SUM(M71:M76)+M79+M85+M109+M131)/2,0)</f>
        <v>0</v>
      </c>
      <c r="N187" s="47">
        <f t="shared" si="16"/>
        <v>0</v>
      </c>
      <c r="O187" s="25" t="s">
        <v>524</v>
      </c>
      <c r="P187" s="211" t="s">
        <v>525</v>
      </c>
      <c r="Q187" s="94" t="s">
        <v>526</v>
      </c>
    </row>
    <row r="188" spans="3:17" x14ac:dyDescent="0.25">
      <c r="C188" s="81" t="s">
        <v>534</v>
      </c>
      <c r="D188" s="43" t="s">
        <v>528</v>
      </c>
      <c r="E188" s="50"/>
      <c r="F188" s="50"/>
      <c r="G188" s="55" t="s">
        <v>529</v>
      </c>
      <c r="H188" s="53" t="s">
        <v>327</v>
      </c>
      <c r="I188" s="44" t="s">
        <v>29</v>
      </c>
      <c r="J188" s="45">
        <f>4.94+0.44</f>
        <v>5.3800000000000008</v>
      </c>
      <c r="K188" s="109">
        <v>4</v>
      </c>
      <c r="L188" s="115" t="s">
        <v>90</v>
      </c>
      <c r="M188" s="46">
        <f>ROUNDUP((SUM(M71:M76)+M79+M85+M109+M131)/2,0)</f>
        <v>0</v>
      </c>
      <c r="N188" s="47">
        <f t="shared" si="16"/>
        <v>0</v>
      </c>
      <c r="O188" s="25" t="s">
        <v>524</v>
      </c>
      <c r="P188" s="211" t="s">
        <v>525</v>
      </c>
      <c r="Q188" s="94" t="s">
        <v>526</v>
      </c>
    </row>
    <row r="189" spans="3:17" x14ac:dyDescent="0.25">
      <c r="C189" s="198" t="s">
        <v>535</v>
      </c>
      <c r="D189" s="199" t="s">
        <v>536</v>
      </c>
      <c r="E189" s="200"/>
      <c r="F189" s="200"/>
      <c r="G189" s="201" t="s">
        <v>537</v>
      </c>
      <c r="H189" s="198" t="s">
        <v>327</v>
      </c>
      <c r="I189" s="201" t="s">
        <v>29</v>
      </c>
      <c r="J189" s="202">
        <f>4.67+0.42</f>
        <v>5.09</v>
      </c>
      <c r="K189" s="203">
        <v>12</v>
      </c>
      <c r="L189" s="204" t="s">
        <v>90</v>
      </c>
      <c r="M189" s="205">
        <f>SUM(M184:M188)</f>
        <v>0</v>
      </c>
      <c r="N189" s="202">
        <f t="shared" si="16"/>
        <v>0</v>
      </c>
      <c r="O189" s="206" t="s">
        <v>524</v>
      </c>
      <c r="P189" s="211" t="s">
        <v>525</v>
      </c>
      <c r="Q189" s="94" t="s">
        <v>286</v>
      </c>
    </row>
    <row r="190" spans="3:17" x14ac:dyDescent="0.25">
      <c r="C190" s="207" t="s">
        <v>538</v>
      </c>
      <c r="D190" s="208" t="s">
        <v>539</v>
      </c>
      <c r="E190" s="200"/>
      <c r="F190" s="200"/>
      <c r="G190" s="209" t="s">
        <v>540</v>
      </c>
      <c r="H190" s="207" t="s">
        <v>541</v>
      </c>
      <c r="I190" s="201" t="s">
        <v>29</v>
      </c>
      <c r="J190" s="202">
        <f>0.29*1.1</f>
        <v>0.31900000000000001</v>
      </c>
      <c r="K190" s="203"/>
      <c r="L190" s="203"/>
      <c r="M190" s="205">
        <f>M184*3+M185*5+M186*10+M187*3+M188*5</f>
        <v>0</v>
      </c>
      <c r="N190" s="202">
        <f t="shared" si="16"/>
        <v>0</v>
      </c>
      <c r="O190" s="210"/>
      <c r="P190" s="211" t="s">
        <v>525</v>
      </c>
      <c r="Q190" s="94" t="s">
        <v>286</v>
      </c>
    </row>
    <row r="191" spans="3:17" x14ac:dyDescent="0.25">
      <c r="C191" s="207" t="s">
        <v>542</v>
      </c>
      <c r="D191" s="208" t="s">
        <v>543</v>
      </c>
      <c r="E191" s="200"/>
      <c r="F191" s="200"/>
      <c r="G191" s="209" t="s">
        <v>544</v>
      </c>
      <c r="H191" s="209" t="s">
        <v>545</v>
      </c>
      <c r="I191" s="201" t="s">
        <v>29</v>
      </c>
      <c r="J191" s="202">
        <v>13.94</v>
      </c>
      <c r="K191" s="203">
        <v>1</v>
      </c>
      <c r="L191" s="203" t="s">
        <v>546</v>
      </c>
      <c r="M191" s="205">
        <f>SUM(M136:M147)</f>
        <v>0</v>
      </c>
      <c r="N191" s="202">
        <f t="shared" si="16"/>
        <v>0</v>
      </c>
      <c r="O191" s="206" t="s">
        <v>547</v>
      </c>
      <c r="P191" s="211" t="s">
        <v>525</v>
      </c>
      <c r="Q191" s="94" t="s">
        <v>286</v>
      </c>
    </row>
    <row r="192" spans="3:17" x14ac:dyDescent="0.25">
      <c r="C192" s="53"/>
      <c r="D192" s="144"/>
      <c r="E192" s="53"/>
      <c r="F192" s="53"/>
      <c r="G192" s="53"/>
      <c r="H192" s="53"/>
      <c r="I192" s="44"/>
      <c r="J192" s="53"/>
      <c r="K192" s="113"/>
      <c r="L192" s="113"/>
      <c r="M192" s="53"/>
      <c r="N192" s="53"/>
      <c r="O192" s="15">
        <f>SUM(N193)</f>
        <v>0</v>
      </c>
    </row>
    <row r="193" spans="1:17" x14ac:dyDescent="0.25">
      <c r="A193" s="149" t="s">
        <v>548</v>
      </c>
      <c r="C193" s="42" t="s">
        <v>549</v>
      </c>
      <c r="D193" s="135"/>
      <c r="E193" s="60"/>
      <c r="F193" s="60" t="s">
        <v>550</v>
      </c>
      <c r="G193" s="42" t="s">
        <v>551</v>
      </c>
      <c r="H193" s="42" t="s">
        <v>213</v>
      </c>
      <c r="I193" s="44" t="s">
        <v>29</v>
      </c>
      <c r="J193" s="45">
        <v>6213.64</v>
      </c>
      <c r="K193" s="109">
        <f>60/5</f>
        <v>12</v>
      </c>
      <c r="L193" s="109" t="s">
        <v>353</v>
      </c>
      <c r="M193" s="83"/>
      <c r="N193" s="47">
        <f>J193*M193</f>
        <v>0</v>
      </c>
      <c r="O193" s="25" t="s">
        <v>214</v>
      </c>
      <c r="P193" s="211" t="s">
        <v>552</v>
      </c>
      <c r="Q193" s="94" t="s">
        <v>553</v>
      </c>
    </row>
    <row r="194" spans="1:17" x14ac:dyDescent="0.25">
      <c r="N194" s="87">
        <f>SUM(N7:N193)</f>
        <v>1643.7199999999998</v>
      </c>
    </row>
    <row r="195" spans="1:17" x14ac:dyDescent="0.25">
      <c r="N195" s="88"/>
    </row>
    <row r="196" spans="1:17" x14ac:dyDescent="0.25">
      <c r="M196" s="10"/>
      <c r="N196" s="23"/>
      <c r="O196" s="23"/>
    </row>
  </sheetData>
  <autoFilter ref="C5:Q5" xr:uid="{81DA2624-F714-4FC3-B40A-D483FD8F086F}"/>
  <mergeCells count="1">
    <mergeCell ref="J2:L3"/>
  </mergeCells>
  <phoneticPr fontId="9" type="noConversion"/>
  <conditionalFormatting sqref="M7 M12:M17 M172:M175 M71:M78 M20:M23 M39:M48 M189:M191 M51:M61 M68:M69 M152:M163 M131:M147 M25:M37 M129 M122:M127 M9:M10 M118:M120">
    <cfRule type="cellIs" dxfId="131" priority="131" operator="greaterThan">
      <formula>0</formula>
    </cfRule>
  </conditionalFormatting>
  <conditionalFormatting sqref="M130">
    <cfRule type="cellIs" dxfId="130" priority="126" operator="greaterThan">
      <formula>0</formula>
    </cfRule>
  </conditionalFormatting>
  <conditionalFormatting sqref="M189:M191 M156:M157">
    <cfRule type="cellIs" dxfId="129" priority="123" operator="greaterThan">
      <formula>0</formula>
    </cfRule>
  </conditionalFormatting>
  <conditionalFormatting sqref="M70">
    <cfRule type="cellIs" dxfId="128" priority="120" operator="greaterThan">
      <formula>0</formula>
    </cfRule>
  </conditionalFormatting>
  <conditionalFormatting sqref="M70">
    <cfRule type="cellIs" dxfId="127" priority="119" operator="greaterThan">
      <formula>0</formula>
    </cfRule>
  </conditionalFormatting>
  <conditionalFormatting sqref="M79:M90 M108:M113 M116:M117">
    <cfRule type="cellIs" dxfId="126" priority="118" operator="greaterThan">
      <formula>0</formula>
    </cfRule>
  </conditionalFormatting>
  <conditionalFormatting sqref="M80:M83 M86:M90 M110:M113 M116:M117">
    <cfRule type="cellIs" dxfId="125" priority="117" operator="greaterThan">
      <formula>0</formula>
    </cfRule>
  </conditionalFormatting>
  <conditionalFormatting sqref="M122">
    <cfRule type="cellIs" dxfId="124" priority="116" operator="greaterThan">
      <formula>0</formula>
    </cfRule>
  </conditionalFormatting>
  <conditionalFormatting sqref="M159:M160">
    <cfRule type="cellIs" dxfId="123" priority="113" operator="greaterThan">
      <formula>0</formula>
    </cfRule>
  </conditionalFormatting>
  <conditionalFormatting sqref="M176">
    <cfRule type="cellIs" dxfId="122" priority="112" operator="greaterThan">
      <formula>0</formula>
    </cfRule>
  </conditionalFormatting>
  <conditionalFormatting sqref="M176">
    <cfRule type="cellIs" dxfId="121" priority="111" operator="greaterThan">
      <formula>0</formula>
    </cfRule>
  </conditionalFormatting>
  <conditionalFormatting sqref="M8">
    <cfRule type="cellIs" dxfId="120" priority="110" operator="greaterThan">
      <formula>0</formula>
    </cfRule>
  </conditionalFormatting>
  <conditionalFormatting sqref="M49">
    <cfRule type="cellIs" dxfId="119" priority="109" operator="greaterThan">
      <formula>0</formula>
    </cfRule>
  </conditionalFormatting>
  <conditionalFormatting sqref="M51">
    <cfRule type="cellIs" dxfId="118" priority="106" operator="greaterThan">
      <formula>0</formula>
    </cfRule>
  </conditionalFormatting>
  <conditionalFormatting sqref="M11:M15">
    <cfRule type="cellIs" dxfId="117" priority="104" operator="greaterThan">
      <formula>0</formula>
    </cfRule>
  </conditionalFormatting>
  <conditionalFormatting sqref="M183:M186">
    <cfRule type="cellIs" dxfId="116" priority="94" operator="greaterThan">
      <formula>0</formula>
    </cfRule>
  </conditionalFormatting>
  <conditionalFormatting sqref="M183:M186">
    <cfRule type="cellIs" dxfId="115" priority="93" operator="greaterThan">
      <formula>0</formula>
    </cfRule>
  </conditionalFormatting>
  <conditionalFormatting sqref="M50">
    <cfRule type="cellIs" dxfId="114" priority="88" operator="greaterThan">
      <formula>0</formula>
    </cfRule>
  </conditionalFormatting>
  <conditionalFormatting sqref="M187:M188">
    <cfRule type="cellIs" dxfId="113" priority="86" operator="greaterThan">
      <formula>0</formula>
    </cfRule>
  </conditionalFormatting>
  <conditionalFormatting sqref="M187:M188">
    <cfRule type="cellIs" dxfId="112" priority="85" operator="greaterThan">
      <formula>0</formula>
    </cfRule>
  </conditionalFormatting>
  <conditionalFormatting sqref="M18:M19">
    <cfRule type="cellIs" dxfId="111" priority="83" operator="greaterThan">
      <formula>0</formula>
    </cfRule>
  </conditionalFormatting>
  <conditionalFormatting sqref="M38">
    <cfRule type="cellIs" dxfId="110" priority="81" operator="greaterThan">
      <formula>0</formula>
    </cfRule>
  </conditionalFormatting>
  <conditionalFormatting sqref="M164:M170">
    <cfRule type="cellIs" dxfId="109" priority="68" operator="greaterThan">
      <formula>0</formula>
    </cfRule>
  </conditionalFormatting>
  <conditionalFormatting sqref="M171">
    <cfRule type="cellIs" dxfId="108" priority="67" operator="greaterThan">
      <formula>0</formula>
    </cfRule>
  </conditionalFormatting>
  <conditionalFormatting sqref="M149">
    <cfRule type="cellIs" dxfId="107" priority="61" operator="greaterThan">
      <formula>0</formula>
    </cfRule>
  </conditionalFormatting>
  <conditionalFormatting sqref="M148:M151">
    <cfRule type="cellIs" dxfId="106" priority="57" operator="greaterThan">
      <formula>0</formula>
    </cfRule>
  </conditionalFormatting>
  <conditionalFormatting sqref="A30">
    <cfRule type="expression" dxfId="105" priority="30">
      <formula>IF($E30&gt;0,TRUE)</formula>
    </cfRule>
  </conditionalFormatting>
  <conditionalFormatting sqref="A27">
    <cfRule type="expression" dxfId="104" priority="32">
      <formula>IF($E27&gt;0,TRUE)</formula>
    </cfRule>
  </conditionalFormatting>
  <conditionalFormatting sqref="A28">
    <cfRule type="expression" dxfId="103" priority="31">
      <formula>IF($E28&gt;0,TRUE)</formula>
    </cfRule>
  </conditionalFormatting>
  <conditionalFormatting sqref="A33">
    <cfRule type="expression" dxfId="102" priority="29">
      <formula>IF($E33&gt;0,TRUE)</formula>
    </cfRule>
  </conditionalFormatting>
  <conditionalFormatting sqref="A34">
    <cfRule type="expression" dxfId="101" priority="28">
      <formula>IF($E34&gt;0,TRUE)</formula>
    </cfRule>
  </conditionalFormatting>
  <conditionalFormatting sqref="M24">
    <cfRule type="cellIs" dxfId="100" priority="25" operator="greaterThan">
      <formula>0</formula>
    </cfRule>
  </conditionalFormatting>
  <conditionalFormatting sqref="M128">
    <cfRule type="cellIs" dxfId="99" priority="23" operator="greaterThan">
      <formula>0</formula>
    </cfRule>
  </conditionalFormatting>
  <conditionalFormatting sqref="M91:M98">
    <cfRule type="cellIs" dxfId="98" priority="21" operator="greaterThan">
      <formula>0</formula>
    </cfRule>
  </conditionalFormatting>
  <conditionalFormatting sqref="M93:M98">
    <cfRule type="cellIs" dxfId="97" priority="20" operator="greaterThan">
      <formula>0</formula>
    </cfRule>
  </conditionalFormatting>
  <conditionalFormatting sqref="M114">
    <cfRule type="cellIs" dxfId="96" priority="18" operator="greaterThan">
      <formula>0</formula>
    </cfRule>
  </conditionalFormatting>
  <conditionalFormatting sqref="M114">
    <cfRule type="cellIs" dxfId="95" priority="17" operator="greaterThan">
      <formula>0</formula>
    </cfRule>
  </conditionalFormatting>
  <conditionalFormatting sqref="M99:M104 M106:M107">
    <cfRule type="cellIs" dxfId="94" priority="15" operator="greaterThan">
      <formula>0</formula>
    </cfRule>
  </conditionalFormatting>
  <conditionalFormatting sqref="M101:M104 M106:M107">
    <cfRule type="cellIs" dxfId="93" priority="14" operator="greaterThan">
      <formula>0</formula>
    </cfRule>
  </conditionalFormatting>
  <conditionalFormatting sqref="M105">
    <cfRule type="cellIs" dxfId="92" priority="12" operator="greaterThan">
      <formula>0</formula>
    </cfRule>
  </conditionalFormatting>
  <conditionalFormatting sqref="M105">
    <cfRule type="cellIs" dxfId="91" priority="11" operator="greaterThan">
      <formula>0</formula>
    </cfRule>
  </conditionalFormatting>
  <conditionalFormatting sqref="M115">
    <cfRule type="cellIs" dxfId="90" priority="9" operator="greaterThan">
      <formula>0</formula>
    </cfRule>
  </conditionalFormatting>
  <conditionalFormatting sqref="M115">
    <cfRule type="cellIs" dxfId="89" priority="8" operator="greaterThan">
      <formula>0</formula>
    </cfRule>
  </conditionalFormatting>
  <conditionalFormatting sqref="M177:M182">
    <cfRule type="cellIs" dxfId="88" priority="7" operator="greaterThan">
      <formula>0</formula>
    </cfRule>
  </conditionalFormatting>
  <conditionalFormatting sqref="M177:M182">
    <cfRule type="cellIs" dxfId="87" priority="6" operator="greaterThan">
      <formula>0</formula>
    </cfRule>
  </conditionalFormatting>
  <conditionalFormatting sqref="M121">
    <cfRule type="cellIs" dxfId="86" priority="5" operator="greaterThan">
      <formula>0</formula>
    </cfRule>
  </conditionalFormatting>
  <conditionalFormatting sqref="M121">
    <cfRule type="cellIs" dxfId="85" priority="4" operator="greaterThan">
      <formula>0</formula>
    </cfRule>
  </conditionalFormatting>
  <conditionalFormatting sqref="M62:M67">
    <cfRule type="cellIs" dxfId="84" priority="3" operator="greaterThan">
      <formula>0</formula>
    </cfRule>
  </conditionalFormatting>
  <conditionalFormatting sqref="M62:M67">
    <cfRule type="cellIs" dxfId="83" priority="2" operator="greaterThan">
      <formula>0</formula>
    </cfRule>
  </conditionalFormatting>
  <conditionalFormatting sqref="M193">
    <cfRule type="cellIs" dxfId="82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8" r:id="rId4" name="Save">
          <controlPr defaultSize="0" autoLine="0" r:id="rId5">
            <anchor>
              <from>
                <xdr:col>13</xdr:col>
                <xdr:colOff>403860</xdr:colOff>
                <xdr:row>0</xdr:row>
                <xdr:rowOff>60960</xdr:rowOff>
              </from>
              <to>
                <xdr:col>14</xdr:col>
                <xdr:colOff>624840</xdr:colOff>
                <xdr:row>0</xdr:row>
                <xdr:rowOff>449580</xdr:rowOff>
              </to>
            </anchor>
          </controlPr>
        </control>
      </mc:Choice>
      <mc:Fallback>
        <control shapeId="2158" r:id="rId4" name="Save"/>
      </mc:Fallback>
    </mc:AlternateContent>
    <mc:AlternateContent xmlns:mc="http://schemas.openxmlformats.org/markup-compatibility/2006">
      <mc:Choice Requires="x14">
        <control shapeId="2160" r:id="rId6" name="Belt_cmd">
          <controlPr defaultSize="0" autoLine="0" r:id="rId7">
            <anchor>
              <from>
                <xdr:col>2</xdr:col>
                <xdr:colOff>2118360</xdr:colOff>
                <xdr:row>0</xdr:row>
                <xdr:rowOff>45720</xdr:rowOff>
              </from>
              <to>
                <xdr:col>12</xdr:col>
                <xdr:colOff>22860</xdr:colOff>
                <xdr:row>0</xdr:row>
                <xdr:rowOff>472440</xdr:rowOff>
              </to>
            </anchor>
          </controlPr>
        </control>
      </mc:Choice>
      <mc:Fallback>
        <control shapeId="2160" r:id="rId6" name="Belt_cmd"/>
      </mc:Fallback>
    </mc:AlternateContent>
    <mc:AlternateContent xmlns:mc="http://schemas.openxmlformats.org/markup-compatibility/2006">
      <mc:Choice Requires="x14">
        <control shapeId="2161" r:id="rId8" name="Tray_cmd">
          <controlPr defaultSize="0" autoLine="0" r:id="rId9">
            <anchor>
              <from>
                <xdr:col>12</xdr:col>
                <xdr:colOff>99060</xdr:colOff>
                <xdr:row>0</xdr:row>
                <xdr:rowOff>60960</xdr:rowOff>
              </from>
              <to>
                <xdr:col>13</xdr:col>
                <xdr:colOff>38100</xdr:colOff>
                <xdr:row>0</xdr:row>
                <xdr:rowOff>487680</xdr:rowOff>
              </to>
            </anchor>
          </controlPr>
        </control>
      </mc:Choice>
      <mc:Fallback>
        <control shapeId="2161" r:id="rId8" name="Tray_cm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49693-7F1C-44D7-88E1-D6BA62D72D85}">
  <sheetPr codeName="Sheet5"/>
  <dimension ref="A1:R174"/>
  <sheetViews>
    <sheetView zoomScale="80" zoomScaleNormal="80" workbookViewId="0">
      <pane ySplit="5" topLeftCell="A6" activePane="bottomLeft" state="frozen"/>
      <selection activeCell="D1" sqref="D1"/>
      <selection pane="bottomLeft" activeCell="C19" sqref="C19"/>
    </sheetView>
  </sheetViews>
  <sheetFormatPr defaultColWidth="11.44140625" defaultRowHeight="13.2" outlineLevelCol="1" x14ac:dyDescent="0.25"/>
  <cols>
    <col min="1" max="1" width="22.109375" style="26" customWidth="1"/>
    <col min="2" max="2" width="3.33203125" style="92" hidden="1" customWidth="1" outlineLevel="1"/>
    <col min="3" max="3" width="51.5546875" style="26" customWidth="1" collapsed="1"/>
    <col min="4" max="4" width="17.88671875" style="130" hidden="1" customWidth="1" outlineLevel="1"/>
    <col min="5" max="5" width="15" style="9" hidden="1" customWidth="1" outlineLevel="1"/>
    <col min="6" max="6" width="44.5546875" style="9" hidden="1" customWidth="1" outlineLevel="1"/>
    <col min="7" max="7" width="45.5546875" style="29" hidden="1" customWidth="1" outlineLevel="1"/>
    <col min="8" max="8" width="23.88671875" style="29" hidden="1" customWidth="1" outlineLevel="1"/>
    <col min="9" max="9" width="15" style="29" hidden="1" customWidth="1" outlineLevel="1"/>
    <col min="10" max="10" width="19.33203125" style="10" customWidth="1" collapsed="1"/>
    <col min="11" max="11" width="10" style="114" customWidth="1"/>
    <col min="12" max="12" width="11.6640625" style="114" customWidth="1"/>
    <col min="13" max="13" width="16.6640625" style="26" customWidth="1"/>
    <col min="14" max="14" width="14.109375" style="26" hidden="1" customWidth="1"/>
    <col min="15" max="15" width="76.44140625" style="26" hidden="1" customWidth="1"/>
    <col min="16" max="16" width="16.6640625" style="26" bestFit="1" customWidth="1" outlineLevel="1"/>
    <col min="17" max="17" width="59.88671875" style="26" bestFit="1" customWidth="1" outlineLevel="1"/>
    <col min="18" max="18" width="11.44140625" style="26" customWidth="1"/>
    <col min="19" max="16384" width="11.44140625" style="26"/>
  </cols>
  <sheetData>
    <row r="1" spans="1:17" ht="76.2" customHeight="1" thickBot="1" x14ac:dyDescent="0.3">
      <c r="K1" s="10"/>
      <c r="L1" s="10"/>
    </row>
    <row r="2" spans="1:17" ht="19.95" customHeight="1" thickBot="1" x14ac:dyDescent="0.45">
      <c r="A2" s="11" t="s">
        <v>0</v>
      </c>
      <c r="J2" s="341" t="s">
        <v>1</v>
      </c>
      <c r="K2" s="342"/>
      <c r="L2" s="343"/>
      <c r="M2" s="146"/>
      <c r="N2" s="163" t="s">
        <v>2</v>
      </c>
      <c r="O2" s="30"/>
      <c r="Q2" s="216"/>
    </row>
    <row r="3" spans="1:17" ht="43.95" customHeight="1" thickBot="1" x14ac:dyDescent="0.45">
      <c r="A3" s="186" t="s">
        <v>3</v>
      </c>
      <c r="B3" s="187"/>
      <c r="C3" s="227"/>
      <c r="D3" s="131"/>
      <c r="E3" s="12"/>
      <c r="F3" s="12"/>
      <c r="G3" s="27"/>
      <c r="J3" s="344"/>
      <c r="K3" s="345"/>
      <c r="L3" s="346"/>
      <c r="M3" s="161" t="s">
        <v>4</v>
      </c>
      <c r="N3" s="162">
        <f>N4/M4</f>
        <v>16.945567010309276</v>
      </c>
    </row>
    <row r="4" spans="1:17" ht="37.950000000000003" customHeight="1" thickBot="1" x14ac:dyDescent="0.3">
      <c r="C4" s="185" t="s">
        <v>554</v>
      </c>
      <c r="D4" s="131"/>
      <c r="J4" s="160" t="s">
        <v>6</v>
      </c>
      <c r="K4" s="165"/>
      <c r="L4" s="166"/>
      <c r="M4" s="218">
        <v>97</v>
      </c>
      <c r="N4" s="158">
        <f>N172</f>
        <v>1643.7199999999998</v>
      </c>
      <c r="O4" s="159"/>
    </row>
    <row r="5" spans="1:17" s="28" customFormat="1" ht="26.4" x14ac:dyDescent="0.3">
      <c r="A5" s="164" t="s">
        <v>7</v>
      </c>
      <c r="C5" s="13" t="s">
        <v>8</v>
      </c>
      <c r="D5" s="132" t="s">
        <v>9</v>
      </c>
      <c r="E5" s="31" t="s">
        <v>10</v>
      </c>
      <c r="F5" s="31" t="s">
        <v>11</v>
      </c>
      <c r="G5" s="31" t="s">
        <v>12</v>
      </c>
      <c r="H5" s="31" t="s">
        <v>13</v>
      </c>
      <c r="I5" s="31" t="s">
        <v>14</v>
      </c>
      <c r="J5" s="32" t="s">
        <v>15</v>
      </c>
      <c r="K5" s="32" t="s">
        <v>16</v>
      </c>
      <c r="L5" s="32" t="s">
        <v>17</v>
      </c>
      <c r="M5" s="119" t="s">
        <v>18</v>
      </c>
      <c r="N5" s="119" t="s">
        <v>19</v>
      </c>
      <c r="O5" s="13" t="s">
        <v>20</v>
      </c>
      <c r="P5" s="93" t="s">
        <v>21</v>
      </c>
      <c r="Q5" s="93" t="s">
        <v>22</v>
      </c>
    </row>
    <row r="6" spans="1:17" ht="17.399999999999999" x14ac:dyDescent="0.3">
      <c r="C6" s="91" t="s">
        <v>23</v>
      </c>
      <c r="D6" s="133"/>
      <c r="E6" s="33"/>
      <c r="F6" s="33"/>
      <c r="G6" s="34"/>
      <c r="H6" s="34"/>
      <c r="I6" s="34"/>
      <c r="J6" s="33"/>
      <c r="K6" s="103"/>
      <c r="L6" s="103"/>
      <c r="M6" s="35"/>
      <c r="N6" s="35"/>
      <c r="O6" s="14">
        <f>O7+O16+O21+O35+O40</f>
        <v>0</v>
      </c>
    </row>
    <row r="7" spans="1:17" x14ac:dyDescent="0.25">
      <c r="C7" s="36" t="s">
        <v>24</v>
      </c>
      <c r="D7" s="129"/>
      <c r="E7" s="37"/>
      <c r="F7" s="37"/>
      <c r="G7" s="38"/>
      <c r="H7" s="38"/>
      <c r="I7" s="38"/>
      <c r="J7" s="39"/>
      <c r="K7" s="104"/>
      <c r="L7" s="104"/>
      <c r="M7" s="40"/>
      <c r="N7" s="41"/>
      <c r="O7" s="15">
        <f>SUM(N8:N15)</f>
        <v>0</v>
      </c>
    </row>
    <row r="8" spans="1:17" x14ac:dyDescent="0.25">
      <c r="A8" s="149" t="s">
        <v>25</v>
      </c>
      <c r="C8" s="42" t="s">
        <v>26</v>
      </c>
      <c r="D8" s="43" t="s">
        <v>27</v>
      </c>
      <c r="E8" s="43" t="s">
        <v>27</v>
      </c>
      <c r="F8" s="43"/>
      <c r="G8" s="44"/>
      <c r="H8" s="44" t="s">
        <v>28</v>
      </c>
      <c r="I8" s="44" t="s">
        <v>29</v>
      </c>
      <c r="J8" s="123">
        <v>44103.950000000004</v>
      </c>
      <c r="K8" s="105"/>
      <c r="L8" s="105"/>
      <c r="M8" s="46"/>
      <c r="N8" s="47">
        <f>J8*M8</f>
        <v>0</v>
      </c>
      <c r="O8" s="17" t="s">
        <v>30</v>
      </c>
      <c r="P8" s="211" t="s">
        <v>555</v>
      </c>
      <c r="Q8" s="94" t="s">
        <v>32</v>
      </c>
    </row>
    <row r="9" spans="1:17" x14ac:dyDescent="0.25">
      <c r="C9" s="42"/>
      <c r="D9" s="128"/>
      <c r="E9" s="50"/>
      <c r="F9" s="50"/>
      <c r="G9" s="44"/>
      <c r="H9" s="44"/>
      <c r="I9" s="44"/>
      <c r="J9" s="51"/>
      <c r="K9" s="106"/>
      <c r="L9" s="106"/>
      <c r="M9" s="46"/>
      <c r="N9" s="47"/>
      <c r="O9" s="52"/>
    </row>
    <row r="10" spans="1:17" x14ac:dyDescent="0.25">
      <c r="A10" s="149" t="s">
        <v>33</v>
      </c>
      <c r="C10" s="42" t="s">
        <v>34</v>
      </c>
      <c r="D10" s="128"/>
      <c r="E10" s="50"/>
      <c r="F10" s="50"/>
      <c r="G10" s="44"/>
      <c r="H10" s="44" t="s">
        <v>35</v>
      </c>
      <c r="I10" s="44" t="s">
        <v>29</v>
      </c>
      <c r="J10" s="49">
        <v>25630</v>
      </c>
      <c r="K10" s="105"/>
      <c r="L10" s="105"/>
      <c r="M10" s="46"/>
      <c r="N10" s="47">
        <f>J10*M10</f>
        <v>0</v>
      </c>
      <c r="O10" s="16" t="s">
        <v>36</v>
      </c>
      <c r="P10" s="211" t="s">
        <v>556</v>
      </c>
      <c r="Q10" s="94" t="s">
        <v>38</v>
      </c>
    </row>
    <row r="11" spans="1:17" x14ac:dyDescent="0.25">
      <c r="A11" s="149" t="s">
        <v>39</v>
      </c>
      <c r="C11" s="124" t="s">
        <v>40</v>
      </c>
      <c r="D11" s="43" t="s">
        <v>27</v>
      </c>
      <c r="E11" s="43" t="s">
        <v>27</v>
      </c>
      <c r="F11" s="50"/>
      <c r="G11" s="44"/>
      <c r="H11" s="44" t="s">
        <v>35</v>
      </c>
      <c r="I11" s="44" t="s">
        <v>29</v>
      </c>
      <c r="J11" s="123">
        <v>28193.000000000004</v>
      </c>
      <c r="K11" s="105"/>
      <c r="L11" s="105"/>
      <c r="M11" s="151"/>
      <c r="N11" s="15">
        <f>J11*M11</f>
        <v>0</v>
      </c>
      <c r="O11" s="17" t="s">
        <v>41</v>
      </c>
      <c r="P11" s="211" t="s">
        <v>556</v>
      </c>
      <c r="Q11" s="94" t="s">
        <v>38</v>
      </c>
    </row>
    <row r="12" spans="1:17" x14ac:dyDescent="0.25">
      <c r="C12" s="36"/>
      <c r="D12" s="129"/>
      <c r="E12" s="37"/>
      <c r="F12" s="37"/>
      <c r="G12" s="38"/>
      <c r="H12" s="38"/>
      <c r="I12" s="38"/>
      <c r="J12" s="40"/>
      <c r="K12" s="107"/>
      <c r="L12" s="107"/>
      <c r="M12" s="40"/>
      <c r="N12" s="47"/>
      <c r="O12" s="52"/>
    </row>
    <row r="13" spans="1:17" x14ac:dyDescent="0.25">
      <c r="C13" s="53"/>
      <c r="D13" s="128" t="s">
        <v>49</v>
      </c>
      <c r="E13" s="128" t="s">
        <v>49</v>
      </c>
      <c r="F13" s="50" t="s">
        <v>49</v>
      </c>
      <c r="G13" s="55"/>
      <c r="H13" s="55"/>
      <c r="I13" s="55"/>
      <c r="J13" s="40"/>
      <c r="K13" s="107"/>
      <c r="L13" s="107"/>
      <c r="M13" s="46">
        <v>0</v>
      </c>
      <c r="N13" s="47">
        <f>J13*M13</f>
        <v>0</v>
      </c>
      <c r="O13" s="24" t="s">
        <v>46</v>
      </c>
      <c r="P13" s="211" t="s">
        <v>557</v>
      </c>
      <c r="Q13" s="94" t="s">
        <v>48</v>
      </c>
    </row>
    <row r="14" spans="1:17" x14ac:dyDescent="0.25">
      <c r="A14" s="149" t="s">
        <v>50</v>
      </c>
      <c r="C14" s="53" t="s">
        <v>51</v>
      </c>
      <c r="D14" s="96" t="s">
        <v>43</v>
      </c>
      <c r="E14" s="96" t="s">
        <v>43</v>
      </c>
      <c r="F14" s="50" t="s">
        <v>49</v>
      </c>
      <c r="G14" s="55"/>
      <c r="H14" s="55"/>
      <c r="I14" s="55" t="s">
        <v>52</v>
      </c>
      <c r="J14" s="49">
        <v>10000</v>
      </c>
      <c r="K14" s="108"/>
      <c r="L14" s="108"/>
      <c r="M14" s="46"/>
      <c r="N14" s="47">
        <f>J14*M14</f>
        <v>0</v>
      </c>
      <c r="O14" s="24" t="s">
        <v>46</v>
      </c>
      <c r="P14" s="211" t="s">
        <v>557</v>
      </c>
      <c r="Q14" s="94" t="s">
        <v>48</v>
      </c>
    </row>
    <row r="15" spans="1:17" x14ac:dyDescent="0.25">
      <c r="C15" s="42"/>
      <c r="D15" s="128"/>
      <c r="E15" s="128"/>
      <c r="F15" s="50" t="s">
        <v>49</v>
      </c>
      <c r="G15" s="44"/>
      <c r="H15" s="44"/>
      <c r="I15" s="44"/>
      <c r="J15" s="40"/>
      <c r="K15" s="107"/>
      <c r="L15" s="107"/>
      <c r="M15" s="46"/>
      <c r="N15" s="47"/>
      <c r="O15" s="52"/>
    </row>
    <row r="16" spans="1:17" x14ac:dyDescent="0.25">
      <c r="C16" s="36" t="s">
        <v>53</v>
      </c>
      <c r="D16" s="129"/>
      <c r="E16" s="129"/>
      <c r="F16" s="37"/>
      <c r="G16" s="38"/>
      <c r="H16" s="38"/>
      <c r="I16" s="38"/>
      <c r="K16" s="107"/>
      <c r="L16" s="107"/>
      <c r="M16" s="40"/>
      <c r="N16" s="47"/>
      <c r="O16" s="15">
        <f>SUM(N17:N20)</f>
        <v>0</v>
      </c>
    </row>
    <row r="17" spans="1:17" x14ac:dyDescent="0.25">
      <c r="A17" s="153" t="s">
        <v>54</v>
      </c>
      <c r="C17" s="42" t="s">
        <v>796</v>
      </c>
      <c r="D17" s="96" t="s">
        <v>43</v>
      </c>
      <c r="E17" s="96" t="s">
        <v>43</v>
      </c>
      <c r="F17" s="58" t="s">
        <v>54</v>
      </c>
      <c r="G17" s="56"/>
      <c r="H17" s="55" t="s">
        <v>56</v>
      </c>
      <c r="I17" s="44" t="s">
        <v>29</v>
      </c>
      <c r="J17" s="49">
        <v>24665.55</v>
      </c>
      <c r="K17" s="105"/>
      <c r="L17" s="105"/>
      <c r="M17" s="46"/>
      <c r="N17" s="47">
        <f>J17*M17</f>
        <v>0</v>
      </c>
      <c r="O17" s="16" t="s">
        <v>57</v>
      </c>
      <c r="P17" s="211" t="s">
        <v>558</v>
      </c>
      <c r="Q17" s="94" t="s">
        <v>59</v>
      </c>
    </row>
    <row r="18" spans="1:17" x14ac:dyDescent="0.25">
      <c r="A18" s="149" t="s">
        <v>60</v>
      </c>
      <c r="C18" s="124" t="s">
        <v>797</v>
      </c>
      <c r="D18" s="96" t="s">
        <v>43</v>
      </c>
      <c r="E18" s="96" t="s">
        <v>43</v>
      </c>
      <c r="F18" s="147" t="s">
        <v>60</v>
      </c>
      <c r="G18" s="44"/>
      <c r="H18" s="55" t="s">
        <v>56</v>
      </c>
      <c r="I18" s="44" t="s">
        <v>29</v>
      </c>
      <c r="J18" s="123">
        <v>33502.35</v>
      </c>
      <c r="K18" s="105"/>
      <c r="L18" s="105"/>
      <c r="M18" s="46"/>
      <c r="N18" s="47">
        <f>J18*M18</f>
        <v>0</v>
      </c>
      <c r="O18" s="16" t="s">
        <v>57</v>
      </c>
      <c r="P18" s="211" t="s">
        <v>558</v>
      </c>
      <c r="Q18" s="94" t="s">
        <v>59</v>
      </c>
    </row>
    <row r="19" spans="1:17" ht="13.8" thickBot="1" x14ac:dyDescent="0.3">
      <c r="C19" s="42"/>
      <c r="D19" s="43"/>
      <c r="E19" s="56"/>
      <c r="F19" s="56"/>
      <c r="G19" s="44"/>
      <c r="H19" s="55"/>
      <c r="I19" s="55"/>
      <c r="J19" s="47"/>
      <c r="K19" s="110"/>
      <c r="L19" s="110"/>
      <c r="M19" s="46">
        <v>0</v>
      </c>
      <c r="N19" s="47">
        <f>J19*M19</f>
        <v>0</v>
      </c>
      <c r="O19" s="52"/>
    </row>
    <row r="20" spans="1:17" x14ac:dyDescent="0.25">
      <c r="B20" s="169" t="s">
        <v>62</v>
      </c>
      <c r="C20" s="42"/>
      <c r="D20" s="128"/>
      <c r="E20" s="50"/>
      <c r="F20" s="50"/>
      <c r="G20" s="44"/>
      <c r="H20" s="44"/>
      <c r="I20" s="44"/>
      <c r="J20" s="126"/>
      <c r="K20" s="107"/>
      <c r="L20" s="107"/>
      <c r="M20" s="46"/>
      <c r="N20" s="47"/>
      <c r="O20" s="52"/>
    </row>
    <row r="21" spans="1:17" ht="13.8" thickBot="1" x14ac:dyDescent="0.3">
      <c r="B21" s="173" t="s">
        <v>63</v>
      </c>
      <c r="C21" s="36" t="s">
        <v>23</v>
      </c>
      <c r="D21" s="129"/>
      <c r="E21" s="37"/>
      <c r="F21" s="37"/>
      <c r="G21" s="38"/>
      <c r="H21" s="38"/>
      <c r="I21" s="38"/>
      <c r="J21" s="126"/>
      <c r="K21" s="107"/>
      <c r="L21" s="107"/>
      <c r="M21" s="46"/>
      <c r="N21" s="47"/>
      <c r="O21" s="15">
        <f>SUM(N22:N34)</f>
        <v>0</v>
      </c>
    </row>
    <row r="22" spans="1:17" x14ac:dyDescent="0.25">
      <c r="A22" s="153" t="s">
        <v>64</v>
      </c>
      <c r="B22" s="169" t="s">
        <v>65</v>
      </c>
      <c r="C22" s="42" t="s">
        <v>66</v>
      </c>
      <c r="D22" s="95" t="s">
        <v>43</v>
      </c>
      <c r="E22" s="43"/>
      <c r="F22" s="241" t="s">
        <v>67</v>
      </c>
      <c r="G22" s="44"/>
      <c r="H22" s="55" t="s">
        <v>56</v>
      </c>
      <c r="I22" s="44" t="s">
        <v>29</v>
      </c>
      <c r="J22" s="123">
        <v>2956.8</v>
      </c>
      <c r="K22" s="105"/>
      <c r="L22" s="105"/>
      <c r="M22" s="46"/>
      <c r="N22" s="47">
        <f t="shared" ref="N22:N29" si="0">J22*M22</f>
        <v>0</v>
      </c>
      <c r="O22" s="16" t="s">
        <v>68</v>
      </c>
      <c r="P22" s="211" t="s">
        <v>559</v>
      </c>
      <c r="Q22" s="94" t="s">
        <v>70</v>
      </c>
    </row>
    <row r="23" spans="1:17" x14ac:dyDescent="0.25">
      <c r="A23" s="149" t="s">
        <v>71</v>
      </c>
      <c r="B23" s="173" t="s">
        <v>65</v>
      </c>
      <c r="C23" s="124" t="s">
        <v>72</v>
      </c>
      <c r="D23" s="95" t="s">
        <v>43</v>
      </c>
      <c r="E23" s="43"/>
      <c r="F23" s="125" t="s">
        <v>795</v>
      </c>
      <c r="G23" s="44"/>
      <c r="H23" s="55" t="s">
        <v>56</v>
      </c>
      <c r="I23" s="44" t="s">
        <v>29</v>
      </c>
      <c r="J23" s="123">
        <v>2956.8</v>
      </c>
      <c r="K23" s="105"/>
      <c r="L23" s="105"/>
      <c r="M23" s="46"/>
      <c r="N23" s="47">
        <f t="shared" si="0"/>
        <v>0</v>
      </c>
      <c r="O23" s="16" t="s">
        <v>68</v>
      </c>
      <c r="P23" s="211" t="s">
        <v>559</v>
      </c>
      <c r="Q23" s="94" t="s">
        <v>70</v>
      </c>
    </row>
    <row r="24" spans="1:17" ht="13.8" x14ac:dyDescent="0.25">
      <c r="A24" s="338" t="s">
        <v>73</v>
      </c>
      <c r="B24" s="173" t="s">
        <v>74</v>
      </c>
      <c r="C24" s="167" t="s">
        <v>75</v>
      </c>
      <c r="D24" s="95" t="s">
        <v>43</v>
      </c>
      <c r="E24" s="43"/>
      <c r="F24" s="125" t="s">
        <v>76</v>
      </c>
      <c r="G24" s="44"/>
      <c r="H24" s="55" t="s">
        <v>56</v>
      </c>
      <c r="I24" s="44" t="s">
        <v>29</v>
      </c>
      <c r="J24" s="123">
        <v>13787.349999999999</v>
      </c>
      <c r="K24" s="105"/>
      <c r="L24" s="105"/>
      <c r="M24" s="46"/>
      <c r="N24" s="47">
        <f t="shared" si="0"/>
        <v>0</v>
      </c>
      <c r="O24" s="16" t="s">
        <v>77</v>
      </c>
      <c r="P24" s="26" t="s">
        <v>78</v>
      </c>
      <c r="Q24" s="94" t="s">
        <v>79</v>
      </c>
    </row>
    <row r="25" spans="1:17" ht="13.8" x14ac:dyDescent="0.25">
      <c r="A25" s="338" t="s">
        <v>80</v>
      </c>
      <c r="B25" s="173" t="s">
        <v>74</v>
      </c>
      <c r="C25" s="167" t="s">
        <v>634</v>
      </c>
      <c r="D25" s="96" t="s">
        <v>82</v>
      </c>
      <c r="E25" s="56"/>
      <c r="F25" s="54" t="s">
        <v>43</v>
      </c>
      <c r="G25" s="44"/>
      <c r="H25" s="55" t="s">
        <v>56</v>
      </c>
      <c r="I25" s="44" t="s">
        <v>29</v>
      </c>
      <c r="J25" s="49">
        <v>11267</v>
      </c>
      <c r="K25" s="105"/>
      <c r="L25" s="105"/>
      <c r="M25" s="46"/>
      <c r="N25" s="47">
        <f t="shared" si="0"/>
        <v>0</v>
      </c>
      <c r="O25" s="17" t="s">
        <v>83</v>
      </c>
      <c r="P25" s="26" t="s">
        <v>84</v>
      </c>
      <c r="Q25" s="94" t="s">
        <v>85</v>
      </c>
    </row>
    <row r="26" spans="1:17" ht="13.8" x14ac:dyDescent="0.25">
      <c r="A26" s="338" t="s">
        <v>86</v>
      </c>
      <c r="B26" s="173" t="s">
        <v>74</v>
      </c>
      <c r="C26" s="167" t="s">
        <v>931</v>
      </c>
      <c r="D26" s="95" t="s">
        <v>88</v>
      </c>
      <c r="E26" s="43"/>
      <c r="F26" s="125" t="s">
        <v>89</v>
      </c>
      <c r="G26" s="44"/>
      <c r="H26" s="55" t="s">
        <v>56</v>
      </c>
      <c r="I26" s="44" t="s">
        <v>29</v>
      </c>
      <c r="J26" s="123">
        <v>6871.2000000000007</v>
      </c>
      <c r="K26" s="109">
        <v>55</v>
      </c>
      <c r="L26" s="109" t="s">
        <v>90</v>
      </c>
      <c r="M26" s="46"/>
      <c r="N26" s="47">
        <f t="shared" si="0"/>
        <v>0</v>
      </c>
      <c r="O26" s="16" t="s">
        <v>77</v>
      </c>
      <c r="P26" s="26" t="s">
        <v>91</v>
      </c>
      <c r="Q26" s="94" t="s">
        <v>92</v>
      </c>
    </row>
    <row r="27" spans="1:17" ht="13.8" x14ac:dyDescent="0.25">
      <c r="A27" s="338" t="s">
        <v>93</v>
      </c>
      <c r="B27" s="173" t="s">
        <v>74</v>
      </c>
      <c r="C27" s="167" t="s">
        <v>932</v>
      </c>
      <c r="D27" s="129"/>
      <c r="E27" s="56"/>
      <c r="F27" s="127" t="s">
        <v>27</v>
      </c>
      <c r="G27" s="44"/>
      <c r="H27" s="55" t="s">
        <v>56</v>
      </c>
      <c r="I27" s="44" t="s">
        <v>29</v>
      </c>
      <c r="J27" s="49">
        <v>1000</v>
      </c>
      <c r="K27" s="105"/>
      <c r="L27" s="105"/>
      <c r="M27" s="46"/>
      <c r="N27" s="47">
        <f t="shared" si="0"/>
        <v>0</v>
      </c>
      <c r="O27" s="17" t="s">
        <v>95</v>
      </c>
      <c r="P27" s="26" t="s">
        <v>96</v>
      </c>
      <c r="Q27" s="94" t="s">
        <v>97</v>
      </c>
    </row>
    <row r="28" spans="1:17" ht="13.8" x14ac:dyDescent="0.25">
      <c r="A28" s="338" t="s">
        <v>98</v>
      </c>
      <c r="B28" s="173" t="s">
        <v>74</v>
      </c>
      <c r="C28" s="167" t="s">
        <v>933</v>
      </c>
      <c r="D28" s="96" t="s">
        <v>43</v>
      </c>
      <c r="E28" s="56"/>
      <c r="F28" s="54" t="s">
        <v>43</v>
      </c>
      <c r="G28" s="44"/>
      <c r="H28" s="55" t="s">
        <v>56</v>
      </c>
      <c r="I28" s="44" t="s">
        <v>29</v>
      </c>
      <c r="J28" s="49">
        <v>1000</v>
      </c>
      <c r="K28" s="105"/>
      <c r="L28" s="105"/>
      <c r="M28" s="46"/>
      <c r="N28" s="47">
        <f t="shared" si="0"/>
        <v>0</v>
      </c>
      <c r="O28" s="17" t="s">
        <v>95</v>
      </c>
      <c r="P28" s="26" t="s">
        <v>100</v>
      </c>
      <c r="Q28" s="94" t="s">
        <v>97</v>
      </c>
    </row>
    <row r="29" spans="1:17" ht="13.8" x14ac:dyDescent="0.25">
      <c r="A29" s="338" t="s">
        <v>101</v>
      </c>
      <c r="B29" s="173" t="s">
        <v>74</v>
      </c>
      <c r="C29" s="167" t="s">
        <v>934</v>
      </c>
      <c r="D29" s="96" t="s">
        <v>103</v>
      </c>
      <c r="E29" s="56"/>
      <c r="F29" s="54" t="s">
        <v>104</v>
      </c>
      <c r="G29" s="55"/>
      <c r="H29" s="55" t="s">
        <v>56</v>
      </c>
      <c r="I29" s="44" t="s">
        <v>29</v>
      </c>
      <c r="J29" s="45">
        <v>10555</v>
      </c>
      <c r="K29" s="109">
        <v>55</v>
      </c>
      <c r="L29" s="109" t="s">
        <v>90</v>
      </c>
      <c r="M29" s="46"/>
      <c r="N29" s="47">
        <f t="shared" si="0"/>
        <v>0</v>
      </c>
      <c r="O29" s="16" t="s">
        <v>77</v>
      </c>
      <c r="P29" s="26" t="s">
        <v>105</v>
      </c>
      <c r="Q29" s="94" t="s">
        <v>106</v>
      </c>
    </row>
    <row r="30" spans="1:17" ht="13.8" x14ac:dyDescent="0.25">
      <c r="A30" s="340" t="s">
        <v>927</v>
      </c>
      <c r="B30" s="173"/>
      <c r="C30" s="167" t="s">
        <v>935</v>
      </c>
      <c r="D30" s="96"/>
      <c r="E30" s="56"/>
      <c r="F30" s="54"/>
      <c r="G30" s="55"/>
      <c r="H30" s="55"/>
      <c r="I30" s="44"/>
      <c r="J30" s="45"/>
      <c r="K30" s="109"/>
      <c r="L30" s="109"/>
      <c r="M30" s="46"/>
      <c r="N30" s="47"/>
      <c r="O30" s="16"/>
      <c r="P30" s="339"/>
      <c r="Q30" s="337"/>
    </row>
    <row r="31" spans="1:17" ht="13.8" x14ac:dyDescent="0.25">
      <c r="A31" s="340" t="s">
        <v>928</v>
      </c>
      <c r="B31" s="173"/>
      <c r="C31" s="167" t="s">
        <v>936</v>
      </c>
      <c r="D31" s="96"/>
      <c r="E31" s="56"/>
      <c r="F31" s="54"/>
      <c r="G31" s="55"/>
      <c r="H31" s="55"/>
      <c r="I31" s="44"/>
      <c r="J31" s="45"/>
      <c r="K31" s="109"/>
      <c r="L31" s="109"/>
      <c r="M31" s="46"/>
      <c r="N31" s="47"/>
      <c r="O31" s="16"/>
      <c r="P31" s="339"/>
      <c r="Q31" s="337"/>
    </row>
    <row r="32" spans="1:17" ht="13.8" x14ac:dyDescent="0.25">
      <c r="A32" s="340" t="s">
        <v>929</v>
      </c>
      <c r="B32" s="173"/>
      <c r="C32" s="167" t="s">
        <v>937</v>
      </c>
      <c r="D32" s="96"/>
      <c r="E32" s="56"/>
      <c r="F32" s="54"/>
      <c r="G32" s="55"/>
      <c r="H32" s="55"/>
      <c r="I32" s="44"/>
      <c r="J32" s="45"/>
      <c r="K32" s="109"/>
      <c r="L32" s="109"/>
      <c r="M32" s="46"/>
      <c r="N32" s="47"/>
      <c r="O32" s="16"/>
      <c r="P32" s="339"/>
      <c r="Q32" s="337"/>
    </row>
    <row r="33" spans="1:17" ht="13.8" x14ac:dyDescent="0.25">
      <c r="A33" s="340" t="s">
        <v>930</v>
      </c>
      <c r="B33" s="173"/>
      <c r="C33" s="167" t="s">
        <v>938</v>
      </c>
      <c r="D33" s="96"/>
      <c r="E33" s="56"/>
      <c r="F33" s="54"/>
      <c r="G33" s="55"/>
      <c r="H33" s="55"/>
      <c r="I33" s="44"/>
      <c r="J33" s="45"/>
      <c r="K33" s="109"/>
      <c r="L33" s="109"/>
      <c r="M33" s="46"/>
      <c r="N33" s="47"/>
      <c r="O33" s="16"/>
      <c r="P33" s="339"/>
      <c r="Q33" s="337"/>
    </row>
    <row r="34" spans="1:17" x14ac:dyDescent="0.25">
      <c r="B34" s="173"/>
      <c r="C34" s="167"/>
      <c r="D34" s="43"/>
      <c r="E34" s="56"/>
      <c r="F34" s="56"/>
      <c r="G34" s="44"/>
      <c r="H34" s="55"/>
      <c r="I34" s="55"/>
      <c r="J34" s="47"/>
      <c r="K34" s="110"/>
      <c r="L34" s="110"/>
      <c r="M34" s="46"/>
      <c r="N34" s="47"/>
      <c r="O34" s="52"/>
    </row>
    <row r="35" spans="1:17" x14ac:dyDescent="0.25">
      <c r="B35" s="173"/>
      <c r="C35" s="168" t="s">
        <v>137</v>
      </c>
      <c r="D35" s="129"/>
      <c r="E35" s="57"/>
      <c r="F35" s="54"/>
      <c r="G35" s="38"/>
      <c r="H35" s="38"/>
      <c r="I35" s="38"/>
      <c r="J35" s="126"/>
      <c r="K35" s="107"/>
      <c r="L35" s="107"/>
      <c r="M35" s="46"/>
      <c r="N35" s="47"/>
      <c r="O35" s="15">
        <f>SUM(N36:N39)</f>
        <v>0</v>
      </c>
    </row>
    <row r="36" spans="1:17" x14ac:dyDescent="0.25">
      <c r="A36" s="149" t="s">
        <v>138</v>
      </c>
      <c r="B36" s="173"/>
      <c r="C36" s="167" t="s">
        <v>139</v>
      </c>
      <c r="D36" s="96" t="s">
        <v>43</v>
      </c>
      <c r="E36" s="96" t="s">
        <v>43</v>
      </c>
      <c r="F36" s="54" t="s">
        <v>140</v>
      </c>
      <c r="G36" s="55"/>
      <c r="H36" s="55" t="s">
        <v>56</v>
      </c>
      <c r="I36" s="44" t="s">
        <v>29</v>
      </c>
      <c r="J36" s="45">
        <v>15073.800000000001</v>
      </c>
      <c r="K36" s="105"/>
      <c r="L36" s="105"/>
      <c r="M36" s="46"/>
      <c r="N36" s="47">
        <f>J36*M36</f>
        <v>0</v>
      </c>
      <c r="O36" s="16" t="s">
        <v>68</v>
      </c>
      <c r="P36" s="211" t="s">
        <v>560</v>
      </c>
      <c r="Q36" s="94" t="s">
        <v>142</v>
      </c>
    </row>
    <row r="37" spans="1:17" x14ac:dyDescent="0.25">
      <c r="A37" s="152" t="s">
        <v>143</v>
      </c>
      <c r="B37" s="173"/>
      <c r="C37" s="172" t="s">
        <v>144</v>
      </c>
      <c r="D37" s="96" t="s">
        <v>43</v>
      </c>
      <c r="E37" s="96" t="s">
        <v>43</v>
      </c>
      <c r="F37" s="125" t="s">
        <v>145</v>
      </c>
      <c r="G37" s="55"/>
      <c r="H37" s="55" t="s">
        <v>56</v>
      </c>
      <c r="I37" s="44" t="s">
        <v>29</v>
      </c>
      <c r="J37" s="123">
        <v>24956.400000000001</v>
      </c>
      <c r="K37" s="109">
        <v>55</v>
      </c>
      <c r="L37" s="109" t="s">
        <v>90</v>
      </c>
      <c r="M37" s="46"/>
      <c r="N37" s="47">
        <f>J37*M37</f>
        <v>0</v>
      </c>
      <c r="O37" s="16" t="s">
        <v>77</v>
      </c>
      <c r="P37" s="211" t="s">
        <v>560</v>
      </c>
      <c r="Q37" s="94" t="s">
        <v>142</v>
      </c>
    </row>
    <row r="38" spans="1:17" x14ac:dyDescent="0.25">
      <c r="A38" s="149" t="s">
        <v>146</v>
      </c>
      <c r="B38" s="173"/>
      <c r="C38" s="167" t="s">
        <v>147</v>
      </c>
      <c r="D38" s="96" t="s">
        <v>43</v>
      </c>
      <c r="E38" s="96" t="s">
        <v>43</v>
      </c>
      <c r="F38" s="241" t="s">
        <v>148</v>
      </c>
      <c r="G38" s="55"/>
      <c r="H38" s="55" t="s">
        <v>56</v>
      </c>
      <c r="I38" s="44" t="s">
        <v>29</v>
      </c>
      <c r="J38" s="123">
        <v>3019.8</v>
      </c>
      <c r="K38" s="109">
        <v>55</v>
      </c>
      <c r="L38" s="109" t="s">
        <v>90</v>
      </c>
      <c r="M38" s="46"/>
      <c r="N38" s="47">
        <f>J38*M38</f>
        <v>0</v>
      </c>
      <c r="O38" s="16" t="s">
        <v>77</v>
      </c>
      <c r="P38" s="211" t="s">
        <v>561</v>
      </c>
      <c r="Q38" s="94" t="s">
        <v>150</v>
      </c>
    </row>
    <row r="39" spans="1:17" x14ac:dyDescent="0.25">
      <c r="B39" s="173"/>
      <c r="C39" s="167"/>
      <c r="D39" s="128"/>
      <c r="E39" s="50"/>
      <c r="F39" s="50"/>
      <c r="G39" s="44"/>
      <c r="H39" s="44"/>
      <c r="I39" s="44"/>
      <c r="J39" s="126"/>
      <c r="K39" s="107"/>
      <c r="L39" s="107"/>
      <c r="M39" s="46"/>
      <c r="N39" s="47"/>
      <c r="O39" s="52"/>
    </row>
    <row r="40" spans="1:17" x14ac:dyDescent="0.25">
      <c r="B40" s="173"/>
      <c r="C40" s="168" t="s">
        <v>151</v>
      </c>
      <c r="D40" s="129"/>
      <c r="E40" s="37"/>
      <c r="F40" s="37"/>
      <c r="G40" s="38"/>
      <c r="H40" s="38"/>
      <c r="I40" s="38"/>
      <c r="J40" s="126"/>
      <c r="K40" s="107"/>
      <c r="L40" s="107"/>
      <c r="M40" s="46"/>
      <c r="N40" s="47"/>
      <c r="O40" s="15">
        <f>SUM(N41:N46)</f>
        <v>0</v>
      </c>
    </row>
    <row r="41" spans="1:17" x14ac:dyDescent="0.25">
      <c r="A41" s="153" t="s">
        <v>158</v>
      </c>
      <c r="C41" s="42" t="s">
        <v>159</v>
      </c>
      <c r="D41" s="128"/>
      <c r="E41" s="50"/>
      <c r="F41" s="50"/>
      <c r="G41" s="44"/>
      <c r="H41" s="55" t="s">
        <v>56</v>
      </c>
      <c r="I41" s="44" t="s">
        <v>29</v>
      </c>
      <c r="J41" s="49">
        <v>1440</v>
      </c>
      <c r="K41" s="105"/>
      <c r="L41" s="105"/>
      <c r="M41" s="46"/>
      <c r="N41" s="47">
        <f t="shared" ref="N41:N44" si="1">J41*M41</f>
        <v>0</v>
      </c>
      <c r="O41" s="59" t="s">
        <v>160</v>
      </c>
      <c r="P41" s="26" t="s">
        <v>156</v>
      </c>
      <c r="Q41" s="94" t="s">
        <v>157</v>
      </c>
    </row>
    <row r="42" spans="1:17" x14ac:dyDescent="0.25">
      <c r="A42" s="153" t="s">
        <v>166</v>
      </c>
      <c r="C42" s="42" t="s">
        <v>167</v>
      </c>
      <c r="D42" s="96" t="s">
        <v>43</v>
      </c>
      <c r="E42" s="97"/>
      <c r="F42" s="98" t="s">
        <v>166</v>
      </c>
      <c r="G42" s="44"/>
      <c r="H42" s="55" t="s">
        <v>56</v>
      </c>
      <c r="I42" s="44" t="s">
        <v>29</v>
      </c>
      <c r="J42" s="49">
        <v>10223</v>
      </c>
      <c r="K42" s="105"/>
      <c r="L42" s="105"/>
      <c r="M42" s="46"/>
      <c r="N42" s="47">
        <f t="shared" si="1"/>
        <v>0</v>
      </c>
      <c r="O42" s="16" t="s">
        <v>68</v>
      </c>
      <c r="P42" s="26" t="s">
        <v>168</v>
      </c>
      <c r="Q42" s="94" t="s">
        <v>169</v>
      </c>
    </row>
    <row r="43" spans="1:17" x14ac:dyDescent="0.25">
      <c r="A43" s="152" t="s">
        <v>170</v>
      </c>
      <c r="C43" s="42" t="s">
        <v>171</v>
      </c>
      <c r="D43" s="96" t="s">
        <v>43</v>
      </c>
      <c r="E43" s="97"/>
      <c r="F43" s="99" t="s">
        <v>170</v>
      </c>
      <c r="G43" s="55"/>
      <c r="H43" s="55" t="s">
        <v>56</v>
      </c>
      <c r="I43" s="44" t="s">
        <v>29</v>
      </c>
      <c r="J43" s="49">
        <v>2334</v>
      </c>
      <c r="K43" s="105"/>
      <c r="L43" s="105"/>
      <c r="M43" s="46"/>
      <c r="N43" s="47">
        <f t="shared" si="1"/>
        <v>0</v>
      </c>
      <c r="O43" s="16" t="s">
        <v>68</v>
      </c>
      <c r="P43" s="26" t="s">
        <v>172</v>
      </c>
      <c r="Q43" s="94" t="s">
        <v>173</v>
      </c>
    </row>
    <row r="44" spans="1:17" x14ac:dyDescent="0.25">
      <c r="A44" s="149" t="s">
        <v>174</v>
      </c>
      <c r="C44" s="42" t="s">
        <v>175</v>
      </c>
      <c r="D44" s="128"/>
      <c r="E44" s="50"/>
      <c r="F44" s="50"/>
      <c r="G44" s="44"/>
      <c r="H44" s="44"/>
      <c r="I44" s="44"/>
      <c r="J44" s="49">
        <v>1500</v>
      </c>
      <c r="K44" s="105"/>
      <c r="L44" s="105"/>
      <c r="M44" s="46"/>
      <c r="N44" s="47">
        <f t="shared" si="1"/>
        <v>0</v>
      </c>
      <c r="O44" s="52"/>
    </row>
    <row r="45" spans="1:17" x14ac:dyDescent="0.25">
      <c r="C45" s="42"/>
      <c r="D45" s="134"/>
      <c r="E45" s="56"/>
      <c r="F45" s="56"/>
      <c r="G45" s="55"/>
      <c r="H45" s="55"/>
      <c r="I45" s="55"/>
      <c r="J45" s="47"/>
      <c r="K45" s="110"/>
      <c r="L45" s="110"/>
      <c r="M45" s="46"/>
      <c r="N45" s="47"/>
      <c r="O45" s="24"/>
    </row>
    <row r="46" spans="1:17" x14ac:dyDescent="0.25">
      <c r="C46" s="42"/>
      <c r="D46" s="134"/>
      <c r="E46" s="56"/>
      <c r="F46" s="56"/>
      <c r="G46" s="55"/>
      <c r="H46" s="55"/>
      <c r="I46" s="55"/>
      <c r="J46" s="47"/>
      <c r="K46" s="110"/>
      <c r="L46" s="110"/>
      <c r="M46" s="46"/>
      <c r="N46" s="47"/>
      <c r="O46" s="52"/>
    </row>
    <row r="47" spans="1:17" ht="17.399999999999999" x14ac:dyDescent="0.3">
      <c r="C47" s="91" t="s">
        <v>179</v>
      </c>
      <c r="D47" s="133"/>
      <c r="E47" s="33"/>
      <c r="F47" s="33"/>
      <c r="G47" s="34"/>
      <c r="H47" s="34"/>
      <c r="I47" s="34"/>
      <c r="J47" s="33"/>
      <c r="K47" s="103"/>
      <c r="L47" s="103"/>
      <c r="M47" s="35"/>
      <c r="N47" s="33"/>
      <c r="O47" s="14" t="e">
        <f>O49+O61+O70+O111+O125+#REF!+O140+O142+O151+O154+O170</f>
        <v>#REF!</v>
      </c>
    </row>
    <row r="48" spans="1:17" x14ac:dyDescent="0.25">
      <c r="C48" s="42"/>
      <c r="D48" s="43"/>
      <c r="E48" s="43"/>
      <c r="F48" s="43"/>
      <c r="G48" s="44"/>
      <c r="H48" s="55"/>
      <c r="I48" s="55"/>
      <c r="J48" s="47"/>
      <c r="K48" s="110"/>
      <c r="L48" s="110"/>
      <c r="M48" s="46"/>
      <c r="N48" s="47"/>
      <c r="O48" s="52"/>
    </row>
    <row r="49" spans="1:17" x14ac:dyDescent="0.25">
      <c r="C49" s="36" t="s">
        <v>180</v>
      </c>
      <c r="D49" s="129"/>
      <c r="E49" s="37"/>
      <c r="F49" s="37"/>
      <c r="G49" s="38"/>
      <c r="H49" s="38"/>
      <c r="I49" s="38"/>
      <c r="J49" s="39"/>
      <c r="K49" s="104"/>
      <c r="L49" s="104"/>
      <c r="M49" s="46"/>
      <c r="N49" s="47"/>
      <c r="O49" s="15">
        <f>SUM(N50:N60)</f>
        <v>0</v>
      </c>
      <c r="Q49" s="30"/>
    </row>
    <row r="50" spans="1:17" x14ac:dyDescent="0.25">
      <c r="A50" s="149" t="s">
        <v>181</v>
      </c>
      <c r="C50" s="42" t="s">
        <v>182</v>
      </c>
      <c r="D50" s="135" t="s">
        <v>183</v>
      </c>
      <c r="E50" s="60"/>
      <c r="F50" s="60"/>
      <c r="G50" s="44">
        <v>61882010332</v>
      </c>
      <c r="H50" s="44" t="s">
        <v>184</v>
      </c>
      <c r="I50" s="44" t="s">
        <v>29</v>
      </c>
      <c r="J50" s="102">
        <v>73.52</v>
      </c>
      <c r="K50" s="105"/>
      <c r="L50" s="105"/>
      <c r="M50" s="46"/>
      <c r="N50" s="47">
        <f t="shared" ref="N50:N59" si="2">J50*M50</f>
        <v>0</v>
      </c>
      <c r="O50" s="25" t="s">
        <v>185</v>
      </c>
      <c r="P50" s="211" t="s">
        <v>562</v>
      </c>
      <c r="Q50" s="94" t="s">
        <v>187</v>
      </c>
    </row>
    <row r="51" spans="1:17" x14ac:dyDescent="0.25">
      <c r="A51" s="152" t="s">
        <v>188</v>
      </c>
      <c r="C51" s="42" t="s">
        <v>189</v>
      </c>
      <c r="D51" s="135" t="s">
        <v>183</v>
      </c>
      <c r="E51" s="60"/>
      <c r="F51" s="60"/>
      <c r="G51" s="44">
        <v>61882010332</v>
      </c>
      <c r="H51" s="44" t="s">
        <v>184</v>
      </c>
      <c r="I51" s="44" t="s">
        <v>29</v>
      </c>
      <c r="J51" s="102">
        <v>73.52</v>
      </c>
      <c r="K51" s="105"/>
      <c r="L51" s="105"/>
      <c r="M51" s="46"/>
      <c r="N51" s="47">
        <f t="shared" si="2"/>
        <v>0</v>
      </c>
      <c r="O51" s="25" t="s">
        <v>185</v>
      </c>
      <c r="P51" s="211" t="s">
        <v>562</v>
      </c>
      <c r="Q51" s="94" t="s">
        <v>187</v>
      </c>
    </row>
    <row r="52" spans="1:17" x14ac:dyDescent="0.25">
      <c r="A52" s="153" t="s">
        <v>190</v>
      </c>
      <c r="C52" s="42" t="s">
        <v>191</v>
      </c>
      <c r="D52" s="135" t="s">
        <v>183</v>
      </c>
      <c r="E52" s="60"/>
      <c r="F52" s="60"/>
      <c r="G52" s="44">
        <v>61882010332</v>
      </c>
      <c r="H52" s="44" t="s">
        <v>184</v>
      </c>
      <c r="I52" s="44" t="s">
        <v>29</v>
      </c>
      <c r="J52" s="102">
        <v>73.52</v>
      </c>
      <c r="K52" s="105"/>
      <c r="L52" s="105"/>
      <c r="M52" s="46"/>
      <c r="N52" s="47">
        <f t="shared" si="2"/>
        <v>0</v>
      </c>
      <c r="O52" s="25" t="s">
        <v>185</v>
      </c>
      <c r="P52" s="211" t="s">
        <v>562</v>
      </c>
      <c r="Q52" s="94" t="s">
        <v>187</v>
      </c>
    </row>
    <row r="53" spans="1:17" x14ac:dyDescent="0.25">
      <c r="A53" s="149" t="s">
        <v>192</v>
      </c>
      <c r="C53" s="42" t="s">
        <v>193</v>
      </c>
      <c r="D53" s="135" t="s">
        <v>194</v>
      </c>
      <c r="E53" s="60"/>
      <c r="F53" s="60"/>
      <c r="G53" s="44">
        <v>101184332</v>
      </c>
      <c r="H53" s="44" t="s">
        <v>195</v>
      </c>
      <c r="I53" s="44" t="s">
        <v>29</v>
      </c>
      <c r="J53" s="117">
        <v>134.52000000000001</v>
      </c>
      <c r="K53" s="118">
        <v>13</v>
      </c>
      <c r="L53" s="118" t="s">
        <v>196</v>
      </c>
      <c r="M53" s="46"/>
      <c r="N53" s="47">
        <f t="shared" si="2"/>
        <v>0</v>
      </c>
      <c r="O53" s="17" t="s">
        <v>197</v>
      </c>
      <c r="P53" s="211" t="s">
        <v>562</v>
      </c>
      <c r="Q53" s="94" t="s">
        <v>187</v>
      </c>
    </row>
    <row r="54" spans="1:17" x14ac:dyDescent="0.25">
      <c r="C54" s="61" t="s">
        <v>198</v>
      </c>
      <c r="D54" s="136"/>
      <c r="E54" s="62"/>
      <c r="F54" s="62"/>
      <c r="G54" s="44">
        <v>101150877</v>
      </c>
      <c r="H54" s="44" t="s">
        <v>195</v>
      </c>
      <c r="I54" s="44" t="s">
        <v>29</v>
      </c>
      <c r="J54" s="45">
        <v>12.2</v>
      </c>
      <c r="K54" s="109">
        <v>1</v>
      </c>
      <c r="L54" s="109" t="s">
        <v>196</v>
      </c>
      <c r="M54" s="74">
        <f>M53</f>
        <v>0</v>
      </c>
      <c r="N54" s="47">
        <f t="shared" si="2"/>
        <v>0</v>
      </c>
      <c r="O54" s="17" t="s">
        <v>197</v>
      </c>
      <c r="P54" s="211" t="s">
        <v>562</v>
      </c>
      <c r="Q54" s="94" t="s">
        <v>187</v>
      </c>
    </row>
    <row r="55" spans="1:17" x14ac:dyDescent="0.25">
      <c r="C55" s="61" t="s">
        <v>199</v>
      </c>
      <c r="D55" s="135" t="s">
        <v>200</v>
      </c>
      <c r="E55" s="63"/>
      <c r="F55" s="63"/>
      <c r="G55" s="44">
        <v>103003865</v>
      </c>
      <c r="H55" s="44" t="s">
        <v>195</v>
      </c>
      <c r="I55" s="44" t="s">
        <v>29</v>
      </c>
      <c r="J55" s="45">
        <v>24.8</v>
      </c>
      <c r="K55" s="109">
        <v>10</v>
      </c>
      <c r="L55" s="109" t="s">
        <v>196</v>
      </c>
      <c r="M55" s="74">
        <f>M53</f>
        <v>0</v>
      </c>
      <c r="N55" s="47">
        <f t="shared" si="2"/>
        <v>0</v>
      </c>
      <c r="O55" s="17" t="s">
        <v>197</v>
      </c>
      <c r="P55" s="211" t="s">
        <v>562</v>
      </c>
      <c r="Q55" s="94" t="s">
        <v>187</v>
      </c>
    </row>
    <row r="56" spans="1:17" x14ac:dyDescent="0.25">
      <c r="C56" s="61" t="s">
        <v>201</v>
      </c>
      <c r="D56" s="135" t="s">
        <v>202</v>
      </c>
      <c r="E56" s="63"/>
      <c r="F56" s="63"/>
      <c r="G56" s="44">
        <v>101186696</v>
      </c>
      <c r="H56" s="44" t="s">
        <v>195</v>
      </c>
      <c r="I56" s="44" t="s">
        <v>29</v>
      </c>
      <c r="J56" s="45">
        <v>8.4499999999999993</v>
      </c>
      <c r="K56" s="109">
        <v>6</v>
      </c>
      <c r="L56" s="109" t="s">
        <v>196</v>
      </c>
      <c r="M56" s="74">
        <f>M53</f>
        <v>0</v>
      </c>
      <c r="N56" s="47">
        <f t="shared" si="2"/>
        <v>0</v>
      </c>
      <c r="O56" s="17" t="s">
        <v>197</v>
      </c>
      <c r="P56" s="211" t="s">
        <v>562</v>
      </c>
      <c r="Q56" s="94" t="s">
        <v>187</v>
      </c>
    </row>
    <row r="57" spans="1:17" x14ac:dyDescent="0.25">
      <c r="C57" s="61" t="s">
        <v>203</v>
      </c>
      <c r="D57" s="135" t="s">
        <v>204</v>
      </c>
      <c r="E57" s="63"/>
      <c r="F57" s="63"/>
      <c r="G57" s="44">
        <v>101193046</v>
      </c>
      <c r="H57" s="44" t="s">
        <v>195</v>
      </c>
      <c r="I57" s="44" t="s">
        <v>29</v>
      </c>
      <c r="J57" s="45">
        <v>5.8</v>
      </c>
      <c r="K57" s="109">
        <v>1</v>
      </c>
      <c r="L57" s="109" t="s">
        <v>196</v>
      </c>
      <c r="M57" s="74">
        <f>M53*3</f>
        <v>0</v>
      </c>
      <c r="N57" s="47">
        <f t="shared" si="2"/>
        <v>0</v>
      </c>
      <c r="O57" s="17" t="s">
        <v>197</v>
      </c>
      <c r="P57" s="211" t="s">
        <v>562</v>
      </c>
      <c r="Q57" s="94" t="s">
        <v>187</v>
      </c>
    </row>
    <row r="58" spans="1:17" x14ac:dyDescent="0.25">
      <c r="C58" s="61" t="s">
        <v>205</v>
      </c>
      <c r="D58" s="135" t="s">
        <v>206</v>
      </c>
      <c r="E58" s="63"/>
      <c r="F58" s="63"/>
      <c r="G58" s="44">
        <v>101190917</v>
      </c>
      <c r="H58" s="44" t="s">
        <v>195</v>
      </c>
      <c r="I58" s="44" t="s">
        <v>29</v>
      </c>
      <c r="J58" s="45">
        <v>0.88000000000000012</v>
      </c>
      <c r="K58" s="109">
        <v>1</v>
      </c>
      <c r="L58" s="109" t="s">
        <v>196</v>
      </c>
      <c r="M58" s="74">
        <f>M53*3</f>
        <v>0</v>
      </c>
      <c r="N58" s="47">
        <f t="shared" si="2"/>
        <v>0</v>
      </c>
      <c r="O58" s="17" t="s">
        <v>197</v>
      </c>
      <c r="P58" s="211" t="s">
        <v>562</v>
      </c>
      <c r="Q58" s="94" t="s">
        <v>187</v>
      </c>
    </row>
    <row r="59" spans="1:17" x14ac:dyDescent="0.25">
      <c r="C59" s="61" t="s">
        <v>207</v>
      </c>
      <c r="D59" s="135" t="s">
        <v>208</v>
      </c>
      <c r="E59" s="63"/>
      <c r="F59" s="63"/>
      <c r="G59" s="44">
        <v>101087930</v>
      </c>
      <c r="H59" s="44" t="s">
        <v>195</v>
      </c>
      <c r="I59" s="44" t="s">
        <v>29</v>
      </c>
      <c r="J59" s="45">
        <v>2.15</v>
      </c>
      <c r="K59" s="109">
        <v>1</v>
      </c>
      <c r="L59" s="109" t="s">
        <v>196</v>
      </c>
      <c r="M59" s="74">
        <f>M53</f>
        <v>0</v>
      </c>
      <c r="N59" s="47">
        <f t="shared" si="2"/>
        <v>0</v>
      </c>
      <c r="O59" s="17" t="s">
        <v>197</v>
      </c>
      <c r="P59" s="211" t="s">
        <v>562</v>
      </c>
      <c r="Q59" s="94" t="s">
        <v>187</v>
      </c>
    </row>
    <row r="60" spans="1:17" x14ac:dyDescent="0.25">
      <c r="C60" s="42"/>
      <c r="D60" s="128"/>
      <c r="E60" s="50"/>
      <c r="F60" s="50"/>
      <c r="G60" s="44"/>
      <c r="H60" s="44"/>
      <c r="I60" s="44"/>
      <c r="J60" s="39"/>
      <c r="K60" s="104"/>
      <c r="L60" s="104"/>
      <c r="M60" s="46"/>
      <c r="N60" s="47"/>
      <c r="O60" s="52"/>
    </row>
    <row r="61" spans="1:17" x14ac:dyDescent="0.25">
      <c r="C61" s="36" t="s">
        <v>209</v>
      </c>
      <c r="D61" s="129"/>
      <c r="E61" s="37"/>
      <c r="F61" s="37"/>
      <c r="G61" s="44"/>
      <c r="H61" s="38"/>
      <c r="I61" s="38"/>
      <c r="J61" s="39"/>
      <c r="K61" s="104"/>
      <c r="L61" s="104"/>
      <c r="M61" s="46"/>
      <c r="N61" s="47"/>
      <c r="O61" s="15">
        <f>SUM(N62:N69)</f>
        <v>0</v>
      </c>
    </row>
    <row r="62" spans="1:17" x14ac:dyDescent="0.25">
      <c r="C62" s="42" t="s">
        <v>210</v>
      </c>
      <c r="D62" s="135"/>
      <c r="E62" s="60"/>
      <c r="F62" s="89" t="s">
        <v>211</v>
      </c>
      <c r="G62" s="69" t="s">
        <v>212</v>
      </c>
      <c r="H62" s="44" t="s">
        <v>213</v>
      </c>
      <c r="I62" s="44" t="s">
        <v>29</v>
      </c>
      <c r="J62" s="64">
        <f>J64</f>
        <v>80.52</v>
      </c>
      <c r="K62" s="111"/>
      <c r="L62" s="111"/>
      <c r="M62" s="46">
        <f>M53</f>
        <v>0</v>
      </c>
      <c r="N62" s="47">
        <f t="shared" ref="N62:N68" si="3">J62*M62</f>
        <v>0</v>
      </c>
      <c r="O62" s="25" t="s">
        <v>214</v>
      </c>
      <c r="P62" s="211" t="s">
        <v>562</v>
      </c>
      <c r="Q62" s="94" t="s">
        <v>187</v>
      </c>
    </row>
    <row r="63" spans="1:17" x14ac:dyDescent="0.25">
      <c r="A63" s="149" t="s">
        <v>215</v>
      </c>
      <c r="C63" s="42" t="s">
        <v>216</v>
      </c>
      <c r="D63" s="137" t="s">
        <v>27</v>
      </c>
      <c r="E63" s="44"/>
      <c r="F63" s="44"/>
      <c r="G63" s="44" t="s">
        <v>27</v>
      </c>
      <c r="H63" s="44"/>
      <c r="I63" s="44" t="s">
        <v>29</v>
      </c>
      <c r="J63" s="49">
        <v>600</v>
      </c>
      <c r="K63" s="105"/>
      <c r="L63" s="105"/>
      <c r="M63" s="46"/>
      <c r="N63" s="47">
        <f t="shared" si="3"/>
        <v>0</v>
      </c>
      <c r="O63" s="24" t="s">
        <v>217</v>
      </c>
      <c r="P63" s="26" t="s">
        <v>218</v>
      </c>
      <c r="Q63" s="94" t="s">
        <v>187</v>
      </c>
    </row>
    <row r="64" spans="1:17" x14ac:dyDescent="0.25">
      <c r="A64" s="152" t="s">
        <v>219</v>
      </c>
      <c r="C64" s="42" t="s">
        <v>220</v>
      </c>
      <c r="D64" s="138"/>
      <c r="E64" s="44"/>
      <c r="F64" s="89" t="s">
        <v>211</v>
      </c>
      <c r="G64" s="69" t="s">
        <v>212</v>
      </c>
      <c r="H64" s="44" t="s">
        <v>213</v>
      </c>
      <c r="I64" s="44" t="s">
        <v>29</v>
      </c>
      <c r="J64" s="101">
        <f>65.39+15.13</f>
        <v>80.52</v>
      </c>
      <c r="K64" s="112"/>
      <c r="L64" s="112"/>
      <c r="M64" s="46"/>
      <c r="N64" s="47">
        <f t="shared" si="3"/>
        <v>0</v>
      </c>
      <c r="O64" s="25" t="s">
        <v>214</v>
      </c>
      <c r="P64" s="211" t="s">
        <v>563</v>
      </c>
      <c r="Q64" s="94" t="s">
        <v>187</v>
      </c>
    </row>
    <row r="65" spans="1:17" x14ac:dyDescent="0.25">
      <c r="A65" s="153" t="s">
        <v>222</v>
      </c>
      <c r="C65" s="42" t="s">
        <v>223</v>
      </c>
      <c r="D65" s="138"/>
      <c r="E65" s="44"/>
      <c r="F65" s="89" t="s">
        <v>224</v>
      </c>
      <c r="G65" s="69" t="s">
        <v>225</v>
      </c>
      <c r="H65" s="44" t="s">
        <v>213</v>
      </c>
      <c r="I65" s="44" t="s">
        <v>29</v>
      </c>
      <c r="J65" s="101">
        <f>65.39+15.13</f>
        <v>80.52</v>
      </c>
      <c r="K65" s="112"/>
      <c r="L65" s="112"/>
      <c r="M65" s="46"/>
      <c r="N65" s="47">
        <f t="shared" si="3"/>
        <v>0</v>
      </c>
      <c r="O65" s="25" t="s">
        <v>214</v>
      </c>
      <c r="P65" s="211" t="s">
        <v>563</v>
      </c>
      <c r="Q65" s="94" t="s">
        <v>187</v>
      </c>
    </row>
    <row r="66" spans="1:17" x14ac:dyDescent="0.25">
      <c r="A66" s="149" t="s">
        <v>226</v>
      </c>
      <c r="C66" s="42" t="s">
        <v>227</v>
      </c>
      <c r="D66" s="135"/>
      <c r="E66" s="44"/>
      <c r="F66" s="89" t="s">
        <v>228</v>
      </c>
      <c r="G66" s="69" t="s">
        <v>229</v>
      </c>
      <c r="H66" s="44" t="s">
        <v>213</v>
      </c>
      <c r="I66" s="44" t="s">
        <v>29</v>
      </c>
      <c r="J66" s="101">
        <f>76.2+15.13</f>
        <v>91.33</v>
      </c>
      <c r="K66" s="112"/>
      <c r="L66" s="112"/>
      <c r="M66" s="46"/>
      <c r="N66" s="47">
        <f t="shared" si="3"/>
        <v>0</v>
      </c>
      <c r="O66" s="25" t="s">
        <v>214</v>
      </c>
      <c r="P66" s="211" t="s">
        <v>563</v>
      </c>
      <c r="Q66" s="94" t="s">
        <v>187</v>
      </c>
    </row>
    <row r="67" spans="1:17" x14ac:dyDescent="0.25">
      <c r="A67" s="152" t="s">
        <v>230</v>
      </c>
      <c r="C67" s="42" t="s">
        <v>231</v>
      </c>
      <c r="D67" s="135"/>
      <c r="E67" s="44"/>
      <c r="F67" s="89" t="s">
        <v>232</v>
      </c>
      <c r="G67" s="69" t="s">
        <v>233</v>
      </c>
      <c r="H67" s="44" t="s">
        <v>213</v>
      </c>
      <c r="I67" s="44" t="s">
        <v>29</v>
      </c>
      <c r="J67" s="101">
        <f>86.42+15.13</f>
        <v>101.55</v>
      </c>
      <c r="K67" s="112"/>
      <c r="L67" s="112"/>
      <c r="M67" s="46"/>
      <c r="N67" s="47">
        <f t="shared" si="3"/>
        <v>0</v>
      </c>
      <c r="O67" s="25" t="s">
        <v>214</v>
      </c>
      <c r="P67" s="211" t="s">
        <v>563</v>
      </c>
      <c r="Q67" s="94" t="s">
        <v>187</v>
      </c>
    </row>
    <row r="68" spans="1:17" x14ac:dyDescent="0.25">
      <c r="A68" s="149" t="s">
        <v>234</v>
      </c>
      <c r="C68" s="68" t="s">
        <v>235</v>
      </c>
      <c r="D68" s="138" t="s">
        <v>236</v>
      </c>
      <c r="E68" s="65"/>
      <c r="F68" s="66"/>
      <c r="G68" s="69" t="s">
        <v>237</v>
      </c>
      <c r="H68" s="44" t="s">
        <v>213</v>
      </c>
      <c r="I68" s="44" t="s">
        <v>29</v>
      </c>
      <c r="J68" s="101">
        <f>457*1.2+250</f>
        <v>798.4</v>
      </c>
      <c r="K68" s="112"/>
      <c r="L68" s="112"/>
      <c r="M68" s="70"/>
      <c r="N68" s="47">
        <f t="shared" si="3"/>
        <v>0</v>
      </c>
      <c r="O68" s="25" t="s">
        <v>214</v>
      </c>
      <c r="P68" s="211" t="s">
        <v>563</v>
      </c>
      <c r="Q68" s="94" t="s">
        <v>187</v>
      </c>
    </row>
    <row r="69" spans="1:17" x14ac:dyDescent="0.25">
      <c r="C69" s="52"/>
      <c r="D69" s="139"/>
      <c r="E69" s="71"/>
      <c r="F69" s="71"/>
      <c r="G69" s="72" t="s">
        <v>49</v>
      </c>
      <c r="H69" s="73"/>
      <c r="I69" s="44" t="s">
        <v>29</v>
      </c>
      <c r="J69" s="126"/>
      <c r="K69" s="107"/>
      <c r="L69" s="107"/>
      <c r="M69" s="73"/>
      <c r="N69" s="47"/>
      <c r="O69" s="15"/>
    </row>
    <row r="70" spans="1:17" x14ac:dyDescent="0.25">
      <c r="C70" s="36" t="s">
        <v>238</v>
      </c>
      <c r="D70" s="128"/>
      <c r="E70" s="50"/>
      <c r="F70" s="50"/>
      <c r="G70" s="72" t="s">
        <v>49</v>
      </c>
      <c r="H70" s="44"/>
      <c r="I70" s="44" t="s">
        <v>29</v>
      </c>
      <c r="J70" s="126"/>
      <c r="K70" s="107"/>
      <c r="L70" s="107"/>
      <c r="M70" s="46"/>
      <c r="N70" s="47"/>
      <c r="O70" s="15">
        <f>SUM(N71:N110)</f>
        <v>0</v>
      </c>
    </row>
    <row r="71" spans="1:17" x14ac:dyDescent="0.25">
      <c r="A71" s="149" t="s">
        <v>239</v>
      </c>
      <c r="C71" s="61" t="s">
        <v>240</v>
      </c>
      <c r="D71" s="142" t="s">
        <v>241</v>
      </c>
      <c r="E71" s="60"/>
      <c r="F71" s="60"/>
      <c r="G71" s="48" t="s">
        <v>242</v>
      </c>
      <c r="H71" s="44" t="s">
        <v>213</v>
      </c>
      <c r="I71" s="44" t="s">
        <v>29</v>
      </c>
      <c r="J71" s="67">
        <v>15.04</v>
      </c>
      <c r="K71" s="115">
        <v>1</v>
      </c>
      <c r="L71" s="115" t="s">
        <v>90</v>
      </c>
      <c r="M71" s="46"/>
      <c r="N71" s="47">
        <f>J71*M71</f>
        <v>0</v>
      </c>
      <c r="O71" s="25" t="s">
        <v>214</v>
      </c>
      <c r="P71" s="211" t="s">
        <v>564</v>
      </c>
      <c r="Q71" s="94" t="s">
        <v>244</v>
      </c>
    </row>
    <row r="72" spans="1:17" x14ac:dyDescent="0.25">
      <c r="C72" s="61" t="s">
        <v>245</v>
      </c>
      <c r="D72" s="142" t="s">
        <v>246</v>
      </c>
      <c r="E72" s="60"/>
      <c r="F72" s="60"/>
      <c r="G72" s="48" t="s">
        <v>247</v>
      </c>
      <c r="H72" s="44" t="s">
        <v>213</v>
      </c>
      <c r="I72" s="44" t="s">
        <v>29</v>
      </c>
      <c r="J72" s="67">
        <v>25.28</v>
      </c>
      <c r="K72" s="115">
        <v>1</v>
      </c>
      <c r="L72" s="115" t="s">
        <v>90</v>
      </c>
      <c r="M72" s="74">
        <f>$M$71</f>
        <v>0</v>
      </c>
      <c r="N72" s="47">
        <f>J72*M72</f>
        <v>0</v>
      </c>
      <c r="O72" s="25" t="s">
        <v>214</v>
      </c>
      <c r="P72" s="211" t="s">
        <v>564</v>
      </c>
      <c r="Q72" s="94" t="s">
        <v>244</v>
      </c>
    </row>
    <row r="73" spans="1:17" x14ac:dyDescent="0.25">
      <c r="C73" s="61" t="s">
        <v>248</v>
      </c>
      <c r="D73" s="142" t="s">
        <v>249</v>
      </c>
      <c r="E73" s="60"/>
      <c r="F73" s="60"/>
      <c r="G73" s="48" t="s">
        <v>250</v>
      </c>
      <c r="H73" s="44" t="s">
        <v>213</v>
      </c>
      <c r="I73" s="44" t="s">
        <v>29</v>
      </c>
      <c r="J73" s="67">
        <v>24.86</v>
      </c>
      <c r="K73" s="115">
        <f>55/5</f>
        <v>11</v>
      </c>
      <c r="L73" s="115" t="s">
        <v>90</v>
      </c>
      <c r="M73" s="74">
        <f>$M$71</f>
        <v>0</v>
      </c>
      <c r="N73" s="47">
        <f>J73*M73</f>
        <v>0</v>
      </c>
      <c r="O73" s="25" t="s">
        <v>214</v>
      </c>
      <c r="P73" s="211" t="s">
        <v>564</v>
      </c>
      <c r="Q73" s="94" t="s">
        <v>244</v>
      </c>
    </row>
    <row r="74" spans="1:17" x14ac:dyDescent="0.25">
      <c r="C74" s="61" t="s">
        <v>251</v>
      </c>
      <c r="D74" s="142" t="s">
        <v>252</v>
      </c>
      <c r="E74" s="60"/>
      <c r="F74" s="60"/>
      <c r="G74" s="48" t="s">
        <v>253</v>
      </c>
      <c r="H74" s="44" t="s">
        <v>213</v>
      </c>
      <c r="I74" s="44" t="s">
        <v>29</v>
      </c>
      <c r="J74" s="67">
        <v>80.540000000000006</v>
      </c>
      <c r="K74" s="115">
        <v>1</v>
      </c>
      <c r="L74" s="115" t="s">
        <v>90</v>
      </c>
      <c r="M74" s="74">
        <f>$M$71</f>
        <v>0</v>
      </c>
      <c r="N74" s="47">
        <f>J74*M74</f>
        <v>0</v>
      </c>
      <c r="O74" s="25" t="s">
        <v>214</v>
      </c>
      <c r="P74" s="211" t="s">
        <v>564</v>
      </c>
      <c r="Q74" s="94" t="s">
        <v>244</v>
      </c>
    </row>
    <row r="75" spans="1:17" x14ac:dyDescent="0.25">
      <c r="C75" s="61" t="s">
        <v>254</v>
      </c>
      <c r="D75" s="135" t="s">
        <v>255</v>
      </c>
      <c r="E75" s="60"/>
      <c r="F75" s="60"/>
      <c r="G75" s="44" t="s">
        <v>256</v>
      </c>
      <c r="H75" s="44" t="s">
        <v>213</v>
      </c>
      <c r="I75" s="44" t="s">
        <v>29</v>
      </c>
      <c r="J75" s="67">
        <v>25.49</v>
      </c>
      <c r="K75" s="115">
        <v>1</v>
      </c>
      <c r="L75" s="115" t="s">
        <v>90</v>
      </c>
      <c r="M75" s="74">
        <f>$M$71</f>
        <v>0</v>
      </c>
      <c r="N75" s="47">
        <f>J75*M75</f>
        <v>0</v>
      </c>
      <c r="O75" s="25" t="s">
        <v>214</v>
      </c>
      <c r="P75" s="211" t="s">
        <v>564</v>
      </c>
      <c r="Q75" s="94" t="s">
        <v>244</v>
      </c>
    </row>
    <row r="76" spans="1:17" x14ac:dyDescent="0.25">
      <c r="C76" s="36" t="s">
        <v>257</v>
      </c>
      <c r="D76" s="128"/>
      <c r="E76" s="50"/>
      <c r="F76" s="50"/>
      <c r="G76" s="72" t="s">
        <v>49</v>
      </c>
      <c r="H76" s="44"/>
      <c r="I76" s="44" t="s">
        <v>29</v>
      </c>
      <c r="J76" s="39"/>
      <c r="K76" s="104"/>
      <c r="L76" s="104"/>
      <c r="M76" s="46"/>
      <c r="N76" s="47"/>
      <c r="O76" s="52"/>
    </row>
    <row r="77" spans="1:17" x14ac:dyDescent="0.25">
      <c r="A77" s="149" t="s">
        <v>258</v>
      </c>
      <c r="C77" s="61" t="s">
        <v>240</v>
      </c>
      <c r="D77" s="142" t="s">
        <v>241</v>
      </c>
      <c r="E77" s="60"/>
      <c r="F77" s="60"/>
      <c r="G77" s="48" t="s">
        <v>242</v>
      </c>
      <c r="H77" s="44" t="s">
        <v>213</v>
      </c>
      <c r="I77" s="44" t="s">
        <v>29</v>
      </c>
      <c r="J77" s="67">
        <v>15.04</v>
      </c>
      <c r="K77" s="115">
        <v>1</v>
      </c>
      <c r="L77" s="115" t="s">
        <v>90</v>
      </c>
      <c r="M77" s="46"/>
      <c r="N77" s="47">
        <f t="shared" ref="N77:N82" si="4">J77*M77</f>
        <v>0</v>
      </c>
      <c r="O77" s="25" t="s">
        <v>214</v>
      </c>
      <c r="P77" s="211" t="s">
        <v>564</v>
      </c>
      <c r="Q77" s="94" t="s">
        <v>244</v>
      </c>
    </row>
    <row r="78" spans="1:17" x14ac:dyDescent="0.25">
      <c r="C78" s="61" t="s">
        <v>245</v>
      </c>
      <c r="D78" s="142" t="s">
        <v>246</v>
      </c>
      <c r="E78" s="60"/>
      <c r="F78" s="60"/>
      <c r="G78" s="48" t="s">
        <v>247</v>
      </c>
      <c r="H78" s="44" t="s">
        <v>213</v>
      </c>
      <c r="I78" s="44" t="s">
        <v>29</v>
      </c>
      <c r="J78" s="67">
        <v>25.28</v>
      </c>
      <c r="K78" s="115">
        <v>1</v>
      </c>
      <c r="L78" s="115" t="s">
        <v>90</v>
      </c>
      <c r="M78" s="74">
        <f>$M$77</f>
        <v>0</v>
      </c>
      <c r="N78" s="47">
        <f t="shared" si="4"/>
        <v>0</v>
      </c>
      <c r="O78" s="25" t="s">
        <v>214</v>
      </c>
      <c r="P78" s="211" t="s">
        <v>564</v>
      </c>
      <c r="Q78" s="94" t="s">
        <v>244</v>
      </c>
    </row>
    <row r="79" spans="1:17" x14ac:dyDescent="0.25">
      <c r="C79" s="61" t="s">
        <v>248</v>
      </c>
      <c r="D79" s="142" t="s">
        <v>249</v>
      </c>
      <c r="E79" s="60"/>
      <c r="F79" s="60"/>
      <c r="G79" s="48" t="s">
        <v>250</v>
      </c>
      <c r="H79" s="44" t="s">
        <v>213</v>
      </c>
      <c r="I79" s="44" t="s">
        <v>29</v>
      </c>
      <c r="J79" s="67">
        <v>24.86</v>
      </c>
      <c r="K79" s="115">
        <f>55/5</f>
        <v>11</v>
      </c>
      <c r="L79" s="115" t="s">
        <v>90</v>
      </c>
      <c r="M79" s="74">
        <f>$M$77</f>
        <v>0</v>
      </c>
      <c r="N79" s="47">
        <f t="shared" si="4"/>
        <v>0</v>
      </c>
      <c r="O79" s="25" t="s">
        <v>214</v>
      </c>
      <c r="P79" s="211" t="s">
        <v>564</v>
      </c>
      <c r="Q79" s="94" t="s">
        <v>244</v>
      </c>
    </row>
    <row r="80" spans="1:17" x14ac:dyDescent="0.25">
      <c r="C80" s="61" t="s">
        <v>251</v>
      </c>
      <c r="D80" s="142" t="s">
        <v>252</v>
      </c>
      <c r="E80" s="60"/>
      <c r="F80" s="60"/>
      <c r="G80" s="48" t="s">
        <v>253</v>
      </c>
      <c r="H80" s="44" t="s">
        <v>213</v>
      </c>
      <c r="I80" s="44" t="s">
        <v>29</v>
      </c>
      <c r="J80" s="67">
        <v>80.540000000000006</v>
      </c>
      <c r="K80" s="115">
        <v>1</v>
      </c>
      <c r="L80" s="115" t="s">
        <v>90</v>
      </c>
      <c r="M80" s="74">
        <f>$M$77</f>
        <v>0</v>
      </c>
      <c r="N80" s="47">
        <f t="shared" si="4"/>
        <v>0</v>
      </c>
      <c r="O80" s="25" t="s">
        <v>214</v>
      </c>
      <c r="P80" s="211" t="s">
        <v>564</v>
      </c>
      <c r="Q80" s="94" t="s">
        <v>244</v>
      </c>
    </row>
    <row r="81" spans="1:17" x14ac:dyDescent="0.25">
      <c r="C81" s="61" t="s">
        <v>254</v>
      </c>
      <c r="D81" s="135" t="s">
        <v>255</v>
      </c>
      <c r="E81" s="60"/>
      <c r="F81" s="60"/>
      <c r="G81" s="44" t="s">
        <v>253</v>
      </c>
      <c r="H81" s="44" t="s">
        <v>213</v>
      </c>
      <c r="I81" s="44" t="s">
        <v>29</v>
      </c>
      <c r="J81" s="67">
        <v>25.49</v>
      </c>
      <c r="K81" s="115">
        <v>1</v>
      </c>
      <c r="L81" s="115" t="s">
        <v>90</v>
      </c>
      <c r="M81" s="74">
        <f>$M$77</f>
        <v>0</v>
      </c>
      <c r="N81" s="47">
        <f t="shared" si="4"/>
        <v>0</v>
      </c>
      <c r="O81" s="25" t="s">
        <v>214</v>
      </c>
      <c r="P81" s="211" t="s">
        <v>564</v>
      </c>
      <c r="Q81" s="94" t="s">
        <v>244</v>
      </c>
    </row>
    <row r="82" spans="1:17" x14ac:dyDescent="0.25">
      <c r="C82" s="61" t="s">
        <v>259</v>
      </c>
      <c r="D82" s="135" t="s">
        <v>260</v>
      </c>
      <c r="E82" s="60"/>
      <c r="F82" s="60"/>
      <c r="G82" s="44" t="s">
        <v>261</v>
      </c>
      <c r="H82" s="44" t="s">
        <v>213</v>
      </c>
      <c r="I82" s="44" t="s">
        <v>29</v>
      </c>
      <c r="J82" s="67">
        <v>34.700000000000003</v>
      </c>
      <c r="K82" s="115">
        <v>1</v>
      </c>
      <c r="L82" s="115" t="s">
        <v>90</v>
      </c>
      <c r="M82" s="74">
        <f>$M$77</f>
        <v>0</v>
      </c>
      <c r="N82" s="47">
        <f t="shared" si="4"/>
        <v>0</v>
      </c>
      <c r="O82" s="25" t="s">
        <v>214</v>
      </c>
      <c r="P82" s="211" t="s">
        <v>564</v>
      </c>
      <c r="Q82" s="94" t="s">
        <v>244</v>
      </c>
    </row>
    <row r="83" spans="1:17" x14ac:dyDescent="0.25">
      <c r="C83" s="36" t="s">
        <v>262</v>
      </c>
      <c r="D83" s="128"/>
      <c r="E83" s="50"/>
      <c r="F83" s="50"/>
      <c r="G83" s="72" t="s">
        <v>49</v>
      </c>
      <c r="H83" s="44"/>
      <c r="I83" s="44" t="s">
        <v>29</v>
      </c>
      <c r="J83" s="39"/>
      <c r="K83" s="104"/>
      <c r="L83" s="104"/>
      <c r="M83" s="46"/>
      <c r="N83" s="47"/>
      <c r="O83" s="52"/>
    </row>
    <row r="84" spans="1:17" x14ac:dyDescent="0.25">
      <c r="A84" s="149" t="s">
        <v>263</v>
      </c>
      <c r="C84" s="61" t="s">
        <v>240</v>
      </c>
      <c r="D84" s="142" t="s">
        <v>241</v>
      </c>
      <c r="E84" s="60"/>
      <c r="F84" s="60"/>
      <c r="G84" s="48" t="s">
        <v>242</v>
      </c>
      <c r="H84" s="44" t="s">
        <v>213</v>
      </c>
      <c r="I84" s="44" t="s">
        <v>29</v>
      </c>
      <c r="J84" s="67">
        <v>15.04</v>
      </c>
      <c r="K84" s="115">
        <v>1</v>
      </c>
      <c r="L84" s="115" t="s">
        <v>90</v>
      </c>
      <c r="M84" s="46"/>
      <c r="N84" s="47">
        <f t="shared" ref="N84:N90" si="5">J84*M84</f>
        <v>0</v>
      </c>
      <c r="O84" s="25" t="s">
        <v>214</v>
      </c>
      <c r="P84" s="211" t="s">
        <v>564</v>
      </c>
      <c r="Q84" s="94" t="s">
        <v>244</v>
      </c>
    </row>
    <row r="85" spans="1:17" x14ac:dyDescent="0.25">
      <c r="C85" s="61" t="s">
        <v>245</v>
      </c>
      <c r="D85" s="142" t="s">
        <v>246</v>
      </c>
      <c r="E85" s="60"/>
      <c r="F85" s="60"/>
      <c r="G85" s="48" t="s">
        <v>247</v>
      </c>
      <c r="H85" s="44" t="s">
        <v>213</v>
      </c>
      <c r="I85" s="44" t="s">
        <v>29</v>
      </c>
      <c r="J85" s="67">
        <v>25.28</v>
      </c>
      <c r="K85" s="115">
        <v>1</v>
      </c>
      <c r="L85" s="115" t="s">
        <v>90</v>
      </c>
      <c r="M85" s="74">
        <f>$M$84</f>
        <v>0</v>
      </c>
      <c r="N85" s="47">
        <f t="shared" si="5"/>
        <v>0</v>
      </c>
      <c r="O85" s="25" t="s">
        <v>214</v>
      </c>
      <c r="P85" s="211" t="s">
        <v>564</v>
      </c>
      <c r="Q85" s="94" t="s">
        <v>244</v>
      </c>
    </row>
    <row r="86" spans="1:17" x14ac:dyDescent="0.25">
      <c r="C86" s="61" t="s">
        <v>248</v>
      </c>
      <c r="D86" s="142" t="s">
        <v>249</v>
      </c>
      <c r="E86" s="60"/>
      <c r="F86" s="60"/>
      <c r="G86" s="48" t="s">
        <v>250</v>
      </c>
      <c r="H86" s="44" t="s">
        <v>213</v>
      </c>
      <c r="I86" s="44" t="s">
        <v>29</v>
      </c>
      <c r="J86" s="67">
        <v>24.86</v>
      </c>
      <c r="K86" s="115">
        <v>11</v>
      </c>
      <c r="L86" s="115" t="s">
        <v>90</v>
      </c>
      <c r="M86" s="74">
        <f t="shared" ref="M86:M90" si="6">$M$84</f>
        <v>0</v>
      </c>
      <c r="N86" s="47">
        <f t="shared" si="5"/>
        <v>0</v>
      </c>
      <c r="O86" s="25" t="s">
        <v>214</v>
      </c>
      <c r="P86" s="211" t="s">
        <v>564</v>
      </c>
      <c r="Q86" s="94" t="s">
        <v>244</v>
      </c>
    </row>
    <row r="87" spans="1:17" x14ac:dyDescent="0.25">
      <c r="C87" s="61" t="s">
        <v>251</v>
      </c>
      <c r="D87" s="142" t="s">
        <v>252</v>
      </c>
      <c r="E87" s="60"/>
      <c r="F87" s="60"/>
      <c r="G87" s="48" t="s">
        <v>253</v>
      </c>
      <c r="H87" s="44" t="s">
        <v>213</v>
      </c>
      <c r="I87" s="44" t="s">
        <v>29</v>
      </c>
      <c r="J87" s="67">
        <v>80.540000000000006</v>
      </c>
      <c r="K87" s="115">
        <v>1</v>
      </c>
      <c r="L87" s="115" t="s">
        <v>90</v>
      </c>
      <c r="M87" s="74">
        <f t="shared" si="6"/>
        <v>0</v>
      </c>
      <c r="N87" s="47">
        <f t="shared" si="5"/>
        <v>0</v>
      </c>
      <c r="O87" s="25" t="s">
        <v>214</v>
      </c>
      <c r="P87" s="211" t="s">
        <v>564</v>
      </c>
      <c r="Q87" s="94" t="s">
        <v>244</v>
      </c>
    </row>
    <row r="88" spans="1:17" x14ac:dyDescent="0.25">
      <c r="C88" s="61" t="s">
        <v>254</v>
      </c>
      <c r="D88" s="135" t="s">
        <v>255</v>
      </c>
      <c r="E88" s="60"/>
      <c r="F88" s="60"/>
      <c r="G88" s="44" t="s">
        <v>256</v>
      </c>
      <c r="H88" s="44" t="s">
        <v>213</v>
      </c>
      <c r="I88" s="44" t="s">
        <v>29</v>
      </c>
      <c r="J88" s="67">
        <v>25.49</v>
      </c>
      <c r="K88" s="115">
        <v>1</v>
      </c>
      <c r="L88" s="115" t="s">
        <v>90</v>
      </c>
      <c r="M88" s="74">
        <f t="shared" si="6"/>
        <v>0</v>
      </c>
      <c r="N88" s="47">
        <f t="shared" si="5"/>
        <v>0</v>
      </c>
      <c r="O88" s="25" t="s">
        <v>214</v>
      </c>
      <c r="P88" s="211" t="s">
        <v>564</v>
      </c>
      <c r="Q88" s="94" t="s">
        <v>244</v>
      </c>
    </row>
    <row r="89" spans="1:17" x14ac:dyDescent="0.25">
      <c r="C89" s="61" t="s">
        <v>264</v>
      </c>
      <c r="D89" s="135" t="s">
        <v>265</v>
      </c>
      <c r="E89" s="60"/>
      <c r="F89" s="60"/>
      <c r="G89" s="44" t="s">
        <v>266</v>
      </c>
      <c r="H89" s="44" t="s">
        <v>213</v>
      </c>
      <c r="I89" s="44" t="s">
        <v>29</v>
      </c>
      <c r="J89" s="67">
        <v>23.78</v>
      </c>
      <c r="K89" s="115">
        <v>1</v>
      </c>
      <c r="L89" s="115" t="s">
        <v>90</v>
      </c>
      <c r="M89" s="74">
        <f t="shared" si="6"/>
        <v>0</v>
      </c>
      <c r="N89" s="47">
        <f t="shared" si="5"/>
        <v>0</v>
      </c>
      <c r="O89" s="25" t="s">
        <v>214</v>
      </c>
      <c r="P89" s="211" t="s">
        <v>564</v>
      </c>
      <c r="Q89" s="94" t="s">
        <v>244</v>
      </c>
    </row>
    <row r="90" spans="1:17" x14ac:dyDescent="0.25">
      <c r="C90" s="61" t="s">
        <v>259</v>
      </c>
      <c r="D90" s="135" t="s">
        <v>260</v>
      </c>
      <c r="E90" s="60"/>
      <c r="F90" s="60"/>
      <c r="G90" s="44" t="s">
        <v>261</v>
      </c>
      <c r="H90" s="44" t="s">
        <v>213</v>
      </c>
      <c r="I90" s="44" t="s">
        <v>29</v>
      </c>
      <c r="J90" s="67">
        <v>34.700000000000003</v>
      </c>
      <c r="K90" s="115">
        <v>1</v>
      </c>
      <c r="L90" s="115" t="s">
        <v>90</v>
      </c>
      <c r="M90" s="74">
        <f t="shared" si="6"/>
        <v>0</v>
      </c>
      <c r="N90" s="47">
        <f t="shared" si="5"/>
        <v>0</v>
      </c>
      <c r="O90" s="25" t="s">
        <v>214</v>
      </c>
      <c r="P90" s="211" t="s">
        <v>564</v>
      </c>
      <c r="Q90" s="94" t="s">
        <v>244</v>
      </c>
    </row>
    <row r="91" spans="1:17" x14ac:dyDescent="0.25">
      <c r="C91" s="36" t="s">
        <v>267</v>
      </c>
      <c r="D91" s="128"/>
      <c r="E91" s="50"/>
      <c r="F91" s="50"/>
      <c r="G91" s="72" t="s">
        <v>49</v>
      </c>
      <c r="H91" s="44"/>
      <c r="I91" s="44" t="s">
        <v>29</v>
      </c>
      <c r="J91" s="39"/>
      <c r="K91" s="104"/>
      <c r="L91" s="104"/>
      <c r="M91" s="46"/>
      <c r="N91" s="47"/>
      <c r="O91" s="52"/>
    </row>
    <row r="92" spans="1:17" x14ac:dyDescent="0.25">
      <c r="A92" s="149" t="s">
        <v>268</v>
      </c>
      <c r="C92" s="61" t="s">
        <v>240</v>
      </c>
      <c r="D92" s="142" t="s">
        <v>241</v>
      </c>
      <c r="E92" s="60"/>
      <c r="F92" s="60"/>
      <c r="G92" s="48" t="s">
        <v>242</v>
      </c>
      <c r="H92" s="44" t="s">
        <v>213</v>
      </c>
      <c r="I92" s="44" t="s">
        <v>29</v>
      </c>
      <c r="J92" s="67">
        <v>15.04</v>
      </c>
      <c r="K92" s="115">
        <v>1</v>
      </c>
      <c r="L92" s="115" t="s">
        <v>90</v>
      </c>
      <c r="M92" s="46"/>
      <c r="N92" s="47">
        <f t="shared" ref="N92:N99" si="7">J92*M92</f>
        <v>0</v>
      </c>
      <c r="O92" s="25" t="s">
        <v>214</v>
      </c>
      <c r="P92" s="211" t="s">
        <v>564</v>
      </c>
      <c r="Q92" s="94" t="s">
        <v>244</v>
      </c>
    </row>
    <row r="93" spans="1:17" x14ac:dyDescent="0.25">
      <c r="C93" s="61" t="s">
        <v>245</v>
      </c>
      <c r="D93" s="142" t="s">
        <v>246</v>
      </c>
      <c r="E93" s="60"/>
      <c r="F93" s="60"/>
      <c r="G93" s="48" t="s">
        <v>247</v>
      </c>
      <c r="H93" s="44" t="s">
        <v>213</v>
      </c>
      <c r="I93" s="44" t="s">
        <v>29</v>
      </c>
      <c r="J93" s="67">
        <v>25.28</v>
      </c>
      <c r="K93" s="115">
        <v>1</v>
      </c>
      <c r="L93" s="115" t="s">
        <v>90</v>
      </c>
      <c r="M93" s="74">
        <f>$M$92</f>
        <v>0</v>
      </c>
      <c r="N93" s="47">
        <f t="shared" si="7"/>
        <v>0</v>
      </c>
      <c r="O93" s="25" t="s">
        <v>214</v>
      </c>
      <c r="P93" s="211" t="s">
        <v>564</v>
      </c>
      <c r="Q93" s="94" t="s">
        <v>244</v>
      </c>
    </row>
    <row r="94" spans="1:17" x14ac:dyDescent="0.25">
      <c r="C94" s="61" t="s">
        <v>248</v>
      </c>
      <c r="D94" s="142" t="s">
        <v>249</v>
      </c>
      <c r="E94" s="60"/>
      <c r="F94" s="60"/>
      <c r="G94" s="48" t="s">
        <v>250</v>
      </c>
      <c r="H94" s="44" t="s">
        <v>213</v>
      </c>
      <c r="I94" s="44" t="s">
        <v>29</v>
      </c>
      <c r="J94" s="67">
        <v>24.86</v>
      </c>
      <c r="K94" s="115">
        <v>11</v>
      </c>
      <c r="L94" s="115" t="s">
        <v>90</v>
      </c>
      <c r="M94" s="74">
        <f t="shared" ref="M94:M99" si="8">$M$92</f>
        <v>0</v>
      </c>
      <c r="N94" s="47">
        <f t="shared" si="7"/>
        <v>0</v>
      </c>
      <c r="O94" s="25" t="s">
        <v>214</v>
      </c>
      <c r="P94" s="211" t="s">
        <v>564</v>
      </c>
      <c r="Q94" s="94" t="s">
        <v>244</v>
      </c>
    </row>
    <row r="95" spans="1:17" x14ac:dyDescent="0.25">
      <c r="C95" s="61" t="s">
        <v>251</v>
      </c>
      <c r="D95" s="142" t="s">
        <v>252</v>
      </c>
      <c r="E95" s="60"/>
      <c r="F95" s="60"/>
      <c r="G95" s="48" t="s">
        <v>253</v>
      </c>
      <c r="H95" s="44" t="s">
        <v>213</v>
      </c>
      <c r="I95" s="44" t="s">
        <v>29</v>
      </c>
      <c r="J95" s="67">
        <v>80.540000000000006</v>
      </c>
      <c r="K95" s="115">
        <v>1</v>
      </c>
      <c r="L95" s="115" t="s">
        <v>90</v>
      </c>
      <c r="M95" s="74">
        <f t="shared" si="8"/>
        <v>0</v>
      </c>
      <c r="N95" s="47">
        <f t="shared" si="7"/>
        <v>0</v>
      </c>
      <c r="O95" s="25" t="s">
        <v>214</v>
      </c>
      <c r="P95" s="211" t="s">
        <v>564</v>
      </c>
      <c r="Q95" s="94" t="s">
        <v>244</v>
      </c>
    </row>
    <row r="96" spans="1:17" x14ac:dyDescent="0.25">
      <c r="C96" s="61" t="s">
        <v>254</v>
      </c>
      <c r="D96" s="135" t="s">
        <v>255</v>
      </c>
      <c r="E96" s="60"/>
      <c r="F96" s="60"/>
      <c r="G96" s="44" t="s">
        <v>256</v>
      </c>
      <c r="H96" s="44" t="s">
        <v>213</v>
      </c>
      <c r="I96" s="44" t="s">
        <v>29</v>
      </c>
      <c r="J96" s="67">
        <v>25.49</v>
      </c>
      <c r="K96" s="115">
        <v>1</v>
      </c>
      <c r="L96" s="115" t="s">
        <v>90</v>
      </c>
      <c r="M96" s="74">
        <f t="shared" si="8"/>
        <v>0</v>
      </c>
      <c r="N96" s="47">
        <f t="shared" si="7"/>
        <v>0</v>
      </c>
      <c r="O96" s="25" t="s">
        <v>214</v>
      </c>
      <c r="P96" s="211" t="s">
        <v>564</v>
      </c>
      <c r="Q96" s="94" t="s">
        <v>244</v>
      </c>
    </row>
    <row r="97" spans="1:17" x14ac:dyDescent="0.25">
      <c r="C97" s="61" t="s">
        <v>264</v>
      </c>
      <c r="D97" s="135" t="s">
        <v>265</v>
      </c>
      <c r="E97" s="60"/>
      <c r="F97" s="60"/>
      <c r="G97" s="44" t="s">
        <v>266</v>
      </c>
      <c r="H97" s="44" t="s">
        <v>213</v>
      </c>
      <c r="I97" s="44" t="s">
        <v>29</v>
      </c>
      <c r="J97" s="67">
        <v>23.78</v>
      </c>
      <c r="K97" s="115">
        <v>1</v>
      </c>
      <c r="L97" s="115" t="s">
        <v>90</v>
      </c>
      <c r="M97" s="74">
        <f t="shared" si="8"/>
        <v>0</v>
      </c>
      <c r="N97" s="47">
        <f t="shared" si="7"/>
        <v>0</v>
      </c>
      <c r="O97" s="25" t="s">
        <v>214</v>
      </c>
      <c r="P97" s="211" t="s">
        <v>564</v>
      </c>
      <c r="Q97" s="94" t="s">
        <v>244</v>
      </c>
    </row>
    <row r="98" spans="1:17" x14ac:dyDescent="0.25">
      <c r="C98" s="61" t="s">
        <v>269</v>
      </c>
      <c r="D98" s="135" t="s">
        <v>270</v>
      </c>
      <c r="E98" s="60"/>
      <c r="F98" s="60"/>
      <c r="G98" s="44" t="s">
        <v>271</v>
      </c>
      <c r="H98" s="44" t="s">
        <v>213</v>
      </c>
      <c r="I98" s="44" t="s">
        <v>29</v>
      </c>
      <c r="J98" s="67">
        <v>23.78</v>
      </c>
      <c r="K98" s="115">
        <v>1</v>
      </c>
      <c r="L98" s="115" t="s">
        <v>90</v>
      </c>
      <c r="M98" s="74">
        <f t="shared" si="8"/>
        <v>0</v>
      </c>
      <c r="N98" s="47">
        <f t="shared" si="7"/>
        <v>0</v>
      </c>
      <c r="O98" s="25" t="s">
        <v>214</v>
      </c>
      <c r="P98" s="211" t="s">
        <v>564</v>
      </c>
      <c r="Q98" s="94" t="s">
        <v>244</v>
      </c>
    </row>
    <row r="99" spans="1:17" x14ac:dyDescent="0.25">
      <c r="C99" s="61" t="s">
        <v>259</v>
      </c>
      <c r="D99" s="135" t="s">
        <v>260</v>
      </c>
      <c r="E99" s="60"/>
      <c r="F99" s="60"/>
      <c r="G99" s="44" t="s">
        <v>261</v>
      </c>
      <c r="H99" s="44" t="s">
        <v>213</v>
      </c>
      <c r="I99" s="44" t="s">
        <v>29</v>
      </c>
      <c r="J99" s="67">
        <v>34.700000000000003</v>
      </c>
      <c r="K99" s="115">
        <v>1</v>
      </c>
      <c r="L99" s="115" t="s">
        <v>90</v>
      </c>
      <c r="M99" s="74">
        <f t="shared" si="8"/>
        <v>0</v>
      </c>
      <c r="N99" s="47">
        <f t="shared" si="7"/>
        <v>0</v>
      </c>
      <c r="O99" s="25" t="s">
        <v>214</v>
      </c>
      <c r="P99" s="211" t="s">
        <v>564</v>
      </c>
      <c r="Q99" s="94" t="s">
        <v>244</v>
      </c>
    </row>
    <row r="100" spans="1:17" x14ac:dyDescent="0.25">
      <c r="C100" s="36" t="s">
        <v>272</v>
      </c>
      <c r="D100" s="128"/>
      <c r="E100" s="50"/>
      <c r="F100" s="50"/>
      <c r="G100" s="72" t="s">
        <v>49</v>
      </c>
      <c r="H100" s="44"/>
      <c r="I100" s="44" t="s">
        <v>29</v>
      </c>
      <c r="J100" s="39"/>
      <c r="K100" s="104"/>
      <c r="L100" s="104"/>
      <c r="M100" s="46"/>
      <c r="N100" s="47"/>
      <c r="O100" s="52"/>
    </row>
    <row r="101" spans="1:17" x14ac:dyDescent="0.25">
      <c r="A101" s="149" t="s">
        <v>273</v>
      </c>
      <c r="C101" s="61" t="s">
        <v>240</v>
      </c>
      <c r="D101" s="142" t="s">
        <v>241</v>
      </c>
      <c r="E101" s="60"/>
      <c r="F101" s="60"/>
      <c r="G101" s="48" t="s">
        <v>242</v>
      </c>
      <c r="H101" s="44" t="s">
        <v>213</v>
      </c>
      <c r="I101" s="44" t="s">
        <v>29</v>
      </c>
      <c r="J101" s="67">
        <v>15.04</v>
      </c>
      <c r="K101" s="115">
        <v>1</v>
      </c>
      <c r="L101" s="115" t="s">
        <v>90</v>
      </c>
      <c r="M101" s="46"/>
      <c r="N101" s="47">
        <f t="shared" ref="N101:N109" si="9">J101*M101</f>
        <v>0</v>
      </c>
      <c r="O101" s="25" t="s">
        <v>214</v>
      </c>
      <c r="P101" s="211" t="s">
        <v>564</v>
      </c>
      <c r="Q101" s="94" t="s">
        <v>244</v>
      </c>
    </row>
    <row r="102" spans="1:17" x14ac:dyDescent="0.25">
      <c r="C102" s="61" t="s">
        <v>245</v>
      </c>
      <c r="D102" s="142" t="s">
        <v>246</v>
      </c>
      <c r="E102" s="60"/>
      <c r="F102" s="60"/>
      <c r="G102" s="48" t="s">
        <v>247</v>
      </c>
      <c r="H102" s="44" t="s">
        <v>213</v>
      </c>
      <c r="I102" s="44" t="s">
        <v>29</v>
      </c>
      <c r="J102" s="67">
        <v>25.28</v>
      </c>
      <c r="K102" s="115">
        <v>1</v>
      </c>
      <c r="L102" s="115" t="s">
        <v>90</v>
      </c>
      <c r="M102" s="74">
        <f>$M$101</f>
        <v>0</v>
      </c>
      <c r="N102" s="47">
        <f t="shared" si="9"/>
        <v>0</v>
      </c>
      <c r="O102" s="25" t="s">
        <v>214</v>
      </c>
      <c r="P102" s="211" t="s">
        <v>564</v>
      </c>
      <c r="Q102" s="94" t="s">
        <v>244</v>
      </c>
    </row>
    <row r="103" spans="1:17" x14ac:dyDescent="0.25">
      <c r="C103" s="61" t="s">
        <v>248</v>
      </c>
      <c r="D103" s="142" t="s">
        <v>249</v>
      </c>
      <c r="E103" s="60"/>
      <c r="F103" s="60"/>
      <c r="G103" s="48" t="s">
        <v>250</v>
      </c>
      <c r="H103" s="44" t="s">
        <v>213</v>
      </c>
      <c r="I103" s="44" t="s">
        <v>29</v>
      </c>
      <c r="J103" s="67">
        <v>24.86</v>
      </c>
      <c r="K103" s="115">
        <v>11</v>
      </c>
      <c r="L103" s="115" t="s">
        <v>90</v>
      </c>
      <c r="M103" s="74">
        <f t="shared" ref="M103:M109" si="10">$M$101</f>
        <v>0</v>
      </c>
      <c r="N103" s="47">
        <f t="shared" si="9"/>
        <v>0</v>
      </c>
      <c r="O103" s="25" t="s">
        <v>214</v>
      </c>
      <c r="P103" s="211" t="s">
        <v>564</v>
      </c>
      <c r="Q103" s="94" t="s">
        <v>244</v>
      </c>
    </row>
    <row r="104" spans="1:17" x14ac:dyDescent="0.25">
      <c r="C104" s="61" t="s">
        <v>251</v>
      </c>
      <c r="D104" s="142" t="s">
        <v>252</v>
      </c>
      <c r="E104" s="60"/>
      <c r="F104" s="60"/>
      <c r="G104" s="48" t="s">
        <v>253</v>
      </c>
      <c r="H104" s="44" t="s">
        <v>213</v>
      </c>
      <c r="I104" s="44" t="s">
        <v>29</v>
      </c>
      <c r="J104" s="67">
        <v>80.540000000000006</v>
      </c>
      <c r="K104" s="115">
        <v>1</v>
      </c>
      <c r="L104" s="115" t="s">
        <v>90</v>
      </c>
      <c r="M104" s="74">
        <f t="shared" si="10"/>
        <v>0</v>
      </c>
      <c r="N104" s="47">
        <f t="shared" si="9"/>
        <v>0</v>
      </c>
      <c r="O104" s="25" t="s">
        <v>214</v>
      </c>
      <c r="P104" s="211" t="s">
        <v>564</v>
      </c>
      <c r="Q104" s="94" t="s">
        <v>244</v>
      </c>
    </row>
    <row r="105" spans="1:17" x14ac:dyDescent="0.25">
      <c r="C105" s="61" t="s">
        <v>254</v>
      </c>
      <c r="D105" s="135" t="s">
        <v>255</v>
      </c>
      <c r="E105" s="60"/>
      <c r="F105" s="60"/>
      <c r="G105" s="44" t="s">
        <v>256</v>
      </c>
      <c r="H105" s="44" t="s">
        <v>213</v>
      </c>
      <c r="I105" s="44" t="s">
        <v>29</v>
      </c>
      <c r="J105" s="67">
        <v>25.49</v>
      </c>
      <c r="K105" s="115">
        <v>1</v>
      </c>
      <c r="L105" s="115" t="s">
        <v>90</v>
      </c>
      <c r="M105" s="74">
        <f t="shared" si="10"/>
        <v>0</v>
      </c>
      <c r="N105" s="47">
        <f t="shared" si="9"/>
        <v>0</v>
      </c>
      <c r="O105" s="25" t="s">
        <v>214</v>
      </c>
      <c r="P105" s="211" t="s">
        <v>564</v>
      </c>
      <c r="Q105" s="94" t="s">
        <v>244</v>
      </c>
    </row>
    <row r="106" spans="1:17" x14ac:dyDescent="0.25">
      <c r="C106" s="61" t="s">
        <v>264</v>
      </c>
      <c r="D106" s="135" t="s">
        <v>265</v>
      </c>
      <c r="E106" s="60"/>
      <c r="F106" s="60"/>
      <c r="G106" s="44" t="s">
        <v>266</v>
      </c>
      <c r="H106" s="44" t="s">
        <v>213</v>
      </c>
      <c r="I106" s="44" t="s">
        <v>29</v>
      </c>
      <c r="J106" s="67">
        <v>23.78</v>
      </c>
      <c r="K106" s="115">
        <v>1</v>
      </c>
      <c r="L106" s="115" t="s">
        <v>90</v>
      </c>
      <c r="M106" s="74">
        <f t="shared" si="10"/>
        <v>0</v>
      </c>
      <c r="N106" s="47">
        <f t="shared" si="9"/>
        <v>0</v>
      </c>
      <c r="O106" s="25" t="s">
        <v>214</v>
      </c>
      <c r="P106" s="211" t="s">
        <v>564</v>
      </c>
      <c r="Q106" s="94" t="s">
        <v>244</v>
      </c>
    </row>
    <row r="107" spans="1:17" x14ac:dyDescent="0.25">
      <c r="C107" s="61" t="s">
        <v>269</v>
      </c>
      <c r="D107" s="135" t="s">
        <v>270</v>
      </c>
      <c r="E107" s="60"/>
      <c r="F107" s="60"/>
      <c r="G107" s="44" t="s">
        <v>271</v>
      </c>
      <c r="H107" s="44" t="s">
        <v>213</v>
      </c>
      <c r="I107" s="44" t="s">
        <v>29</v>
      </c>
      <c r="J107" s="67">
        <v>23.78</v>
      </c>
      <c r="K107" s="115">
        <v>1</v>
      </c>
      <c r="L107" s="115" t="s">
        <v>90</v>
      </c>
      <c r="M107" s="74">
        <f t="shared" si="10"/>
        <v>0</v>
      </c>
      <c r="N107" s="47">
        <f t="shared" si="9"/>
        <v>0</v>
      </c>
      <c r="O107" s="25" t="s">
        <v>214</v>
      </c>
      <c r="P107" s="211" t="s">
        <v>564</v>
      </c>
      <c r="Q107" s="94" t="s">
        <v>244</v>
      </c>
    </row>
    <row r="108" spans="1:17" x14ac:dyDescent="0.25">
      <c r="C108" s="61" t="s">
        <v>274</v>
      </c>
      <c r="D108" s="135" t="s">
        <v>275</v>
      </c>
      <c r="E108" s="60"/>
      <c r="F108" s="60"/>
      <c r="G108" s="44" t="s">
        <v>276</v>
      </c>
      <c r="H108" s="44" t="s">
        <v>213</v>
      </c>
      <c r="I108" s="44" t="s">
        <v>29</v>
      </c>
      <c r="J108" s="67">
        <v>23.78</v>
      </c>
      <c r="K108" s="115">
        <v>1</v>
      </c>
      <c r="L108" s="115" t="s">
        <v>90</v>
      </c>
      <c r="M108" s="74">
        <f t="shared" si="10"/>
        <v>0</v>
      </c>
      <c r="N108" s="47">
        <f t="shared" si="9"/>
        <v>0</v>
      </c>
      <c r="O108" s="25" t="s">
        <v>214</v>
      </c>
      <c r="P108" s="211" t="s">
        <v>564</v>
      </c>
      <c r="Q108" s="94" t="s">
        <v>244</v>
      </c>
    </row>
    <row r="109" spans="1:17" x14ac:dyDescent="0.25">
      <c r="C109" s="61" t="s">
        <v>259</v>
      </c>
      <c r="D109" s="135" t="s">
        <v>260</v>
      </c>
      <c r="E109" s="60"/>
      <c r="F109" s="60"/>
      <c r="G109" s="44" t="s">
        <v>261</v>
      </c>
      <c r="H109" s="44" t="s">
        <v>213</v>
      </c>
      <c r="I109" s="44" t="s">
        <v>29</v>
      </c>
      <c r="J109" s="67">
        <v>34.700000000000003</v>
      </c>
      <c r="K109" s="115">
        <v>1</v>
      </c>
      <c r="L109" s="115" t="s">
        <v>90</v>
      </c>
      <c r="M109" s="74">
        <f t="shared" si="10"/>
        <v>0</v>
      </c>
      <c r="N109" s="47">
        <f t="shared" si="9"/>
        <v>0</v>
      </c>
      <c r="O109" s="25" t="s">
        <v>214</v>
      </c>
      <c r="P109" s="211" t="s">
        <v>564</v>
      </c>
      <c r="Q109" s="94" t="s">
        <v>244</v>
      </c>
    </row>
    <row r="110" spans="1:17" x14ac:dyDescent="0.25">
      <c r="C110" s="18"/>
      <c r="D110" s="140"/>
      <c r="E110" s="21"/>
      <c r="F110" s="21"/>
      <c r="G110" s="22"/>
      <c r="H110" s="75"/>
      <c r="I110" s="75"/>
      <c r="J110" s="39"/>
      <c r="K110" s="104"/>
      <c r="L110" s="104"/>
      <c r="M110" s="20"/>
      <c r="N110" s="47"/>
      <c r="O110" s="52"/>
    </row>
    <row r="111" spans="1:17" x14ac:dyDescent="0.25">
      <c r="C111" s="36" t="s">
        <v>277</v>
      </c>
      <c r="D111" s="141"/>
      <c r="E111" s="76"/>
      <c r="F111" s="76"/>
      <c r="G111" s="38"/>
      <c r="H111" s="38"/>
      <c r="I111" s="38"/>
      <c r="J111" s="39"/>
      <c r="K111" s="104"/>
      <c r="L111" s="104"/>
      <c r="M111" s="40"/>
      <c r="N111" s="47"/>
      <c r="O111" s="15">
        <f>SUM(N112:N124)</f>
        <v>0</v>
      </c>
    </row>
    <row r="112" spans="1:17" x14ac:dyDescent="0.25">
      <c r="A112" s="149" t="s">
        <v>278</v>
      </c>
      <c r="C112" s="42" t="s">
        <v>279</v>
      </c>
      <c r="D112" s="135" t="s">
        <v>280</v>
      </c>
      <c r="E112" s="77"/>
      <c r="F112" s="44" t="s">
        <v>281</v>
      </c>
      <c r="G112" s="44">
        <v>1071153</v>
      </c>
      <c r="H112" s="44" t="s">
        <v>282</v>
      </c>
      <c r="I112" s="44" t="s">
        <v>283</v>
      </c>
      <c r="J112" s="49">
        <v>9.6999999999999993</v>
      </c>
      <c r="K112" s="105"/>
      <c r="L112" s="105"/>
      <c r="M112" s="46"/>
      <c r="N112" s="47">
        <f t="shared" ref="N112:N123" si="11">J112*M112</f>
        <v>0</v>
      </c>
      <c r="O112" s="25" t="s">
        <v>284</v>
      </c>
      <c r="P112" s="211" t="s">
        <v>565</v>
      </c>
      <c r="Q112" s="94" t="s">
        <v>286</v>
      </c>
    </row>
    <row r="113" spans="1:18" x14ac:dyDescent="0.25">
      <c r="C113" s="53" t="s">
        <v>287</v>
      </c>
      <c r="D113" s="95" t="s">
        <v>288</v>
      </c>
      <c r="E113" s="79"/>
      <c r="F113" s="175" t="s">
        <v>289</v>
      </c>
      <c r="G113" s="175">
        <v>1012720</v>
      </c>
      <c r="H113" s="55" t="s">
        <v>282</v>
      </c>
      <c r="I113" s="44" t="s">
        <v>283</v>
      </c>
      <c r="J113" s="49">
        <v>1.5</v>
      </c>
      <c r="K113" s="105"/>
      <c r="L113" s="105"/>
      <c r="M113" s="74">
        <f>M112</f>
        <v>0</v>
      </c>
      <c r="N113" s="47">
        <f t="shared" si="11"/>
        <v>0</v>
      </c>
      <c r="O113" s="25" t="s">
        <v>284</v>
      </c>
      <c r="P113" s="211" t="s">
        <v>565</v>
      </c>
      <c r="Q113" s="94" t="s">
        <v>286</v>
      </c>
    </row>
    <row r="114" spans="1:18" x14ac:dyDescent="0.25">
      <c r="A114" s="149" t="s">
        <v>290</v>
      </c>
      <c r="C114" s="42" t="s">
        <v>291</v>
      </c>
      <c r="D114" s="142" t="s">
        <v>43</v>
      </c>
      <c r="E114" s="60"/>
      <c r="F114" s="44" t="s">
        <v>292</v>
      </c>
      <c r="G114" s="44">
        <v>1065899</v>
      </c>
      <c r="H114" s="44" t="s">
        <v>282</v>
      </c>
      <c r="I114" s="44" t="s">
        <v>283</v>
      </c>
      <c r="J114" s="49">
        <v>33.5</v>
      </c>
      <c r="K114" s="105"/>
      <c r="L114" s="105"/>
      <c r="M114" s="46"/>
      <c r="N114" s="47">
        <f>J114*M114</f>
        <v>0</v>
      </c>
      <c r="O114" s="25" t="s">
        <v>284</v>
      </c>
      <c r="P114" s="211" t="s">
        <v>565</v>
      </c>
      <c r="Q114" s="94" t="s">
        <v>286</v>
      </c>
    </row>
    <row r="115" spans="1:18" x14ac:dyDescent="0.25">
      <c r="A115" s="152" t="s">
        <v>293</v>
      </c>
      <c r="C115" s="42" t="s">
        <v>294</v>
      </c>
      <c r="D115" s="142" t="s">
        <v>295</v>
      </c>
      <c r="E115" s="60"/>
      <c r="F115" s="44" t="s">
        <v>296</v>
      </c>
      <c r="G115" s="44">
        <v>1218666</v>
      </c>
      <c r="H115" s="44" t="s">
        <v>282</v>
      </c>
      <c r="I115" s="44" t="s">
        <v>283</v>
      </c>
      <c r="J115" s="49">
        <v>28.2</v>
      </c>
      <c r="K115" s="105"/>
      <c r="L115" s="105"/>
      <c r="M115" s="46"/>
      <c r="N115" s="47">
        <f t="shared" si="11"/>
        <v>0</v>
      </c>
      <c r="O115" s="25" t="s">
        <v>284</v>
      </c>
      <c r="P115" s="211" t="s">
        <v>565</v>
      </c>
      <c r="Q115" s="94" t="s">
        <v>286</v>
      </c>
    </row>
    <row r="116" spans="1:18" x14ac:dyDescent="0.25">
      <c r="A116" s="149" t="s">
        <v>297</v>
      </c>
      <c r="C116" s="53" t="s">
        <v>298</v>
      </c>
      <c r="D116" s="43" t="s">
        <v>299</v>
      </c>
      <c r="E116" s="78"/>
      <c r="F116" s="55" t="s">
        <v>300</v>
      </c>
      <c r="G116" s="55">
        <v>1025502</v>
      </c>
      <c r="H116" s="55" t="s">
        <v>282</v>
      </c>
      <c r="I116" s="44" t="s">
        <v>283</v>
      </c>
      <c r="J116" s="49">
        <v>260.7</v>
      </c>
      <c r="K116" s="105"/>
      <c r="L116" s="105"/>
      <c r="M116" s="46"/>
      <c r="N116" s="47">
        <f>J116*M116</f>
        <v>0</v>
      </c>
      <c r="O116" s="25" t="s">
        <v>284</v>
      </c>
      <c r="P116" s="211" t="s">
        <v>565</v>
      </c>
      <c r="Q116" s="94" t="s">
        <v>286</v>
      </c>
    </row>
    <row r="117" spans="1:18" x14ac:dyDescent="0.25">
      <c r="A117" s="152" t="s">
        <v>301</v>
      </c>
      <c r="C117" s="53" t="s">
        <v>302</v>
      </c>
      <c r="D117" s="43"/>
      <c r="E117" s="78"/>
      <c r="F117" s="55"/>
      <c r="G117" s="55"/>
      <c r="H117" s="55" t="s">
        <v>282</v>
      </c>
      <c r="I117" s="44" t="s">
        <v>283</v>
      </c>
      <c r="J117" s="49">
        <v>14.85</v>
      </c>
      <c r="K117" s="105"/>
      <c r="L117" s="105"/>
      <c r="M117" s="46"/>
      <c r="N117" s="47">
        <f t="shared" si="11"/>
        <v>0</v>
      </c>
      <c r="O117" s="25" t="s">
        <v>284</v>
      </c>
      <c r="P117" s="211" t="s">
        <v>565</v>
      </c>
      <c r="Q117" s="94" t="s">
        <v>286</v>
      </c>
    </row>
    <row r="118" spans="1:18" x14ac:dyDescent="0.25">
      <c r="A118" s="149" t="s">
        <v>303</v>
      </c>
      <c r="C118" s="53" t="s">
        <v>304</v>
      </c>
      <c r="D118" s="43"/>
      <c r="E118" s="78"/>
      <c r="F118" s="55" t="s">
        <v>305</v>
      </c>
      <c r="G118" s="55"/>
      <c r="H118" s="55" t="s">
        <v>282</v>
      </c>
      <c r="I118" s="44" t="s">
        <v>283</v>
      </c>
      <c r="J118" s="49">
        <v>6.95</v>
      </c>
      <c r="K118" s="105"/>
      <c r="L118" s="105"/>
      <c r="M118" s="46"/>
      <c r="N118" s="47">
        <f t="shared" si="11"/>
        <v>0</v>
      </c>
      <c r="O118" s="25" t="s">
        <v>284</v>
      </c>
      <c r="P118" s="211" t="s">
        <v>565</v>
      </c>
      <c r="Q118" s="94" t="s">
        <v>286</v>
      </c>
    </row>
    <row r="119" spans="1:18" x14ac:dyDescent="0.25">
      <c r="A119" s="152" t="s">
        <v>306</v>
      </c>
      <c r="C119" s="53" t="s">
        <v>307</v>
      </c>
      <c r="D119" s="43"/>
      <c r="E119" s="78"/>
      <c r="F119" s="55" t="s">
        <v>308</v>
      </c>
      <c r="G119" s="55"/>
      <c r="H119" s="55" t="s">
        <v>213</v>
      </c>
      <c r="I119" s="44" t="s">
        <v>29</v>
      </c>
      <c r="J119" s="49">
        <v>0</v>
      </c>
      <c r="K119" s="105"/>
      <c r="L119" s="105"/>
      <c r="M119" s="52"/>
      <c r="N119" s="47">
        <f>J119*M119</f>
        <v>0</v>
      </c>
      <c r="O119" s="80"/>
      <c r="P119" s="211" t="s">
        <v>565</v>
      </c>
      <c r="Q119" s="94" t="s">
        <v>286</v>
      </c>
    </row>
    <row r="120" spans="1:18" x14ac:dyDescent="0.25">
      <c r="A120" s="152" t="s">
        <v>309</v>
      </c>
      <c r="C120" s="53" t="s">
        <v>310</v>
      </c>
      <c r="D120" s="43"/>
      <c r="E120" s="78"/>
      <c r="F120" s="55" t="s">
        <v>311</v>
      </c>
      <c r="G120" s="55"/>
      <c r="H120" s="55" t="s">
        <v>213</v>
      </c>
      <c r="I120" s="44" t="s">
        <v>29</v>
      </c>
      <c r="J120" s="49">
        <v>0</v>
      </c>
      <c r="K120" s="105"/>
      <c r="L120" s="105"/>
      <c r="M120" s="52"/>
      <c r="N120" s="47">
        <f>J120*M120</f>
        <v>0</v>
      </c>
      <c r="O120" s="80"/>
      <c r="P120" s="211" t="s">
        <v>565</v>
      </c>
      <c r="Q120" s="94" t="s">
        <v>286</v>
      </c>
    </row>
    <row r="121" spans="1:18" x14ac:dyDescent="0.25">
      <c r="A121" s="149" t="s">
        <v>312</v>
      </c>
      <c r="C121" s="53" t="s">
        <v>313</v>
      </c>
      <c r="D121" s="43" t="s">
        <v>314</v>
      </c>
      <c r="E121" s="78"/>
      <c r="F121" s="78"/>
      <c r="G121" s="55" t="s">
        <v>315</v>
      </c>
      <c r="H121" s="55" t="s">
        <v>213</v>
      </c>
      <c r="I121" s="44" t="s">
        <v>29</v>
      </c>
      <c r="J121" s="45">
        <v>20.11</v>
      </c>
      <c r="K121" s="109">
        <v>1</v>
      </c>
      <c r="L121" s="115" t="s">
        <v>90</v>
      </c>
      <c r="M121" s="46"/>
      <c r="N121" s="47">
        <f t="shared" si="11"/>
        <v>0</v>
      </c>
      <c r="O121" s="25" t="s">
        <v>214</v>
      </c>
      <c r="P121" s="26" t="s">
        <v>316</v>
      </c>
      <c r="Q121" s="94" t="s">
        <v>317</v>
      </c>
    </row>
    <row r="122" spans="1:18" x14ac:dyDescent="0.25">
      <c r="A122" s="152" t="s">
        <v>318</v>
      </c>
      <c r="C122" s="42" t="s">
        <v>319</v>
      </c>
      <c r="D122" s="135" t="s">
        <v>320</v>
      </c>
      <c r="E122" s="60"/>
      <c r="F122" s="44" t="s">
        <v>321</v>
      </c>
      <c r="G122" s="44">
        <v>1082009</v>
      </c>
      <c r="H122" s="44" t="s">
        <v>282</v>
      </c>
      <c r="I122" s="44" t="s">
        <v>283</v>
      </c>
      <c r="J122" s="45">
        <v>67.8</v>
      </c>
      <c r="K122" s="105"/>
      <c r="L122" s="105"/>
      <c r="M122" s="195"/>
      <c r="N122" s="47">
        <f t="shared" si="11"/>
        <v>0</v>
      </c>
      <c r="O122" s="197" t="s">
        <v>284</v>
      </c>
      <c r="P122" s="211" t="s">
        <v>566</v>
      </c>
      <c r="Q122" s="94" t="s">
        <v>286</v>
      </c>
    </row>
    <row r="123" spans="1:18" x14ac:dyDescent="0.25">
      <c r="A123" s="149" t="s">
        <v>323</v>
      </c>
      <c r="C123" s="176" t="s">
        <v>324</v>
      </c>
      <c r="D123" s="95" t="s">
        <v>325</v>
      </c>
      <c r="E123" s="78"/>
      <c r="F123" s="176" t="s">
        <v>326</v>
      </c>
      <c r="G123" s="175">
        <v>54630</v>
      </c>
      <c r="H123" s="177" t="s">
        <v>327</v>
      </c>
      <c r="I123" s="44" t="s">
        <v>29</v>
      </c>
      <c r="J123" s="45">
        <v>288.3</v>
      </c>
      <c r="K123" s="109">
        <f>85/5</f>
        <v>17</v>
      </c>
      <c r="L123" s="115" t="s">
        <v>90</v>
      </c>
      <c r="M123" s="46"/>
      <c r="N123" s="47">
        <f t="shared" si="11"/>
        <v>0</v>
      </c>
      <c r="O123" s="25" t="s">
        <v>214</v>
      </c>
      <c r="P123" s="211" t="s">
        <v>566</v>
      </c>
      <c r="Q123" s="94" t="s">
        <v>328</v>
      </c>
    </row>
    <row r="124" spans="1:18" x14ac:dyDescent="0.25">
      <c r="C124" s="42"/>
      <c r="D124" s="135"/>
      <c r="E124" s="60"/>
      <c r="F124" s="60"/>
      <c r="G124" s="44"/>
      <c r="H124" s="44"/>
      <c r="I124" s="44"/>
      <c r="J124" s="39"/>
      <c r="K124" s="104"/>
      <c r="L124" s="104"/>
      <c r="M124" s="46"/>
      <c r="N124" s="47"/>
      <c r="O124" s="80"/>
    </row>
    <row r="125" spans="1:18" x14ac:dyDescent="0.25">
      <c r="C125" s="36" t="s">
        <v>329</v>
      </c>
      <c r="D125" s="141"/>
      <c r="E125" s="76"/>
      <c r="F125" s="76"/>
      <c r="G125" s="38"/>
      <c r="H125" s="38"/>
      <c r="I125" s="38"/>
      <c r="J125" s="39"/>
      <c r="K125" s="104"/>
      <c r="L125" s="104"/>
      <c r="M125" s="40"/>
      <c r="N125" s="47"/>
      <c r="O125" s="15">
        <f>SUM(N126:N138)</f>
        <v>1643.7199999999998</v>
      </c>
    </row>
    <row r="126" spans="1:18" x14ac:dyDescent="0.25">
      <c r="A126" s="149" t="s">
        <v>349</v>
      </c>
      <c r="C126" s="42" t="s">
        <v>350</v>
      </c>
      <c r="D126" s="135" t="s">
        <v>351</v>
      </c>
      <c r="E126" s="60"/>
      <c r="F126" s="60" t="s">
        <v>352</v>
      </c>
      <c r="G126" s="44"/>
      <c r="H126" s="44" t="s">
        <v>213</v>
      </c>
      <c r="I126" s="44" t="s">
        <v>29</v>
      </c>
      <c r="J126" s="45">
        <v>521.95000000000005</v>
      </c>
      <c r="K126" s="109">
        <f t="shared" ref="K126:K133" si="12">85/5</f>
        <v>17</v>
      </c>
      <c r="L126" s="109" t="s">
        <v>353</v>
      </c>
      <c r="M126" s="148"/>
      <c r="N126" s="47">
        <f t="shared" ref="N126:N137" si="13">J126*M126</f>
        <v>0</v>
      </c>
      <c r="O126" s="24" t="s">
        <v>354</v>
      </c>
      <c r="P126" s="211" t="s">
        <v>567</v>
      </c>
      <c r="Q126" s="94" t="s">
        <v>648</v>
      </c>
      <c r="R126" s="88" t="e">
        <f>N126/M126</f>
        <v>#DIV/0!</v>
      </c>
    </row>
    <row r="127" spans="1:18" x14ac:dyDescent="0.25">
      <c r="A127" s="152" t="s">
        <v>356</v>
      </c>
      <c r="C127" s="42" t="s">
        <v>357</v>
      </c>
      <c r="D127" s="135" t="s">
        <v>358</v>
      </c>
      <c r="E127" s="60"/>
      <c r="F127" s="60" t="s">
        <v>359</v>
      </c>
      <c r="G127" s="44"/>
      <c r="H127" s="44" t="s">
        <v>213</v>
      </c>
      <c r="I127" s="44" t="s">
        <v>29</v>
      </c>
      <c r="J127" s="45">
        <v>552.54999999999995</v>
      </c>
      <c r="K127" s="109">
        <f t="shared" si="12"/>
        <v>17</v>
      </c>
      <c r="L127" s="109" t="s">
        <v>353</v>
      </c>
      <c r="M127" s="148"/>
      <c r="N127" s="47">
        <f t="shared" si="13"/>
        <v>0</v>
      </c>
      <c r="O127" s="24" t="s">
        <v>354</v>
      </c>
      <c r="P127" s="211" t="s">
        <v>567</v>
      </c>
      <c r="Q127" s="94" t="s">
        <v>649</v>
      </c>
      <c r="R127" s="88" t="e">
        <f t="shared" ref="R127:R130" si="14">N127/M127</f>
        <v>#DIV/0!</v>
      </c>
    </row>
    <row r="128" spans="1:18" x14ac:dyDescent="0.25">
      <c r="A128" s="149" t="s">
        <v>360</v>
      </c>
      <c r="C128" s="42" t="s">
        <v>361</v>
      </c>
      <c r="D128" s="135" t="s">
        <v>362</v>
      </c>
      <c r="E128" s="60"/>
      <c r="F128" s="60" t="s">
        <v>363</v>
      </c>
      <c r="G128" s="44"/>
      <c r="H128" s="44" t="s">
        <v>213</v>
      </c>
      <c r="I128" s="44" t="s">
        <v>29</v>
      </c>
      <c r="J128" s="45">
        <v>583.16</v>
      </c>
      <c r="K128" s="109">
        <f t="shared" si="12"/>
        <v>17</v>
      </c>
      <c r="L128" s="109" t="s">
        <v>353</v>
      </c>
      <c r="M128" s="148"/>
      <c r="N128" s="47">
        <f t="shared" si="13"/>
        <v>0</v>
      </c>
      <c r="O128" s="24" t="s">
        <v>354</v>
      </c>
      <c r="P128" s="211" t="s">
        <v>567</v>
      </c>
      <c r="Q128" s="94" t="s">
        <v>650</v>
      </c>
      <c r="R128" s="88" t="e">
        <f t="shared" si="14"/>
        <v>#DIV/0!</v>
      </c>
    </row>
    <row r="129" spans="1:18" x14ac:dyDescent="0.25">
      <c r="A129" s="152" t="s">
        <v>364</v>
      </c>
      <c r="C129" s="42" t="s">
        <v>365</v>
      </c>
      <c r="D129" s="135" t="s">
        <v>366</v>
      </c>
      <c r="E129" s="60"/>
      <c r="F129" s="60" t="s">
        <v>367</v>
      </c>
      <c r="G129" s="44"/>
      <c r="H129" s="44" t="s">
        <v>213</v>
      </c>
      <c r="I129" s="44" t="s">
        <v>29</v>
      </c>
      <c r="J129" s="45">
        <v>648.98</v>
      </c>
      <c r="K129" s="109">
        <f t="shared" si="12"/>
        <v>17</v>
      </c>
      <c r="L129" s="109" t="s">
        <v>353</v>
      </c>
      <c r="M129" s="148"/>
      <c r="N129" s="47">
        <f t="shared" si="13"/>
        <v>0</v>
      </c>
      <c r="O129" s="24" t="s">
        <v>354</v>
      </c>
      <c r="P129" s="211" t="s">
        <v>567</v>
      </c>
      <c r="Q129" s="94" t="s">
        <v>651</v>
      </c>
      <c r="R129" s="88" t="e">
        <f t="shared" si="14"/>
        <v>#DIV/0!</v>
      </c>
    </row>
    <row r="130" spans="1:18" x14ac:dyDescent="0.25">
      <c r="A130" s="149" t="s">
        <v>368</v>
      </c>
      <c r="C130" s="42" t="s">
        <v>369</v>
      </c>
      <c r="D130" s="135" t="s">
        <v>370</v>
      </c>
      <c r="E130" s="60"/>
      <c r="F130" s="60" t="s">
        <v>371</v>
      </c>
      <c r="G130" s="44"/>
      <c r="H130" s="44" t="s">
        <v>213</v>
      </c>
      <c r="I130" s="44" t="s">
        <v>29</v>
      </c>
      <c r="J130" s="45">
        <v>703.12</v>
      </c>
      <c r="K130" s="109">
        <f t="shared" si="12"/>
        <v>17</v>
      </c>
      <c r="L130" s="109" t="s">
        <v>353</v>
      </c>
      <c r="M130" s="148"/>
      <c r="N130" s="47">
        <f t="shared" si="13"/>
        <v>0</v>
      </c>
      <c r="O130" s="24" t="s">
        <v>354</v>
      </c>
      <c r="P130" s="211" t="s">
        <v>567</v>
      </c>
      <c r="Q130" s="94" t="s">
        <v>652</v>
      </c>
      <c r="R130" s="88" t="e">
        <f t="shared" si="14"/>
        <v>#DIV/0!</v>
      </c>
    </row>
    <row r="131" spans="1:18" x14ac:dyDescent="0.25">
      <c r="A131" s="152" t="s">
        <v>372</v>
      </c>
      <c r="C131" s="42" t="s">
        <v>373</v>
      </c>
      <c r="D131" s="135" t="s">
        <v>374</v>
      </c>
      <c r="E131" s="60"/>
      <c r="F131" s="60" t="s">
        <v>375</v>
      </c>
      <c r="G131" s="44"/>
      <c r="H131" s="44" t="s">
        <v>213</v>
      </c>
      <c r="I131" s="44" t="s">
        <v>29</v>
      </c>
      <c r="J131" s="45">
        <v>790.22</v>
      </c>
      <c r="K131" s="109">
        <f t="shared" si="12"/>
        <v>17</v>
      </c>
      <c r="L131" s="109" t="s">
        <v>353</v>
      </c>
      <c r="M131" s="148"/>
      <c r="N131" s="47">
        <f t="shared" si="13"/>
        <v>0</v>
      </c>
      <c r="O131" s="24" t="s">
        <v>354</v>
      </c>
      <c r="P131" s="211" t="s">
        <v>567</v>
      </c>
      <c r="Q131" s="94" t="s">
        <v>653</v>
      </c>
      <c r="R131" s="88"/>
    </row>
    <row r="132" spans="1:18" x14ac:dyDescent="0.25">
      <c r="A132" s="152" t="s">
        <v>376</v>
      </c>
      <c r="C132" s="42" t="s">
        <v>377</v>
      </c>
      <c r="D132" s="135" t="s">
        <v>378</v>
      </c>
      <c r="E132" s="60"/>
      <c r="F132" s="60" t="s">
        <v>379</v>
      </c>
      <c r="G132" s="44"/>
      <c r="H132" s="44" t="s">
        <v>213</v>
      </c>
      <c r="I132" s="44" t="s">
        <v>29</v>
      </c>
      <c r="J132" s="45">
        <v>926.66</v>
      </c>
      <c r="K132" s="109">
        <f t="shared" si="12"/>
        <v>17</v>
      </c>
      <c r="L132" s="109" t="s">
        <v>353</v>
      </c>
      <c r="M132" s="148"/>
      <c r="N132" s="47">
        <f t="shared" si="13"/>
        <v>0</v>
      </c>
      <c r="O132" s="24" t="s">
        <v>354</v>
      </c>
      <c r="P132" s="211" t="s">
        <v>567</v>
      </c>
      <c r="Q132" s="94" t="s">
        <v>655</v>
      </c>
    </row>
    <row r="133" spans="1:18" x14ac:dyDescent="0.25">
      <c r="A133" s="149" t="s">
        <v>380</v>
      </c>
      <c r="C133" s="42" t="s">
        <v>381</v>
      </c>
      <c r="D133" s="135" t="s">
        <v>382</v>
      </c>
      <c r="E133" s="60"/>
      <c r="F133" s="60" t="s">
        <v>383</v>
      </c>
      <c r="G133" s="44"/>
      <c r="H133" s="44" t="s">
        <v>213</v>
      </c>
      <c r="I133" s="44" t="s">
        <v>29</v>
      </c>
      <c r="J133" s="45">
        <v>1100.8699999999999</v>
      </c>
      <c r="K133" s="109">
        <f t="shared" si="12"/>
        <v>17</v>
      </c>
      <c r="L133" s="109" t="s">
        <v>353</v>
      </c>
      <c r="M133" s="148"/>
      <c r="N133" s="47">
        <f t="shared" si="13"/>
        <v>0</v>
      </c>
      <c r="O133" s="24" t="s">
        <v>354</v>
      </c>
      <c r="P133" s="211" t="s">
        <v>567</v>
      </c>
      <c r="Q133" s="94" t="s">
        <v>656</v>
      </c>
    </row>
    <row r="134" spans="1:18" x14ac:dyDescent="0.25">
      <c r="C134" s="42" t="s">
        <v>384</v>
      </c>
      <c r="D134" s="142" t="s">
        <v>385</v>
      </c>
      <c r="E134" s="42"/>
      <c r="F134" s="178" t="s">
        <v>386</v>
      </c>
      <c r="G134" s="44"/>
      <c r="H134" s="44" t="s">
        <v>213</v>
      </c>
      <c r="I134" s="44" t="s">
        <v>29</v>
      </c>
      <c r="J134" s="45">
        <v>148.85</v>
      </c>
      <c r="K134" s="109">
        <f>15/5</f>
        <v>3</v>
      </c>
      <c r="L134" s="109" t="s">
        <v>353</v>
      </c>
      <c r="M134" s="83">
        <v>5</v>
      </c>
      <c r="N134" s="47">
        <f t="shared" si="13"/>
        <v>744.25</v>
      </c>
      <c r="O134" s="24" t="s">
        <v>354</v>
      </c>
      <c r="P134" s="211" t="s">
        <v>567</v>
      </c>
      <c r="Q134" s="94" t="s">
        <v>384</v>
      </c>
    </row>
    <row r="135" spans="1:18" x14ac:dyDescent="0.25">
      <c r="C135" s="42" t="s">
        <v>387</v>
      </c>
      <c r="D135" s="142" t="s">
        <v>388</v>
      </c>
      <c r="E135" s="42"/>
      <c r="F135" s="179" t="s">
        <v>389</v>
      </c>
      <c r="G135" s="44"/>
      <c r="H135" s="44" t="s">
        <v>213</v>
      </c>
      <c r="I135" s="44" t="s">
        <v>29</v>
      </c>
      <c r="J135" s="45">
        <v>192.63</v>
      </c>
      <c r="K135" s="109">
        <f>15/5</f>
        <v>3</v>
      </c>
      <c r="L135" s="109" t="s">
        <v>353</v>
      </c>
      <c r="M135" s="83">
        <v>3</v>
      </c>
      <c r="N135" s="47">
        <f t="shared" si="13"/>
        <v>577.89</v>
      </c>
      <c r="O135" s="24" t="s">
        <v>354</v>
      </c>
      <c r="P135" s="211" t="s">
        <v>567</v>
      </c>
      <c r="Q135" s="94" t="s">
        <v>387</v>
      </c>
    </row>
    <row r="136" spans="1:18" x14ac:dyDescent="0.25">
      <c r="C136" s="42" t="s">
        <v>390</v>
      </c>
      <c r="D136" s="142" t="s">
        <v>391</v>
      </c>
      <c r="E136" s="42"/>
      <c r="F136" s="178" t="s">
        <v>392</v>
      </c>
      <c r="G136" s="44"/>
      <c r="H136" s="44" t="s">
        <v>213</v>
      </c>
      <c r="I136" s="44" t="s">
        <v>29</v>
      </c>
      <c r="J136" s="45">
        <v>160.79</v>
      </c>
      <c r="K136" s="109">
        <f>15/5</f>
        <v>3</v>
      </c>
      <c r="L136" s="109" t="s">
        <v>353</v>
      </c>
      <c r="M136" s="83">
        <v>2</v>
      </c>
      <c r="N136" s="47">
        <f t="shared" si="13"/>
        <v>321.58</v>
      </c>
      <c r="O136" s="24" t="s">
        <v>354</v>
      </c>
      <c r="P136" s="211" t="s">
        <v>567</v>
      </c>
      <c r="Q136" s="94" t="s">
        <v>390</v>
      </c>
    </row>
    <row r="137" spans="1:18" x14ac:dyDescent="0.25">
      <c r="C137" s="42" t="s">
        <v>393</v>
      </c>
      <c r="D137" s="142" t="s">
        <v>388</v>
      </c>
      <c r="E137" s="42"/>
      <c r="F137" s="178" t="s">
        <v>394</v>
      </c>
      <c r="G137" s="44"/>
      <c r="H137" s="44" t="s">
        <v>213</v>
      </c>
      <c r="I137" s="44" t="s">
        <v>29</v>
      </c>
      <c r="J137" s="45">
        <v>212.52999999999997</v>
      </c>
      <c r="K137" s="109">
        <f>85/5</f>
        <v>17</v>
      </c>
      <c r="L137" s="109" t="s">
        <v>353</v>
      </c>
      <c r="M137" s="83">
        <v>0</v>
      </c>
      <c r="N137" s="47">
        <f t="shared" si="13"/>
        <v>0</v>
      </c>
      <c r="O137" s="24" t="s">
        <v>354</v>
      </c>
      <c r="P137" s="211" t="s">
        <v>567</v>
      </c>
      <c r="Q137" s="94" t="s">
        <v>393</v>
      </c>
    </row>
    <row r="138" spans="1:18" x14ac:dyDescent="0.25">
      <c r="C138" s="42"/>
      <c r="D138" s="128"/>
      <c r="E138" s="50"/>
      <c r="F138" s="50"/>
      <c r="G138" s="44"/>
      <c r="H138" s="44"/>
      <c r="I138" s="44"/>
      <c r="J138" s="51"/>
      <c r="K138" s="106"/>
      <c r="L138" s="106"/>
      <c r="M138" s="46"/>
      <c r="N138" s="47"/>
      <c r="O138" s="52"/>
    </row>
    <row r="139" spans="1:18" x14ac:dyDescent="0.25">
      <c r="C139" s="36" t="s">
        <v>395</v>
      </c>
      <c r="D139" s="129"/>
      <c r="E139" s="37"/>
      <c r="F139" s="37"/>
      <c r="G139" s="38"/>
      <c r="H139" s="38"/>
      <c r="I139" s="38"/>
      <c r="J139" s="39"/>
      <c r="K139" s="104"/>
      <c r="L139" s="104"/>
      <c r="M139" s="40"/>
      <c r="N139" s="47"/>
      <c r="O139" s="52"/>
    </row>
    <row r="140" spans="1:18" x14ac:dyDescent="0.25">
      <c r="C140" s="36" t="s">
        <v>423</v>
      </c>
      <c r="D140" s="128"/>
      <c r="E140" s="50"/>
      <c r="F140" s="50"/>
      <c r="G140" s="44"/>
      <c r="H140" s="44"/>
      <c r="I140" s="44"/>
      <c r="J140" s="47"/>
      <c r="K140" s="110"/>
      <c r="L140" s="110"/>
      <c r="M140" s="46"/>
      <c r="N140" s="47"/>
      <c r="O140" s="15">
        <f>SUM(N141:N152)</f>
        <v>0</v>
      </c>
    </row>
    <row r="141" spans="1:18" x14ac:dyDescent="0.25">
      <c r="A141" s="149" t="s">
        <v>424</v>
      </c>
      <c r="C141" s="61" t="s">
        <v>425</v>
      </c>
      <c r="D141" s="43" t="s">
        <v>426</v>
      </c>
      <c r="E141" s="50"/>
      <c r="F141" s="78" t="s">
        <v>427</v>
      </c>
      <c r="G141" s="44">
        <v>6054538</v>
      </c>
      <c r="H141" s="44" t="s">
        <v>282</v>
      </c>
      <c r="I141" s="44" t="s">
        <v>283</v>
      </c>
      <c r="J141" s="49">
        <v>105.4</v>
      </c>
      <c r="K141" s="105"/>
      <c r="L141" s="105"/>
      <c r="M141" s="46"/>
      <c r="N141" s="47">
        <f>J141*M141</f>
        <v>0</v>
      </c>
      <c r="O141" s="24"/>
      <c r="P141" s="26" t="s">
        <v>428</v>
      </c>
    </row>
    <row r="142" spans="1:18" x14ac:dyDescent="0.25">
      <c r="C142" s="36" t="s">
        <v>429</v>
      </c>
      <c r="D142" s="128"/>
      <c r="E142" s="50"/>
      <c r="F142" s="50"/>
      <c r="G142" s="44"/>
      <c r="H142" s="44"/>
      <c r="I142" s="44"/>
      <c r="J142" s="47"/>
      <c r="K142" s="110"/>
      <c r="L142" s="110"/>
      <c r="M142" s="46"/>
      <c r="N142" s="47"/>
      <c r="O142" s="15">
        <f>SUM(N143:N150)</f>
        <v>0</v>
      </c>
    </row>
    <row r="143" spans="1:18" x14ac:dyDescent="0.25">
      <c r="A143" s="174" t="s">
        <v>430</v>
      </c>
      <c r="C143" s="61" t="s">
        <v>798</v>
      </c>
      <c r="D143" s="43" t="s">
        <v>432</v>
      </c>
      <c r="E143" s="50"/>
      <c r="F143" s="60" t="s">
        <v>433</v>
      </c>
      <c r="G143" s="44">
        <v>1075909</v>
      </c>
      <c r="H143" s="44" t="s">
        <v>282</v>
      </c>
      <c r="I143" s="44" t="s">
        <v>283</v>
      </c>
      <c r="J143" s="49">
        <v>16120</v>
      </c>
      <c r="K143" s="105"/>
      <c r="L143" s="105"/>
      <c r="M143" s="46"/>
      <c r="N143" s="47">
        <f t="shared" ref="N143:N150" si="15">J143*M143</f>
        <v>0</v>
      </c>
      <c r="O143" s="24" t="s">
        <v>434</v>
      </c>
      <c r="P143" s="26" t="s">
        <v>809</v>
      </c>
      <c r="Q143" s="94" t="s">
        <v>816</v>
      </c>
    </row>
    <row r="144" spans="1:18" x14ac:dyDescent="0.25">
      <c r="A144" s="174" t="s">
        <v>437</v>
      </c>
      <c r="C144" s="61" t="s">
        <v>799</v>
      </c>
      <c r="D144" s="43" t="s">
        <v>439</v>
      </c>
      <c r="E144" s="50"/>
      <c r="F144" s="60" t="s">
        <v>440</v>
      </c>
      <c r="G144" s="44">
        <v>1095308</v>
      </c>
      <c r="H144" s="44" t="s">
        <v>282</v>
      </c>
      <c r="I144" s="44" t="s">
        <v>283</v>
      </c>
      <c r="J144" s="49">
        <v>19960</v>
      </c>
      <c r="K144" s="105"/>
      <c r="L144" s="105"/>
      <c r="M144" s="46"/>
      <c r="N144" s="47">
        <f t="shared" si="15"/>
        <v>0</v>
      </c>
      <c r="O144" s="24" t="s">
        <v>434</v>
      </c>
      <c r="P144" s="26" t="s">
        <v>810</v>
      </c>
      <c r="Q144" s="94" t="s">
        <v>817</v>
      </c>
    </row>
    <row r="145" spans="1:17" x14ac:dyDescent="0.25">
      <c r="A145" s="154" t="s">
        <v>443</v>
      </c>
      <c r="C145" s="61" t="s">
        <v>800</v>
      </c>
      <c r="D145" s="142"/>
      <c r="E145" s="242"/>
      <c r="F145" s="179" t="s">
        <v>808</v>
      </c>
      <c r="G145" s="48"/>
      <c r="H145" s="44" t="s">
        <v>282</v>
      </c>
      <c r="I145" s="44" t="s">
        <v>283</v>
      </c>
      <c r="J145" s="49">
        <v>21270</v>
      </c>
      <c r="K145" s="105"/>
      <c r="L145" s="105"/>
      <c r="M145" s="46"/>
      <c r="N145" s="47">
        <f t="shared" si="15"/>
        <v>0</v>
      </c>
      <c r="O145" s="24" t="s">
        <v>434</v>
      </c>
      <c r="P145" s="26" t="s">
        <v>811</v>
      </c>
      <c r="Q145" s="94" t="s">
        <v>818</v>
      </c>
    </row>
    <row r="146" spans="1:17" x14ac:dyDescent="0.25">
      <c r="A146" s="155" t="s">
        <v>806</v>
      </c>
      <c r="C146" s="61" t="s">
        <v>801</v>
      </c>
      <c r="D146" s="142"/>
      <c r="E146" s="242"/>
      <c r="F146" s="179"/>
      <c r="G146" s="48"/>
      <c r="H146" s="44" t="s">
        <v>282</v>
      </c>
      <c r="I146" s="44" t="s">
        <v>283</v>
      </c>
      <c r="J146" s="49">
        <v>15650</v>
      </c>
      <c r="K146" s="105"/>
      <c r="L146" s="105"/>
      <c r="M146" s="46"/>
      <c r="N146" s="47">
        <f t="shared" si="15"/>
        <v>0</v>
      </c>
      <c r="O146" s="24" t="s">
        <v>434</v>
      </c>
      <c r="P146" s="26" t="s">
        <v>812</v>
      </c>
      <c r="Q146" s="94" t="s">
        <v>819</v>
      </c>
    </row>
    <row r="147" spans="1:17" x14ac:dyDescent="0.25">
      <c r="A147" s="154" t="s">
        <v>807</v>
      </c>
      <c r="C147" s="61" t="s">
        <v>802</v>
      </c>
      <c r="D147" s="95"/>
      <c r="E147" s="242"/>
      <c r="F147" s="179" t="s">
        <v>446</v>
      </c>
      <c r="G147" s="48"/>
      <c r="H147" s="44" t="s">
        <v>282</v>
      </c>
      <c r="I147" s="44" t="s">
        <v>283</v>
      </c>
      <c r="J147" s="49">
        <v>21270</v>
      </c>
      <c r="K147" s="105"/>
      <c r="L147" s="105"/>
      <c r="M147" s="46"/>
      <c r="N147" s="47">
        <f t="shared" si="15"/>
        <v>0</v>
      </c>
      <c r="O147" s="24" t="s">
        <v>434</v>
      </c>
      <c r="P147" s="26" t="s">
        <v>813</v>
      </c>
      <c r="Q147" s="94" t="s">
        <v>820</v>
      </c>
    </row>
    <row r="148" spans="1:17" x14ac:dyDescent="0.25">
      <c r="A148" s="155" t="s">
        <v>455</v>
      </c>
      <c r="C148" s="61" t="s">
        <v>803</v>
      </c>
      <c r="D148" s="95"/>
      <c r="E148" s="242"/>
      <c r="F148" s="179" t="s">
        <v>462</v>
      </c>
      <c r="G148" s="48"/>
      <c r="H148" s="44" t="s">
        <v>282</v>
      </c>
      <c r="I148" s="44" t="s">
        <v>283</v>
      </c>
      <c r="J148" s="49">
        <v>35020</v>
      </c>
      <c r="K148" s="105"/>
      <c r="L148" s="105"/>
      <c r="M148" s="46"/>
      <c r="N148" s="47">
        <f t="shared" si="15"/>
        <v>0</v>
      </c>
      <c r="O148" s="24" t="s">
        <v>434</v>
      </c>
      <c r="P148" s="26" t="s">
        <v>814</v>
      </c>
      <c r="Q148" s="94" t="s">
        <v>821</v>
      </c>
    </row>
    <row r="149" spans="1:17" x14ac:dyDescent="0.25">
      <c r="A149" s="155" t="s">
        <v>460</v>
      </c>
      <c r="C149" s="61" t="s">
        <v>804</v>
      </c>
      <c r="D149" s="243"/>
      <c r="E149" s="242"/>
      <c r="F149" s="179" t="s">
        <v>452</v>
      </c>
      <c r="G149" s="48"/>
      <c r="H149" s="44" t="s">
        <v>282</v>
      </c>
      <c r="I149" s="44" t="s">
        <v>283</v>
      </c>
      <c r="J149" s="49">
        <v>29180</v>
      </c>
      <c r="K149" s="105"/>
      <c r="L149" s="105"/>
      <c r="M149" s="46"/>
      <c r="N149" s="47">
        <f t="shared" si="15"/>
        <v>0</v>
      </c>
      <c r="O149" s="24" t="s">
        <v>434</v>
      </c>
      <c r="P149" s="26" t="s">
        <v>815</v>
      </c>
      <c r="Q149" s="94" t="s">
        <v>822</v>
      </c>
    </row>
    <row r="150" spans="1:17" x14ac:dyDescent="0.25">
      <c r="A150" s="154" t="s">
        <v>466</v>
      </c>
      <c r="C150" s="61" t="s">
        <v>805</v>
      </c>
      <c r="D150" s="142"/>
      <c r="E150" s="242"/>
      <c r="F150" s="176"/>
      <c r="G150" s="48"/>
      <c r="H150" s="44" t="s">
        <v>282</v>
      </c>
      <c r="I150" s="44" t="s">
        <v>283</v>
      </c>
      <c r="J150" s="49">
        <f>(1500+500)+(3800+500)</f>
        <v>6300</v>
      </c>
      <c r="K150" s="105"/>
      <c r="L150" s="105"/>
      <c r="M150" s="46"/>
      <c r="N150" s="47">
        <f t="shared" si="15"/>
        <v>0</v>
      </c>
      <c r="O150" s="24" t="s">
        <v>434</v>
      </c>
      <c r="P150" s="26" t="s">
        <v>468</v>
      </c>
      <c r="Q150" s="94" t="s">
        <v>469</v>
      </c>
    </row>
    <row r="151" spans="1:17" x14ac:dyDescent="0.25">
      <c r="C151" s="36" t="s">
        <v>475</v>
      </c>
      <c r="D151" s="128"/>
      <c r="E151" s="50"/>
      <c r="F151" s="50"/>
      <c r="G151" s="44"/>
      <c r="H151" s="44"/>
      <c r="I151" s="44"/>
      <c r="J151" s="47"/>
      <c r="K151" s="110"/>
      <c r="L151" s="110"/>
      <c r="M151" s="46"/>
      <c r="N151" s="47"/>
      <c r="O151" s="15">
        <f>SUM(N152:N153)</f>
        <v>0</v>
      </c>
    </row>
    <row r="152" spans="1:17" x14ac:dyDescent="0.25">
      <c r="A152" s="149" t="s">
        <v>476</v>
      </c>
      <c r="C152" s="61" t="s">
        <v>833</v>
      </c>
      <c r="D152" s="135" t="s">
        <v>478</v>
      </c>
      <c r="E152" s="50"/>
      <c r="F152" s="60" t="s">
        <v>476</v>
      </c>
      <c r="G152" s="44">
        <v>1080169</v>
      </c>
      <c r="H152" s="44" t="s">
        <v>282</v>
      </c>
      <c r="I152" s="44" t="s">
        <v>283</v>
      </c>
      <c r="J152" s="49">
        <v>13080</v>
      </c>
      <c r="K152" s="105"/>
      <c r="L152" s="105"/>
      <c r="M152" s="46"/>
      <c r="N152" s="47">
        <f>J152*M152</f>
        <v>0</v>
      </c>
      <c r="O152" s="24" t="s">
        <v>434</v>
      </c>
      <c r="P152" s="26" t="s">
        <v>479</v>
      </c>
      <c r="Q152" s="94" t="s">
        <v>832</v>
      </c>
    </row>
    <row r="153" spans="1:17" x14ac:dyDescent="0.25">
      <c r="C153" s="42"/>
      <c r="D153" s="128"/>
      <c r="E153" s="50"/>
      <c r="F153" s="50"/>
      <c r="G153" s="44"/>
      <c r="H153" s="44"/>
      <c r="I153" s="44"/>
      <c r="J153" s="51"/>
      <c r="K153" s="106"/>
      <c r="L153" s="106"/>
      <c r="M153" s="46"/>
      <c r="N153" s="47"/>
      <c r="O153" s="52"/>
    </row>
    <row r="154" spans="1:17" x14ac:dyDescent="0.25">
      <c r="C154" s="36" t="s">
        <v>481</v>
      </c>
      <c r="D154" s="129"/>
      <c r="E154" s="37"/>
      <c r="F154" s="37"/>
      <c r="G154" s="86"/>
      <c r="H154" s="86"/>
      <c r="I154" s="86"/>
      <c r="J154" s="51"/>
      <c r="K154" s="106"/>
      <c r="L154" s="106"/>
      <c r="M154" s="52"/>
      <c r="N154" s="47"/>
      <c r="O154" s="15">
        <f>SUM(N155:N169)</f>
        <v>0</v>
      </c>
      <c r="Q154" s="30"/>
    </row>
    <row r="155" spans="1:17" x14ac:dyDescent="0.25">
      <c r="C155" s="53" t="s">
        <v>482</v>
      </c>
      <c r="D155" s="43" t="s">
        <v>483</v>
      </c>
      <c r="E155" s="50"/>
      <c r="F155" s="50"/>
      <c r="G155" s="252" t="s">
        <v>484</v>
      </c>
      <c r="H155" s="53" t="s">
        <v>485</v>
      </c>
      <c r="I155" s="44" t="s">
        <v>29</v>
      </c>
      <c r="J155" s="45">
        <f>27.28*1.1</f>
        <v>30.008000000000003</v>
      </c>
      <c r="K155" s="109">
        <v>17</v>
      </c>
      <c r="L155" s="115" t="s">
        <v>353</v>
      </c>
      <c r="M155" s="247">
        <f>SUM(M24:M29)+SUM(M126:M133)</f>
        <v>0</v>
      </c>
      <c r="N155" s="47">
        <f t="shared" ref="N155:N169" si="16">J155*M155</f>
        <v>0</v>
      </c>
      <c r="O155" s="19" t="s">
        <v>486</v>
      </c>
      <c r="P155" s="26" t="s">
        <v>567</v>
      </c>
      <c r="Q155" s="228" t="s">
        <v>487</v>
      </c>
    </row>
    <row r="156" spans="1:17" s="244" customFormat="1" x14ac:dyDescent="0.25">
      <c r="A156" s="238" t="s">
        <v>700</v>
      </c>
      <c r="B156" s="92"/>
      <c r="C156" s="53" t="s">
        <v>488</v>
      </c>
      <c r="D156" s="248" t="s">
        <v>489</v>
      </c>
      <c r="E156" s="60" t="s">
        <v>490</v>
      </c>
      <c r="F156" s="182"/>
      <c r="G156" s="55" t="s">
        <v>491</v>
      </c>
      <c r="H156" s="53" t="s">
        <v>485</v>
      </c>
      <c r="I156" s="44" t="s">
        <v>29</v>
      </c>
      <c r="J156" s="45">
        <f>52.89*1.1</f>
        <v>58.179000000000002</v>
      </c>
      <c r="K156" s="109">
        <f>90/5</f>
        <v>18</v>
      </c>
      <c r="L156" s="115" t="s">
        <v>353</v>
      </c>
      <c r="M156" s="83"/>
      <c r="N156" s="47">
        <f t="shared" si="16"/>
        <v>0</v>
      </c>
      <c r="O156" s="19" t="s">
        <v>492</v>
      </c>
      <c r="P156" s="244" t="s">
        <v>569</v>
      </c>
      <c r="Q156" s="245" t="s">
        <v>494</v>
      </c>
    </row>
    <row r="157" spans="1:17" s="244" customFormat="1" x14ac:dyDescent="0.25">
      <c r="A157" s="238" t="s">
        <v>701</v>
      </c>
      <c r="B157" s="92"/>
      <c r="C157" s="53" t="s">
        <v>495</v>
      </c>
      <c r="D157" s="248" t="s">
        <v>496</v>
      </c>
      <c r="E157" s="60" t="s">
        <v>497</v>
      </c>
      <c r="F157" s="182"/>
      <c r="G157" s="55" t="s">
        <v>498</v>
      </c>
      <c r="H157" s="53" t="s">
        <v>485</v>
      </c>
      <c r="I157" s="44" t="s">
        <v>29</v>
      </c>
      <c r="J157" s="45">
        <f>60.7214*1.1</f>
        <v>66.793540000000007</v>
      </c>
      <c r="K157" s="109">
        <f>90/5</f>
        <v>18</v>
      </c>
      <c r="L157" s="115" t="s">
        <v>353</v>
      </c>
      <c r="M157" s="83"/>
      <c r="N157" s="47">
        <f t="shared" si="16"/>
        <v>0</v>
      </c>
      <c r="O157" s="19" t="s">
        <v>499</v>
      </c>
      <c r="P157" s="244" t="s">
        <v>569</v>
      </c>
      <c r="Q157" s="245" t="s">
        <v>494</v>
      </c>
    </row>
    <row r="158" spans="1:17" s="244" customFormat="1" x14ac:dyDescent="0.25">
      <c r="A158" s="238" t="s">
        <v>702</v>
      </c>
      <c r="B158" s="92"/>
      <c r="C158" s="53" t="s">
        <v>500</v>
      </c>
      <c r="D158" s="248" t="s">
        <v>501</v>
      </c>
      <c r="E158" s="60" t="s">
        <v>502</v>
      </c>
      <c r="F158" s="182"/>
      <c r="G158" s="55" t="s">
        <v>503</v>
      </c>
      <c r="H158" s="53" t="s">
        <v>485</v>
      </c>
      <c r="I158" s="44" t="s">
        <v>29</v>
      </c>
      <c r="J158" s="45">
        <f>72.011*1.1</f>
        <v>79.212100000000007</v>
      </c>
      <c r="K158" s="109">
        <f>90/5</f>
        <v>18</v>
      </c>
      <c r="L158" s="115" t="s">
        <v>353</v>
      </c>
      <c r="M158" s="83"/>
      <c r="N158" s="47">
        <f t="shared" si="16"/>
        <v>0</v>
      </c>
      <c r="O158" s="19" t="s">
        <v>504</v>
      </c>
      <c r="P158" s="244" t="s">
        <v>569</v>
      </c>
      <c r="Q158" s="245" t="s">
        <v>494</v>
      </c>
    </row>
    <row r="159" spans="1:17" s="244" customFormat="1" x14ac:dyDescent="0.25">
      <c r="A159" s="238" t="s">
        <v>697</v>
      </c>
      <c r="B159" s="92"/>
      <c r="C159" s="53" t="s">
        <v>509</v>
      </c>
      <c r="D159" s="249" t="s">
        <v>510</v>
      </c>
      <c r="E159" s="60" t="s">
        <v>511</v>
      </c>
      <c r="F159" s="182"/>
      <c r="G159" s="250" t="s">
        <v>512</v>
      </c>
      <c r="H159" s="53" t="s">
        <v>485</v>
      </c>
      <c r="I159" s="44" t="s">
        <v>29</v>
      </c>
      <c r="J159" s="45">
        <f>38.24*1.1</f>
        <v>42.064000000000007</v>
      </c>
      <c r="K159" s="109">
        <f>84/5</f>
        <v>16.8</v>
      </c>
      <c r="L159" s="115" t="s">
        <v>353</v>
      </c>
      <c r="M159" s="83"/>
      <c r="N159" s="47">
        <f t="shared" si="16"/>
        <v>0</v>
      </c>
      <c r="O159" s="19" t="s">
        <v>486</v>
      </c>
      <c r="P159" s="244" t="s">
        <v>569</v>
      </c>
      <c r="Q159" s="245" t="s">
        <v>494</v>
      </c>
    </row>
    <row r="160" spans="1:17" s="244" customFormat="1" x14ac:dyDescent="0.25">
      <c r="A160" s="238" t="s">
        <v>698</v>
      </c>
      <c r="B160" s="92"/>
      <c r="C160" s="53" t="s">
        <v>513</v>
      </c>
      <c r="D160" s="249" t="s">
        <v>514</v>
      </c>
      <c r="E160" s="60" t="s">
        <v>515</v>
      </c>
      <c r="F160" s="182"/>
      <c r="G160" s="251" t="s">
        <v>516</v>
      </c>
      <c r="H160" s="53" t="s">
        <v>485</v>
      </c>
      <c r="I160" s="44" t="s">
        <v>29</v>
      </c>
      <c r="J160" s="45">
        <f>41.67*1.1</f>
        <v>45.837000000000003</v>
      </c>
      <c r="K160" s="109">
        <f>154/5</f>
        <v>30.8</v>
      </c>
      <c r="L160" s="115" t="s">
        <v>353</v>
      </c>
      <c r="M160" s="83"/>
      <c r="N160" s="47">
        <f t="shared" si="16"/>
        <v>0</v>
      </c>
      <c r="O160" s="19" t="s">
        <v>486</v>
      </c>
      <c r="P160" s="244" t="s">
        <v>569</v>
      </c>
      <c r="Q160" s="245" t="s">
        <v>494</v>
      </c>
    </row>
    <row r="161" spans="1:17" s="244" customFormat="1" x14ac:dyDescent="0.25">
      <c r="A161" s="238" t="s">
        <v>699</v>
      </c>
      <c r="B161" s="246"/>
      <c r="C161" s="53" t="s">
        <v>517</v>
      </c>
      <c r="D161" s="249" t="s">
        <v>518</v>
      </c>
      <c r="E161" s="60" t="s">
        <v>519</v>
      </c>
      <c r="F161" s="182"/>
      <c r="G161" s="251" t="s">
        <v>520</v>
      </c>
      <c r="H161" s="53" t="s">
        <v>485</v>
      </c>
      <c r="I161" s="44" t="s">
        <v>29</v>
      </c>
      <c r="J161" s="45">
        <f>48.6*1.1</f>
        <v>53.460000000000008</v>
      </c>
      <c r="K161" s="109">
        <f>154/5</f>
        <v>30.8</v>
      </c>
      <c r="L161" s="115" t="s">
        <v>353</v>
      </c>
      <c r="M161" s="83"/>
      <c r="N161" s="47">
        <f t="shared" si="16"/>
        <v>0</v>
      </c>
      <c r="O161" s="19" t="s">
        <v>486</v>
      </c>
      <c r="P161" s="244" t="s">
        <v>569</v>
      </c>
      <c r="Q161" s="245" t="s">
        <v>494</v>
      </c>
    </row>
    <row r="162" spans="1:17" x14ac:dyDescent="0.25">
      <c r="A162" s="238" t="s">
        <v>703</v>
      </c>
      <c r="C162" s="53" t="s">
        <v>521</v>
      </c>
      <c r="D162" s="135" t="s">
        <v>522</v>
      </c>
      <c r="E162" s="60"/>
      <c r="F162" s="60"/>
      <c r="G162" s="44" t="s">
        <v>523</v>
      </c>
      <c r="H162" s="42" t="s">
        <v>327</v>
      </c>
      <c r="I162" s="44" t="s">
        <v>29</v>
      </c>
      <c r="J162" s="45">
        <f>3.92+0.35</f>
        <v>4.2699999999999996</v>
      </c>
      <c r="K162" s="109">
        <v>4</v>
      </c>
      <c r="L162" s="115" t="s">
        <v>90</v>
      </c>
      <c r="M162" s="83"/>
      <c r="N162" s="47">
        <f t="shared" si="16"/>
        <v>0</v>
      </c>
      <c r="O162" s="25" t="s">
        <v>524</v>
      </c>
      <c r="P162" s="211" t="s">
        <v>570</v>
      </c>
      <c r="Q162" s="94" t="s">
        <v>526</v>
      </c>
    </row>
    <row r="163" spans="1:17" x14ac:dyDescent="0.25">
      <c r="A163" s="238" t="s">
        <v>704</v>
      </c>
      <c r="C163" s="53" t="s">
        <v>527</v>
      </c>
      <c r="D163" s="43" t="s">
        <v>528</v>
      </c>
      <c r="E163" s="50"/>
      <c r="F163" s="50"/>
      <c r="G163" s="55" t="s">
        <v>529</v>
      </c>
      <c r="H163" s="53" t="s">
        <v>327</v>
      </c>
      <c r="I163" s="44" t="s">
        <v>29</v>
      </c>
      <c r="J163" s="45">
        <f>4.94+0.44</f>
        <v>5.3800000000000008</v>
      </c>
      <c r="K163" s="109">
        <v>4</v>
      </c>
      <c r="L163" s="115" t="s">
        <v>90</v>
      </c>
      <c r="M163" s="83"/>
      <c r="N163" s="47">
        <f t="shared" si="16"/>
        <v>0</v>
      </c>
      <c r="O163" s="25" t="s">
        <v>524</v>
      </c>
      <c r="P163" s="211" t="s">
        <v>570</v>
      </c>
      <c r="Q163" s="94" t="s">
        <v>526</v>
      </c>
    </row>
    <row r="164" spans="1:17" x14ac:dyDescent="0.25">
      <c r="A164" s="238" t="s">
        <v>705</v>
      </c>
      <c r="C164" s="42" t="s">
        <v>530</v>
      </c>
      <c r="D164" s="135" t="s">
        <v>531</v>
      </c>
      <c r="E164" s="60"/>
      <c r="F164" s="60"/>
      <c r="G164" s="44" t="s">
        <v>532</v>
      </c>
      <c r="H164" s="42" t="s">
        <v>327</v>
      </c>
      <c r="I164" s="44" t="s">
        <v>29</v>
      </c>
      <c r="J164" s="45">
        <f>7.4+0.67</f>
        <v>8.07</v>
      </c>
      <c r="K164" s="109">
        <v>4</v>
      </c>
      <c r="L164" s="115" t="s">
        <v>90</v>
      </c>
      <c r="M164" s="83"/>
      <c r="N164" s="47">
        <f t="shared" si="16"/>
        <v>0</v>
      </c>
      <c r="O164" s="25" t="s">
        <v>524</v>
      </c>
      <c r="P164" s="211" t="s">
        <v>570</v>
      </c>
      <c r="Q164" s="94" t="s">
        <v>526</v>
      </c>
    </row>
    <row r="165" spans="1:17" x14ac:dyDescent="0.25">
      <c r="C165" s="53" t="s">
        <v>533</v>
      </c>
      <c r="D165" s="135" t="s">
        <v>522</v>
      </c>
      <c r="E165" s="50"/>
      <c r="F165" s="50"/>
      <c r="G165" s="44" t="s">
        <v>523</v>
      </c>
      <c r="H165" s="42" t="s">
        <v>327</v>
      </c>
      <c r="I165" s="44" t="s">
        <v>29</v>
      </c>
      <c r="J165" s="45">
        <f>3.92+0.35</f>
        <v>4.2699999999999996</v>
      </c>
      <c r="K165" s="109">
        <v>4</v>
      </c>
      <c r="L165" s="115" t="s">
        <v>90</v>
      </c>
      <c r="M165" s="46">
        <f>ROUNDUP((SUM(M63:M68)+M71+M77++M84+M92+M101+M123)/2,0)</f>
        <v>0</v>
      </c>
      <c r="N165" s="47">
        <f t="shared" si="16"/>
        <v>0</v>
      </c>
      <c r="O165" s="25" t="s">
        <v>524</v>
      </c>
      <c r="P165" s="211" t="s">
        <v>570</v>
      </c>
      <c r="Q165" s="94" t="s">
        <v>526</v>
      </c>
    </row>
    <row r="166" spans="1:17" x14ac:dyDescent="0.25">
      <c r="C166" s="53" t="s">
        <v>534</v>
      </c>
      <c r="D166" s="43" t="s">
        <v>528</v>
      </c>
      <c r="E166" s="50"/>
      <c r="F166" s="50"/>
      <c r="G166" s="55" t="s">
        <v>529</v>
      </c>
      <c r="H166" s="53" t="s">
        <v>327</v>
      </c>
      <c r="I166" s="44" t="s">
        <v>29</v>
      </c>
      <c r="J166" s="45">
        <f>4.94+0.44</f>
        <v>5.3800000000000008</v>
      </c>
      <c r="K166" s="109">
        <v>4</v>
      </c>
      <c r="L166" s="115" t="s">
        <v>90</v>
      </c>
      <c r="M166" s="46">
        <f>ROUNDUP((SUM(M63:M68)+M71+M77++M84+M92+M101+M123)/2,0)</f>
        <v>0</v>
      </c>
      <c r="N166" s="47">
        <f t="shared" si="16"/>
        <v>0</v>
      </c>
      <c r="O166" s="25" t="s">
        <v>524</v>
      </c>
      <c r="P166" s="211" t="s">
        <v>570</v>
      </c>
      <c r="Q166" s="94" t="s">
        <v>526</v>
      </c>
    </row>
    <row r="167" spans="1:17" x14ac:dyDescent="0.25">
      <c r="C167" s="42" t="s">
        <v>535</v>
      </c>
      <c r="D167" s="135" t="s">
        <v>536</v>
      </c>
      <c r="E167" s="60"/>
      <c r="F167" s="60"/>
      <c r="G167" s="44" t="s">
        <v>537</v>
      </c>
      <c r="H167" s="42" t="s">
        <v>327</v>
      </c>
      <c r="I167" s="44" t="s">
        <v>29</v>
      </c>
      <c r="J167" s="45">
        <f>4.67+0.42</f>
        <v>5.09</v>
      </c>
      <c r="K167" s="109">
        <v>12</v>
      </c>
      <c r="L167" s="115" t="s">
        <v>90</v>
      </c>
      <c r="M167" s="205">
        <f>SUM(M162:M166)</f>
        <v>0</v>
      </c>
      <c r="N167" s="202">
        <f t="shared" si="16"/>
        <v>0</v>
      </c>
      <c r="O167" s="206" t="s">
        <v>524</v>
      </c>
      <c r="P167" s="211" t="s">
        <v>570</v>
      </c>
      <c r="Q167" s="94" t="s">
        <v>286</v>
      </c>
    </row>
    <row r="168" spans="1:17" x14ac:dyDescent="0.25">
      <c r="C168" s="53" t="s">
        <v>538</v>
      </c>
      <c r="D168" s="43" t="s">
        <v>539</v>
      </c>
      <c r="E168" s="60"/>
      <c r="F168" s="60"/>
      <c r="G168" s="55" t="s">
        <v>540</v>
      </c>
      <c r="H168" s="53" t="s">
        <v>541</v>
      </c>
      <c r="I168" s="44" t="s">
        <v>29</v>
      </c>
      <c r="J168" s="45">
        <f>0.29*1.1</f>
        <v>0.31900000000000001</v>
      </c>
      <c r="K168" s="109"/>
      <c r="L168" s="115"/>
      <c r="M168" s="205">
        <f>M162*3+M163*5+M164*10+M165*3+M166*5</f>
        <v>0</v>
      </c>
      <c r="N168" s="202">
        <f t="shared" si="16"/>
        <v>0</v>
      </c>
      <c r="O168" s="210"/>
      <c r="P168" s="211" t="s">
        <v>570</v>
      </c>
      <c r="Q168" s="94" t="s">
        <v>286</v>
      </c>
    </row>
    <row r="169" spans="1:17" x14ac:dyDescent="0.25">
      <c r="C169" s="53" t="s">
        <v>542</v>
      </c>
      <c r="D169" s="43" t="s">
        <v>543</v>
      </c>
      <c r="E169" s="60"/>
      <c r="F169" s="60"/>
      <c r="G169" s="55" t="s">
        <v>544</v>
      </c>
      <c r="H169" s="55" t="s">
        <v>545</v>
      </c>
      <c r="I169" s="44" t="s">
        <v>29</v>
      </c>
      <c r="J169" s="45">
        <v>13.94</v>
      </c>
      <c r="K169" s="109">
        <v>1</v>
      </c>
      <c r="L169" s="115" t="s">
        <v>546</v>
      </c>
      <c r="M169" s="205">
        <f>SUM(M126:M133)</f>
        <v>0</v>
      </c>
      <c r="N169" s="202">
        <f t="shared" si="16"/>
        <v>0</v>
      </c>
      <c r="O169" s="206" t="s">
        <v>547</v>
      </c>
      <c r="P169" s="211" t="s">
        <v>570</v>
      </c>
      <c r="Q169" s="94" t="s">
        <v>286</v>
      </c>
    </row>
    <row r="170" spans="1:17" x14ac:dyDescent="0.25">
      <c r="C170" s="53"/>
      <c r="D170" s="144"/>
      <c r="E170" s="53"/>
      <c r="F170" s="53"/>
      <c r="G170" s="53"/>
      <c r="H170" s="53"/>
      <c r="I170" s="44"/>
      <c r="J170" s="53"/>
      <c r="K170" s="113"/>
      <c r="L170" s="113"/>
      <c r="M170" s="53"/>
      <c r="N170" s="53"/>
      <c r="O170" s="15">
        <f>SUM(N171)</f>
        <v>0</v>
      </c>
    </row>
    <row r="171" spans="1:17" x14ac:dyDescent="0.25">
      <c r="A171" s="149" t="s">
        <v>548</v>
      </c>
      <c r="C171" s="42" t="s">
        <v>549</v>
      </c>
      <c r="D171" s="135"/>
      <c r="E171" s="60"/>
      <c r="F171" s="60" t="s">
        <v>550</v>
      </c>
      <c r="G171" s="42" t="s">
        <v>551</v>
      </c>
      <c r="H171" s="42" t="s">
        <v>213</v>
      </c>
      <c r="I171" s="44" t="s">
        <v>29</v>
      </c>
      <c r="J171" s="45">
        <v>6213.64</v>
      </c>
      <c r="K171" s="109">
        <f>60/5</f>
        <v>12</v>
      </c>
      <c r="L171" s="109" t="s">
        <v>353</v>
      </c>
      <c r="M171" s="83"/>
      <c r="N171" s="47">
        <f>J171*M171</f>
        <v>0</v>
      </c>
      <c r="O171" s="25" t="s">
        <v>214</v>
      </c>
      <c r="P171" s="211" t="s">
        <v>571</v>
      </c>
      <c r="Q171" s="94" t="s">
        <v>553</v>
      </c>
    </row>
    <row r="172" spans="1:17" x14ac:dyDescent="0.25">
      <c r="N172" s="87">
        <f>SUM(N7:N171)</f>
        <v>1643.7199999999998</v>
      </c>
    </row>
    <row r="173" spans="1:17" x14ac:dyDescent="0.25">
      <c r="N173" s="88"/>
    </row>
    <row r="174" spans="1:17" x14ac:dyDescent="0.25">
      <c r="M174" s="221"/>
      <c r="N174" s="23"/>
      <c r="O174" s="23"/>
    </row>
  </sheetData>
  <autoFilter ref="C5:Q5" xr:uid="{81DA2624-F714-4FC3-B40A-D483FD8F086F}"/>
  <mergeCells count="1">
    <mergeCell ref="J2:L3"/>
  </mergeCells>
  <phoneticPr fontId="9" type="noConversion"/>
  <conditionalFormatting sqref="M7 M151:M154 M63:M70 M19:M22 M167:M169 M60:M61 M24:M33 M121 M114:M119 M110:M112 M35:M42 M123:M133 M138:M142 M156:M160 M45:M53 M9:M16">
    <cfRule type="cellIs" dxfId="81" priority="52" operator="greaterThan">
      <formula>0</formula>
    </cfRule>
  </conditionalFormatting>
  <conditionalFormatting sqref="M122">
    <cfRule type="cellIs" dxfId="80" priority="51" operator="greaterThan">
      <formula>0</formula>
    </cfRule>
  </conditionalFormatting>
  <conditionalFormatting sqref="M167:M169 M156:M160">
    <cfRule type="cellIs" dxfId="79" priority="50" operator="greaterThan">
      <formula>0</formula>
    </cfRule>
  </conditionalFormatting>
  <conditionalFormatting sqref="M62">
    <cfRule type="cellIs" dxfId="78" priority="49" operator="greaterThan">
      <formula>0</formula>
    </cfRule>
  </conditionalFormatting>
  <conditionalFormatting sqref="M62">
    <cfRule type="cellIs" dxfId="77" priority="48" operator="greaterThan">
      <formula>0</formula>
    </cfRule>
  </conditionalFormatting>
  <conditionalFormatting sqref="M71:M82 M100:M105 M108:M109">
    <cfRule type="cellIs" dxfId="76" priority="47" operator="greaterThan">
      <formula>0</formula>
    </cfRule>
  </conditionalFormatting>
  <conditionalFormatting sqref="M72:M75 M78:M82 M102:M105 M108:M109">
    <cfRule type="cellIs" dxfId="75" priority="46" operator="greaterThan">
      <formula>0</formula>
    </cfRule>
  </conditionalFormatting>
  <conditionalFormatting sqref="M114">
    <cfRule type="cellIs" dxfId="74" priority="45" operator="greaterThan">
      <formula>0</formula>
    </cfRule>
  </conditionalFormatting>
  <conditionalFormatting sqref="M155">
    <cfRule type="cellIs" dxfId="73" priority="43" operator="greaterThan">
      <formula>0</formula>
    </cfRule>
  </conditionalFormatting>
  <conditionalFormatting sqref="M155">
    <cfRule type="cellIs" dxfId="72" priority="42" operator="greaterThan">
      <formula>0</formula>
    </cfRule>
  </conditionalFormatting>
  <conditionalFormatting sqref="M8">
    <cfRule type="cellIs" dxfId="71" priority="41" operator="greaterThan">
      <formula>0</formula>
    </cfRule>
  </conditionalFormatting>
  <conditionalFormatting sqref="M43">
    <cfRule type="cellIs" dxfId="70" priority="40" operator="greaterThan">
      <formula>0</formula>
    </cfRule>
  </conditionalFormatting>
  <conditionalFormatting sqref="M161:M164">
    <cfRule type="cellIs" dxfId="69" priority="37" operator="greaterThan">
      <formula>0</formula>
    </cfRule>
  </conditionalFormatting>
  <conditionalFormatting sqref="M161:M164">
    <cfRule type="cellIs" dxfId="68" priority="36" operator="greaterThan">
      <formula>0</formula>
    </cfRule>
  </conditionalFormatting>
  <conditionalFormatting sqref="M44">
    <cfRule type="cellIs" dxfId="67" priority="35" operator="greaterThan">
      <formula>0</formula>
    </cfRule>
  </conditionalFormatting>
  <conditionalFormatting sqref="M165:M166">
    <cfRule type="cellIs" dxfId="66" priority="34" operator="greaterThan">
      <formula>0</formula>
    </cfRule>
  </conditionalFormatting>
  <conditionalFormatting sqref="M165:M166">
    <cfRule type="cellIs" dxfId="65" priority="33" operator="greaterThan">
      <formula>0</formula>
    </cfRule>
  </conditionalFormatting>
  <conditionalFormatting sqref="M17:M18">
    <cfRule type="cellIs" dxfId="64" priority="32" operator="greaterThan">
      <formula>0</formula>
    </cfRule>
  </conditionalFormatting>
  <conditionalFormatting sqref="M34">
    <cfRule type="cellIs" dxfId="63" priority="31" operator="greaterThan">
      <formula>0</formula>
    </cfRule>
  </conditionalFormatting>
  <conditionalFormatting sqref="M143:M150">
    <cfRule type="cellIs" dxfId="62" priority="30" operator="greaterThan">
      <formula>0</formula>
    </cfRule>
  </conditionalFormatting>
  <conditionalFormatting sqref="M135">
    <cfRule type="cellIs" dxfId="61" priority="28" operator="greaterThan">
      <formula>0</formula>
    </cfRule>
  </conditionalFormatting>
  <conditionalFormatting sqref="M134:M137">
    <cfRule type="cellIs" dxfId="60" priority="27" operator="greaterThan">
      <formula>0</formula>
    </cfRule>
  </conditionalFormatting>
  <conditionalFormatting sqref="M23">
    <cfRule type="cellIs" dxfId="59" priority="21" operator="greaterThan">
      <formula>0</formula>
    </cfRule>
  </conditionalFormatting>
  <conditionalFormatting sqref="M120">
    <cfRule type="cellIs" dxfId="58" priority="20" operator="greaterThan">
      <formula>0</formula>
    </cfRule>
  </conditionalFormatting>
  <conditionalFormatting sqref="M83:M90">
    <cfRule type="cellIs" dxfId="57" priority="19" operator="greaterThan">
      <formula>0</formula>
    </cfRule>
  </conditionalFormatting>
  <conditionalFormatting sqref="M85:M90">
    <cfRule type="cellIs" dxfId="56" priority="18" operator="greaterThan">
      <formula>0</formula>
    </cfRule>
  </conditionalFormatting>
  <conditionalFormatting sqref="M106">
    <cfRule type="cellIs" dxfId="55" priority="17" operator="greaterThan">
      <formula>0</formula>
    </cfRule>
  </conditionalFormatting>
  <conditionalFormatting sqref="M106">
    <cfRule type="cellIs" dxfId="54" priority="16" operator="greaterThan">
      <formula>0</formula>
    </cfRule>
  </conditionalFormatting>
  <conditionalFormatting sqref="M91:M93">
    <cfRule type="cellIs" dxfId="53" priority="15" operator="greaterThan">
      <formula>0</formula>
    </cfRule>
  </conditionalFormatting>
  <conditionalFormatting sqref="M93">
    <cfRule type="cellIs" dxfId="52" priority="14" operator="greaterThan">
      <formula>0</formula>
    </cfRule>
  </conditionalFormatting>
  <conditionalFormatting sqref="M107">
    <cfRule type="cellIs" dxfId="51" priority="11" operator="greaterThan">
      <formula>0</formula>
    </cfRule>
  </conditionalFormatting>
  <conditionalFormatting sqref="M107">
    <cfRule type="cellIs" dxfId="50" priority="10" operator="greaterThan">
      <formula>0</formula>
    </cfRule>
  </conditionalFormatting>
  <conditionalFormatting sqref="M113">
    <cfRule type="cellIs" dxfId="49" priority="7" operator="greaterThan">
      <formula>0</formula>
    </cfRule>
  </conditionalFormatting>
  <conditionalFormatting sqref="M113">
    <cfRule type="cellIs" dxfId="48" priority="6" operator="greaterThan">
      <formula>0</formula>
    </cfRule>
  </conditionalFormatting>
  <conditionalFormatting sqref="M54:M59">
    <cfRule type="cellIs" dxfId="47" priority="5" operator="greaterThan">
      <formula>0</formula>
    </cfRule>
  </conditionalFormatting>
  <conditionalFormatting sqref="M54:M59">
    <cfRule type="cellIs" dxfId="46" priority="4" operator="greaterThan">
      <formula>0</formula>
    </cfRule>
  </conditionalFormatting>
  <conditionalFormatting sqref="M171">
    <cfRule type="cellIs" dxfId="45" priority="3" operator="greaterThan">
      <formula>0</formula>
    </cfRule>
  </conditionalFormatting>
  <conditionalFormatting sqref="M94:M99">
    <cfRule type="cellIs" dxfId="44" priority="2" operator="greaterThan">
      <formula>0</formula>
    </cfRule>
  </conditionalFormatting>
  <conditionalFormatting sqref="M94:M99">
    <cfRule type="cellIs" dxfId="43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1" r:id="rId4" name="FinalResult_Belt_Cmd">
          <controlPr defaultSize="0" autoLine="0" autoPict="0" r:id="rId5">
            <anchor>
              <from>
                <xdr:col>9</xdr:col>
                <xdr:colOff>297180</xdr:colOff>
                <xdr:row>0</xdr:row>
                <xdr:rowOff>68580</xdr:rowOff>
              </from>
              <to>
                <xdr:col>11</xdr:col>
                <xdr:colOff>76200</xdr:colOff>
                <xdr:row>0</xdr:row>
                <xdr:rowOff>632460</xdr:rowOff>
              </to>
            </anchor>
          </controlPr>
        </control>
      </mc:Choice>
      <mc:Fallback>
        <control shapeId="20501" r:id="rId4" name="FinalResult_Belt_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3B7DD-C71D-4EFF-85BC-AF7193D155AC}">
  <sheetPr codeName="Sheet6"/>
  <dimension ref="A1:Q166"/>
  <sheetViews>
    <sheetView zoomScale="80" zoomScaleNormal="80" workbookViewId="0">
      <pane ySplit="5" topLeftCell="A6" activePane="bottomLeft" state="frozen"/>
      <selection pane="bottomLeft" activeCell="C18" sqref="C18"/>
    </sheetView>
  </sheetViews>
  <sheetFormatPr defaultColWidth="11.44140625" defaultRowHeight="13.2" outlineLevelCol="1" x14ac:dyDescent="0.25"/>
  <cols>
    <col min="1" max="1" width="22.109375" style="26" customWidth="1"/>
    <col min="2" max="2" width="7" style="92" customWidth="1" outlineLevel="1"/>
    <col min="3" max="3" width="43.33203125" style="26" customWidth="1"/>
    <col min="4" max="4" width="17.88671875" style="130" hidden="1" customWidth="1" outlineLevel="1"/>
    <col min="5" max="5" width="15" style="9" hidden="1" customWidth="1" outlineLevel="1"/>
    <col min="6" max="6" width="44.5546875" style="9" hidden="1" customWidth="1" outlineLevel="1"/>
    <col min="7" max="7" width="45.5546875" style="29" hidden="1" customWidth="1" outlineLevel="1"/>
    <col min="8" max="8" width="23.88671875" style="29" hidden="1" customWidth="1" outlineLevel="1"/>
    <col min="9" max="9" width="15" style="29" hidden="1" customWidth="1" outlineLevel="1"/>
    <col min="10" max="10" width="19.33203125" style="10" customWidth="1" collapsed="1"/>
    <col min="11" max="11" width="10" style="114" customWidth="1"/>
    <col min="12" max="12" width="11" style="114" customWidth="1"/>
    <col min="13" max="13" width="13.6640625" style="26" customWidth="1"/>
    <col min="14" max="14" width="14.109375" style="26" customWidth="1"/>
    <col min="15" max="15" width="76.44140625" style="26" bestFit="1" customWidth="1"/>
    <col min="16" max="16" width="15.44140625" style="26" customWidth="1" outlineLevel="1"/>
    <col min="17" max="17" width="71.44140625" style="26" bestFit="1" customWidth="1" outlineLevel="1"/>
    <col min="18" max="18" width="11.44140625" style="26" customWidth="1"/>
    <col min="19" max="16384" width="11.44140625" style="26"/>
  </cols>
  <sheetData>
    <row r="1" spans="1:17" ht="61.2" customHeight="1" thickBot="1" x14ac:dyDescent="0.3">
      <c r="K1" s="10"/>
      <c r="L1" s="10"/>
    </row>
    <row r="2" spans="1:17" ht="19.95" customHeight="1" thickBot="1" x14ac:dyDescent="0.45">
      <c r="A2" s="11" t="s">
        <v>0</v>
      </c>
      <c r="J2" s="341" t="s">
        <v>1</v>
      </c>
      <c r="K2" s="342"/>
      <c r="L2" s="343"/>
      <c r="M2" s="146"/>
      <c r="N2" s="163" t="s">
        <v>2</v>
      </c>
      <c r="O2" s="30"/>
      <c r="Q2" s="216"/>
    </row>
    <row r="3" spans="1:17" ht="43.95" customHeight="1" thickBot="1" x14ac:dyDescent="0.45">
      <c r="A3" s="186" t="s">
        <v>3</v>
      </c>
      <c r="B3" s="187"/>
      <c r="C3" s="227">
        <f>Material_PN_Belt!C3</f>
        <v>0</v>
      </c>
      <c r="D3" s="131"/>
      <c r="E3" s="12"/>
      <c r="F3" s="12"/>
      <c r="G3" s="27"/>
      <c r="J3" s="344"/>
      <c r="K3" s="345"/>
      <c r="L3" s="346"/>
      <c r="M3" s="161" t="s">
        <v>4</v>
      </c>
      <c r="N3" s="162">
        <f>N4/M4</f>
        <v>3.9512499999999995</v>
      </c>
    </row>
    <row r="4" spans="1:17" ht="37.950000000000003" customHeight="1" thickBot="1" x14ac:dyDescent="0.3">
      <c r="C4" s="185" t="s">
        <v>5</v>
      </c>
      <c r="D4" s="131"/>
      <c r="J4" s="160" t="s">
        <v>6</v>
      </c>
      <c r="K4" s="165"/>
      <c r="L4" s="166"/>
      <c r="M4" s="218">
        <v>416</v>
      </c>
      <c r="N4" s="158">
        <f>N164</f>
        <v>1643.7199999999998</v>
      </c>
      <c r="O4" s="159"/>
    </row>
    <row r="5" spans="1:17" s="28" customFormat="1" ht="26.4" x14ac:dyDescent="0.3">
      <c r="A5" s="164" t="s">
        <v>7</v>
      </c>
      <c r="C5" s="13" t="s">
        <v>8</v>
      </c>
      <c r="D5" s="132" t="s">
        <v>9</v>
      </c>
      <c r="E5" s="31" t="s">
        <v>10</v>
      </c>
      <c r="F5" s="31" t="s">
        <v>11</v>
      </c>
      <c r="G5" s="31" t="s">
        <v>12</v>
      </c>
      <c r="H5" s="31" t="s">
        <v>13</v>
      </c>
      <c r="I5" s="31" t="s">
        <v>14</v>
      </c>
      <c r="J5" s="32" t="s">
        <v>15</v>
      </c>
      <c r="K5" s="32" t="s">
        <v>16</v>
      </c>
      <c r="L5" s="32" t="s">
        <v>17</v>
      </c>
      <c r="M5" s="119" t="s">
        <v>18</v>
      </c>
      <c r="N5" s="119" t="s">
        <v>19</v>
      </c>
      <c r="O5" s="13" t="s">
        <v>20</v>
      </c>
      <c r="P5" s="93" t="s">
        <v>21</v>
      </c>
      <c r="Q5" s="93" t="s">
        <v>22</v>
      </c>
    </row>
    <row r="6" spans="1:17" ht="17.399999999999999" x14ac:dyDescent="0.3">
      <c r="C6" s="91" t="s">
        <v>23</v>
      </c>
      <c r="D6" s="133"/>
      <c r="E6" s="33"/>
      <c r="F6" s="33"/>
      <c r="G6" s="34"/>
      <c r="H6" s="34"/>
      <c r="I6" s="34"/>
      <c r="J6" s="33"/>
      <c r="K6" s="103"/>
      <c r="L6" s="103"/>
      <c r="M6" s="35"/>
      <c r="N6" s="35"/>
      <c r="O6" s="14">
        <f>O7+O16+O21+O33+O38</f>
        <v>0</v>
      </c>
    </row>
    <row r="7" spans="1:17" x14ac:dyDescent="0.25">
      <c r="C7" s="36" t="s">
        <v>24</v>
      </c>
      <c r="D7" s="129"/>
      <c r="E7" s="37"/>
      <c r="F7" s="37"/>
      <c r="G7" s="38"/>
      <c r="H7" s="38"/>
      <c r="I7" s="38"/>
      <c r="J7" s="39"/>
      <c r="K7" s="104"/>
      <c r="L7" s="104"/>
      <c r="M7" s="40"/>
      <c r="N7" s="41"/>
      <c r="O7" s="15">
        <f>SUM(N8:N15)</f>
        <v>0</v>
      </c>
    </row>
    <row r="8" spans="1:17" x14ac:dyDescent="0.25">
      <c r="A8" s="149" t="s">
        <v>25</v>
      </c>
      <c r="C8" s="42" t="s">
        <v>26</v>
      </c>
      <c r="D8" s="43" t="s">
        <v>27</v>
      </c>
      <c r="E8" s="43" t="s">
        <v>27</v>
      </c>
      <c r="F8" s="43"/>
      <c r="G8" s="44"/>
      <c r="H8" s="44" t="s">
        <v>28</v>
      </c>
      <c r="I8" s="44" t="s">
        <v>29</v>
      </c>
      <c r="J8" s="123">
        <v>44103.950000000004</v>
      </c>
      <c r="K8" s="105"/>
      <c r="L8" s="105"/>
      <c r="M8" s="46"/>
      <c r="N8" s="47">
        <f>J8*M8</f>
        <v>0</v>
      </c>
      <c r="O8" s="17" t="s">
        <v>30</v>
      </c>
      <c r="P8" s="211" t="s">
        <v>31</v>
      </c>
      <c r="Q8" s="94" t="s">
        <v>32</v>
      </c>
    </row>
    <row r="9" spans="1:17" x14ac:dyDescent="0.25">
      <c r="C9" s="42"/>
      <c r="D9" s="128"/>
      <c r="E9" s="50"/>
      <c r="F9" s="50"/>
      <c r="G9" s="44"/>
      <c r="H9" s="44"/>
      <c r="I9" s="44"/>
      <c r="J9" s="51"/>
      <c r="K9" s="106"/>
      <c r="L9" s="106"/>
      <c r="M9" s="46"/>
      <c r="N9" s="47"/>
      <c r="O9" s="52"/>
    </row>
    <row r="10" spans="1:17" x14ac:dyDescent="0.25">
      <c r="A10" s="149" t="s">
        <v>33</v>
      </c>
      <c r="C10" s="42" t="s">
        <v>34</v>
      </c>
      <c r="D10" s="128"/>
      <c r="E10" s="50"/>
      <c r="F10" s="50"/>
      <c r="G10" s="44"/>
      <c r="H10" s="44" t="s">
        <v>35</v>
      </c>
      <c r="I10" s="44" t="s">
        <v>29</v>
      </c>
      <c r="J10" s="49">
        <v>25630</v>
      </c>
      <c r="K10" s="105"/>
      <c r="L10" s="105"/>
      <c r="M10" s="46"/>
      <c r="N10" s="47">
        <f>J10*M10</f>
        <v>0</v>
      </c>
      <c r="O10" s="16" t="s">
        <v>36</v>
      </c>
      <c r="P10" s="211" t="s">
        <v>37</v>
      </c>
      <c r="Q10" s="94" t="s">
        <v>38</v>
      </c>
    </row>
    <row r="11" spans="1:17" x14ac:dyDescent="0.25">
      <c r="A11" s="149" t="s">
        <v>39</v>
      </c>
      <c r="C11" s="124" t="s">
        <v>40</v>
      </c>
      <c r="D11" s="43" t="s">
        <v>27</v>
      </c>
      <c r="E11" s="43" t="s">
        <v>27</v>
      </c>
      <c r="F11" s="50"/>
      <c r="G11" s="44"/>
      <c r="H11" s="44" t="s">
        <v>35</v>
      </c>
      <c r="I11" s="44" t="s">
        <v>29</v>
      </c>
      <c r="J11" s="123">
        <v>28193.000000000004</v>
      </c>
      <c r="K11" s="105"/>
      <c r="L11" s="105"/>
      <c r="M11" s="151"/>
      <c r="N11" s="15">
        <f>J11*M11</f>
        <v>0</v>
      </c>
      <c r="O11" s="17" t="s">
        <v>41</v>
      </c>
      <c r="P11" s="211" t="s">
        <v>37</v>
      </c>
      <c r="Q11" s="94" t="s">
        <v>38</v>
      </c>
    </row>
    <row r="12" spans="1:17" x14ac:dyDescent="0.25">
      <c r="C12" s="36"/>
      <c r="D12" s="129"/>
      <c r="E12" s="37"/>
      <c r="F12" s="37"/>
      <c r="G12" s="38"/>
      <c r="H12" s="38"/>
      <c r="I12" s="38"/>
      <c r="J12" s="40"/>
      <c r="K12" s="107"/>
      <c r="L12" s="107"/>
      <c r="M12" s="40"/>
      <c r="N12" s="47"/>
      <c r="O12" s="52"/>
    </row>
    <row r="13" spans="1:17" x14ac:dyDescent="0.25">
      <c r="C13" s="53"/>
      <c r="D13" s="128" t="s">
        <v>49</v>
      </c>
      <c r="E13" s="128" t="s">
        <v>49</v>
      </c>
      <c r="F13" s="50" t="s">
        <v>49</v>
      </c>
      <c r="G13" s="55"/>
      <c r="H13" s="55"/>
      <c r="I13" s="55"/>
      <c r="J13" s="40"/>
      <c r="K13" s="107"/>
      <c r="L13" s="107"/>
      <c r="M13" s="46">
        <v>0</v>
      </c>
      <c r="N13" s="47">
        <f>J13*M13</f>
        <v>0</v>
      </c>
      <c r="O13" s="24" t="s">
        <v>46</v>
      </c>
      <c r="P13" s="211" t="s">
        <v>47</v>
      </c>
      <c r="Q13" s="94" t="s">
        <v>48</v>
      </c>
    </row>
    <row r="14" spans="1:17" x14ac:dyDescent="0.25">
      <c r="A14" s="149" t="s">
        <v>50</v>
      </c>
      <c r="C14" s="53" t="s">
        <v>51</v>
      </c>
      <c r="D14" s="96" t="s">
        <v>43</v>
      </c>
      <c r="E14" s="96" t="s">
        <v>43</v>
      </c>
      <c r="F14" s="50" t="s">
        <v>49</v>
      </c>
      <c r="G14" s="55"/>
      <c r="H14" s="55"/>
      <c r="I14" s="55" t="s">
        <v>52</v>
      </c>
      <c r="J14" s="49">
        <v>10000</v>
      </c>
      <c r="K14" s="108"/>
      <c r="L14" s="108"/>
      <c r="M14" s="46"/>
      <c r="N14" s="47">
        <f>J14*M14</f>
        <v>0</v>
      </c>
      <c r="O14" s="24" t="s">
        <v>46</v>
      </c>
      <c r="P14" s="211" t="s">
        <v>47</v>
      </c>
      <c r="Q14" s="94" t="s">
        <v>48</v>
      </c>
    </row>
    <row r="15" spans="1:17" x14ac:dyDescent="0.25">
      <c r="C15" s="42"/>
      <c r="D15" s="128"/>
      <c r="E15" s="128"/>
      <c r="F15" s="50" t="s">
        <v>49</v>
      </c>
      <c r="G15" s="44"/>
      <c r="H15" s="44"/>
      <c r="I15" s="44"/>
      <c r="J15" s="40"/>
      <c r="K15" s="107"/>
      <c r="L15" s="107"/>
      <c r="M15" s="46"/>
      <c r="N15" s="47"/>
      <c r="O15" s="52"/>
    </row>
    <row r="16" spans="1:17" x14ac:dyDescent="0.25">
      <c r="C16" s="36" t="s">
        <v>53</v>
      </c>
      <c r="D16" s="129"/>
      <c r="E16" s="129"/>
      <c r="F16" s="37"/>
      <c r="G16" s="38"/>
      <c r="H16" s="38"/>
      <c r="I16" s="38"/>
      <c r="K16" s="107"/>
      <c r="L16" s="107"/>
      <c r="M16" s="40"/>
      <c r="N16" s="47"/>
      <c r="O16" s="15">
        <f>SUM(N17:N20)</f>
        <v>0</v>
      </c>
    </row>
    <row r="17" spans="1:17" x14ac:dyDescent="0.25">
      <c r="A17" s="153" t="s">
        <v>54</v>
      </c>
      <c r="C17" s="42" t="s">
        <v>796</v>
      </c>
      <c r="D17" s="96" t="s">
        <v>43</v>
      </c>
      <c r="E17" s="96" t="s">
        <v>43</v>
      </c>
      <c r="F17" s="58" t="s">
        <v>54</v>
      </c>
      <c r="G17" s="56"/>
      <c r="H17" s="55" t="s">
        <v>56</v>
      </c>
      <c r="I17" s="44" t="s">
        <v>29</v>
      </c>
      <c r="J17" s="49">
        <v>24665.55</v>
      </c>
      <c r="K17" s="105"/>
      <c r="L17" s="105"/>
      <c r="M17" s="46"/>
      <c r="N17" s="47">
        <f>J17*M17</f>
        <v>0</v>
      </c>
      <c r="O17" s="16" t="s">
        <v>57</v>
      </c>
      <c r="P17" s="211" t="s">
        <v>58</v>
      </c>
      <c r="Q17" s="94" t="s">
        <v>59</v>
      </c>
    </row>
    <row r="18" spans="1:17" x14ac:dyDescent="0.25">
      <c r="A18" s="149" t="s">
        <v>60</v>
      </c>
      <c r="C18" s="124" t="s">
        <v>797</v>
      </c>
      <c r="D18" s="96" t="s">
        <v>43</v>
      </c>
      <c r="E18" s="96" t="s">
        <v>43</v>
      </c>
      <c r="F18" s="147" t="s">
        <v>60</v>
      </c>
      <c r="G18" s="44"/>
      <c r="H18" s="55" t="s">
        <v>56</v>
      </c>
      <c r="I18" s="44" t="s">
        <v>29</v>
      </c>
      <c r="J18" s="123">
        <v>33502.35</v>
      </c>
      <c r="K18" s="105"/>
      <c r="L18" s="105"/>
      <c r="M18" s="46"/>
      <c r="N18" s="47">
        <f>J18*M18</f>
        <v>0</v>
      </c>
      <c r="O18" s="16" t="s">
        <v>57</v>
      </c>
      <c r="P18" s="211" t="s">
        <v>58</v>
      </c>
      <c r="Q18" s="94" t="s">
        <v>59</v>
      </c>
    </row>
    <row r="19" spans="1:17" ht="13.8" thickBot="1" x14ac:dyDescent="0.3">
      <c r="C19" s="42"/>
      <c r="D19" s="43"/>
      <c r="E19" s="56"/>
      <c r="F19" s="56"/>
      <c r="G19" s="44"/>
      <c r="H19" s="55"/>
      <c r="I19" s="55"/>
      <c r="J19" s="47"/>
      <c r="K19" s="110"/>
      <c r="L19" s="110"/>
      <c r="M19" s="46">
        <v>0</v>
      </c>
      <c r="N19" s="47">
        <f>J19*M19</f>
        <v>0</v>
      </c>
      <c r="O19" s="52"/>
    </row>
    <row r="20" spans="1:17" ht="13.8" thickBot="1" x14ac:dyDescent="0.3">
      <c r="B20" s="240" t="s">
        <v>62</v>
      </c>
      <c r="C20" s="42"/>
      <c r="D20" s="128"/>
      <c r="E20" s="50"/>
      <c r="F20" s="50"/>
      <c r="G20" s="44"/>
      <c r="H20" s="44"/>
      <c r="I20" s="44"/>
      <c r="J20" s="126"/>
      <c r="K20" s="107"/>
      <c r="L20" s="107"/>
      <c r="M20" s="46"/>
      <c r="N20" s="47"/>
      <c r="O20" s="52"/>
    </row>
    <row r="21" spans="1:17" ht="13.8" thickBot="1" x14ac:dyDescent="0.3">
      <c r="B21" s="253" t="s">
        <v>63</v>
      </c>
      <c r="C21" s="168" t="s">
        <v>23</v>
      </c>
      <c r="D21" s="129"/>
      <c r="E21" s="37"/>
      <c r="F21" s="37"/>
      <c r="G21" s="38"/>
      <c r="H21" s="38"/>
      <c r="I21" s="38"/>
      <c r="J21" s="126"/>
      <c r="K21" s="107"/>
      <c r="L21" s="107"/>
      <c r="M21" s="46"/>
      <c r="N21" s="47"/>
      <c r="O21" s="15">
        <f>SUM(N22:N32)</f>
        <v>0</v>
      </c>
    </row>
    <row r="22" spans="1:17" x14ac:dyDescent="0.25">
      <c r="A22" s="153" t="s">
        <v>64</v>
      </c>
      <c r="B22" s="169" t="s">
        <v>65</v>
      </c>
      <c r="C22" s="167" t="s">
        <v>66</v>
      </c>
      <c r="D22" s="95" t="s">
        <v>43</v>
      </c>
      <c r="E22" s="43"/>
      <c r="F22" s="241" t="s">
        <v>67</v>
      </c>
      <c r="G22" s="44"/>
      <c r="H22" s="55" t="s">
        <v>56</v>
      </c>
      <c r="I22" s="44" t="s">
        <v>29</v>
      </c>
      <c r="J22" s="123">
        <v>2956.8</v>
      </c>
      <c r="K22" s="105"/>
      <c r="L22" s="105"/>
      <c r="M22" s="46"/>
      <c r="N22" s="47">
        <f t="shared" ref="N22:N31" si="0">J22*M22</f>
        <v>0</v>
      </c>
      <c r="O22" s="16" t="s">
        <v>68</v>
      </c>
      <c r="P22" s="211" t="s">
        <v>69</v>
      </c>
      <c r="Q22" s="94" t="s">
        <v>70</v>
      </c>
    </row>
    <row r="23" spans="1:17" x14ac:dyDescent="0.25">
      <c r="A23" s="149" t="s">
        <v>71</v>
      </c>
      <c r="B23" s="173" t="s">
        <v>65</v>
      </c>
      <c r="C23" s="172" t="s">
        <v>72</v>
      </c>
      <c r="D23" s="95" t="s">
        <v>43</v>
      </c>
      <c r="E23" s="43"/>
      <c r="F23" s="125" t="s">
        <v>795</v>
      </c>
      <c r="G23" s="44"/>
      <c r="H23" s="55" t="s">
        <v>56</v>
      </c>
      <c r="I23" s="44" t="s">
        <v>29</v>
      </c>
      <c r="J23" s="123">
        <v>2956.8</v>
      </c>
      <c r="K23" s="105"/>
      <c r="L23" s="105"/>
      <c r="M23" s="46"/>
      <c r="N23" s="47">
        <f t="shared" si="0"/>
        <v>0</v>
      </c>
      <c r="O23" s="16" t="s">
        <v>68</v>
      </c>
      <c r="P23" s="211" t="s">
        <v>69</v>
      </c>
      <c r="Q23" s="94" t="s">
        <v>70</v>
      </c>
    </row>
    <row r="24" spans="1:17" x14ac:dyDescent="0.25">
      <c r="A24" s="152" t="s">
        <v>107</v>
      </c>
      <c r="B24" s="173" t="s">
        <v>65</v>
      </c>
      <c r="C24" s="167" t="s">
        <v>922</v>
      </c>
      <c r="D24" s="330" t="s">
        <v>103</v>
      </c>
      <c r="E24" s="331"/>
      <c r="F24" s="332" t="s">
        <v>104</v>
      </c>
      <c r="G24" s="55"/>
      <c r="H24" s="55" t="s">
        <v>56</v>
      </c>
      <c r="I24" s="44" t="s">
        <v>29</v>
      </c>
      <c r="J24" s="45">
        <v>10555</v>
      </c>
      <c r="K24" s="109">
        <v>55</v>
      </c>
      <c r="L24" s="109" t="s">
        <v>90</v>
      </c>
      <c r="M24" s="46"/>
      <c r="N24" s="47">
        <f>J24*M24</f>
        <v>0</v>
      </c>
      <c r="O24" s="16" t="s">
        <v>77</v>
      </c>
      <c r="P24" s="26" t="s">
        <v>924</v>
      </c>
      <c r="Q24" s="94" t="s">
        <v>106</v>
      </c>
    </row>
    <row r="25" spans="1:17" x14ac:dyDescent="0.25">
      <c r="A25" s="152" t="s">
        <v>923</v>
      </c>
      <c r="B25" s="173" t="s">
        <v>65</v>
      </c>
      <c r="C25" s="167" t="s">
        <v>939</v>
      </c>
      <c r="D25" s="96" t="s">
        <v>103</v>
      </c>
      <c r="E25" s="37"/>
      <c r="F25" s="54" t="s">
        <v>104</v>
      </c>
      <c r="G25" s="55"/>
      <c r="H25" s="55" t="s">
        <v>56</v>
      </c>
      <c r="I25" s="44" t="s">
        <v>29</v>
      </c>
      <c r="J25" s="45">
        <v>10555</v>
      </c>
      <c r="K25" s="109">
        <v>55</v>
      </c>
      <c r="L25" s="109" t="s">
        <v>90</v>
      </c>
      <c r="M25" s="46"/>
      <c r="N25" s="47">
        <f>J25*M25</f>
        <v>0</v>
      </c>
      <c r="O25" s="16" t="s">
        <v>77</v>
      </c>
      <c r="P25" s="26" t="s">
        <v>109</v>
      </c>
      <c r="Q25" s="94" t="s">
        <v>926</v>
      </c>
    </row>
    <row r="26" spans="1:17" ht="13.8" x14ac:dyDescent="0.25">
      <c r="A26" s="150" t="s">
        <v>110</v>
      </c>
      <c r="B26" s="173" t="s">
        <v>65</v>
      </c>
      <c r="C26" s="167" t="s">
        <v>111</v>
      </c>
      <c r="D26" s="95" t="s">
        <v>43</v>
      </c>
      <c r="E26" s="37"/>
      <c r="F26" s="54" t="s">
        <v>112</v>
      </c>
      <c r="G26" s="44"/>
      <c r="H26" s="55" t="s">
        <v>56</v>
      </c>
      <c r="I26" s="44" t="s">
        <v>29</v>
      </c>
      <c r="J26" s="45">
        <v>13085</v>
      </c>
      <c r="K26" s="109">
        <v>55</v>
      </c>
      <c r="L26" s="109" t="s">
        <v>90</v>
      </c>
      <c r="M26" s="46"/>
      <c r="N26" s="47">
        <f t="shared" si="0"/>
        <v>0</v>
      </c>
      <c r="O26" s="16" t="s">
        <v>77</v>
      </c>
      <c r="P26" s="26" t="s">
        <v>113</v>
      </c>
      <c r="Q26" s="94" t="s">
        <v>114</v>
      </c>
    </row>
    <row r="27" spans="1:17" x14ac:dyDescent="0.25">
      <c r="A27" s="171" t="s">
        <v>115</v>
      </c>
      <c r="B27" s="173" t="s">
        <v>65</v>
      </c>
      <c r="C27" s="167" t="s">
        <v>640</v>
      </c>
      <c r="D27" s="96" t="s">
        <v>117</v>
      </c>
      <c r="E27" s="37"/>
      <c r="F27" s="58" t="s">
        <v>118</v>
      </c>
      <c r="G27" s="55"/>
      <c r="H27" s="55" t="s">
        <v>56</v>
      </c>
      <c r="I27" s="44" t="s">
        <v>29</v>
      </c>
      <c r="J27" s="45">
        <v>10971</v>
      </c>
      <c r="K27" s="109">
        <v>55</v>
      </c>
      <c r="L27" s="109" t="s">
        <v>90</v>
      </c>
      <c r="M27" s="46"/>
      <c r="N27" s="47">
        <f t="shared" si="0"/>
        <v>0</v>
      </c>
      <c r="O27" s="16" t="s">
        <v>77</v>
      </c>
      <c r="P27" s="26" t="s">
        <v>119</v>
      </c>
      <c r="Q27" s="94" t="s">
        <v>120</v>
      </c>
    </row>
    <row r="28" spans="1:17" x14ac:dyDescent="0.25">
      <c r="A28" s="171" t="s">
        <v>121</v>
      </c>
      <c r="B28" s="173" t="s">
        <v>65</v>
      </c>
      <c r="C28" s="167" t="s">
        <v>122</v>
      </c>
      <c r="D28" s="96" t="s">
        <v>123</v>
      </c>
      <c r="E28" s="37"/>
      <c r="F28" s="54" t="s">
        <v>124</v>
      </c>
      <c r="G28" s="55"/>
      <c r="H28" s="55" t="s">
        <v>56</v>
      </c>
      <c r="I28" s="44" t="s">
        <v>29</v>
      </c>
      <c r="J28" s="45">
        <v>16047</v>
      </c>
      <c r="K28" s="109">
        <v>55</v>
      </c>
      <c r="L28" s="109" t="s">
        <v>90</v>
      </c>
      <c r="M28" s="46"/>
      <c r="N28" s="47">
        <f t="shared" si="0"/>
        <v>0</v>
      </c>
      <c r="O28" s="16" t="s">
        <v>77</v>
      </c>
      <c r="P28" s="26" t="s">
        <v>125</v>
      </c>
      <c r="Q28" s="94" t="s">
        <v>126</v>
      </c>
    </row>
    <row r="29" spans="1:17" x14ac:dyDescent="0.25">
      <c r="A29" s="149" t="s">
        <v>127</v>
      </c>
      <c r="B29" s="173" t="s">
        <v>65</v>
      </c>
      <c r="C29" s="167" t="s">
        <v>940</v>
      </c>
      <c r="D29" s="129"/>
      <c r="E29" s="37"/>
      <c r="F29" s="58" t="s">
        <v>27</v>
      </c>
      <c r="G29" s="38"/>
      <c r="H29" s="55" t="s">
        <v>56</v>
      </c>
      <c r="I29" s="44" t="s">
        <v>29</v>
      </c>
      <c r="J29" s="49">
        <v>5000</v>
      </c>
      <c r="K29" s="105"/>
      <c r="L29" s="105"/>
      <c r="M29" s="46"/>
      <c r="N29" s="47">
        <f t="shared" si="0"/>
        <v>0</v>
      </c>
      <c r="O29" s="17" t="s">
        <v>83</v>
      </c>
      <c r="P29" s="26" t="s">
        <v>129</v>
      </c>
      <c r="Q29" s="94" t="s">
        <v>92</v>
      </c>
    </row>
    <row r="30" spans="1:17" x14ac:dyDescent="0.25">
      <c r="A30" s="152" t="s">
        <v>130</v>
      </c>
      <c r="B30" s="173" t="s">
        <v>65</v>
      </c>
      <c r="C30" s="167" t="s">
        <v>131</v>
      </c>
      <c r="D30" s="95" t="s">
        <v>43</v>
      </c>
      <c r="E30" s="56"/>
      <c r="F30" s="54" t="s">
        <v>76</v>
      </c>
      <c r="G30" s="38"/>
      <c r="H30" s="55" t="s">
        <v>56</v>
      </c>
      <c r="I30" s="44" t="s">
        <v>29</v>
      </c>
      <c r="J30" s="45">
        <v>13083</v>
      </c>
      <c r="K30" s="109">
        <v>55</v>
      </c>
      <c r="L30" s="109" t="s">
        <v>90</v>
      </c>
      <c r="M30" s="46"/>
      <c r="N30" s="47">
        <f t="shared" si="0"/>
        <v>0</v>
      </c>
      <c r="O30" s="16" t="s">
        <v>77</v>
      </c>
      <c r="P30" s="26" t="s">
        <v>132</v>
      </c>
      <c r="Q30" s="94" t="s">
        <v>133</v>
      </c>
    </row>
    <row r="31" spans="1:17" ht="13.8" x14ac:dyDescent="0.25">
      <c r="A31" s="150" t="s">
        <v>134</v>
      </c>
      <c r="B31" s="173" t="s">
        <v>65</v>
      </c>
      <c r="C31" s="167" t="s">
        <v>641</v>
      </c>
      <c r="D31" s="96" t="s">
        <v>82</v>
      </c>
      <c r="E31" s="56"/>
      <c r="F31" s="54" t="s">
        <v>43</v>
      </c>
      <c r="G31" s="44"/>
      <c r="H31" s="55" t="s">
        <v>56</v>
      </c>
      <c r="I31" s="44" t="s">
        <v>29</v>
      </c>
      <c r="J31" s="49">
        <v>11267</v>
      </c>
      <c r="K31" s="105"/>
      <c r="L31" s="105"/>
      <c r="M31" s="46"/>
      <c r="N31" s="47">
        <f t="shared" si="0"/>
        <v>0</v>
      </c>
      <c r="O31" s="17" t="s">
        <v>83</v>
      </c>
      <c r="P31" s="26" t="s">
        <v>136</v>
      </c>
      <c r="Q31" s="94" t="s">
        <v>85</v>
      </c>
    </row>
    <row r="32" spans="1:17" x14ac:dyDescent="0.25">
      <c r="B32" s="173"/>
      <c r="C32" s="167"/>
      <c r="D32" s="43"/>
      <c r="E32" s="56"/>
      <c r="F32" s="56"/>
      <c r="G32" s="44"/>
      <c r="H32" s="55"/>
      <c r="I32" s="55"/>
      <c r="J32" s="47"/>
      <c r="K32" s="110"/>
      <c r="L32" s="110"/>
      <c r="M32" s="46"/>
      <c r="N32" s="47"/>
      <c r="O32" s="52"/>
    </row>
    <row r="33" spans="1:17" x14ac:dyDescent="0.25">
      <c r="B33" s="173"/>
      <c r="C33" s="168" t="s">
        <v>137</v>
      </c>
      <c r="D33" s="129"/>
      <c r="E33" s="57"/>
      <c r="F33" s="54"/>
      <c r="G33" s="38"/>
      <c r="H33" s="38"/>
      <c r="I33" s="38"/>
      <c r="J33" s="126"/>
      <c r="K33" s="107"/>
      <c r="L33" s="107"/>
      <c r="M33" s="46"/>
      <c r="N33" s="47"/>
      <c r="O33" s="15">
        <f>SUM(N34:N37)</f>
        <v>0</v>
      </c>
    </row>
    <row r="34" spans="1:17" x14ac:dyDescent="0.25">
      <c r="A34" s="149" t="s">
        <v>138</v>
      </c>
      <c r="B34" s="173"/>
      <c r="C34" s="167" t="s">
        <v>139</v>
      </c>
      <c r="D34" s="96" t="s">
        <v>43</v>
      </c>
      <c r="E34" s="96" t="s">
        <v>43</v>
      </c>
      <c r="F34" s="54" t="s">
        <v>140</v>
      </c>
      <c r="G34" s="55"/>
      <c r="H34" s="55" t="s">
        <v>56</v>
      </c>
      <c r="I34" s="44" t="s">
        <v>29</v>
      </c>
      <c r="J34" s="45">
        <v>15073.800000000001</v>
      </c>
      <c r="K34" s="105"/>
      <c r="L34" s="105"/>
      <c r="M34" s="46"/>
      <c r="N34" s="47">
        <f>J34*M34</f>
        <v>0</v>
      </c>
      <c r="O34" s="16" t="s">
        <v>68</v>
      </c>
      <c r="P34" s="211" t="s">
        <v>141</v>
      </c>
      <c r="Q34" s="94" t="s">
        <v>142</v>
      </c>
    </row>
    <row r="35" spans="1:17" x14ac:dyDescent="0.25">
      <c r="A35" s="152" t="s">
        <v>143</v>
      </c>
      <c r="B35" s="173"/>
      <c r="C35" s="172" t="s">
        <v>144</v>
      </c>
      <c r="D35" s="96" t="s">
        <v>43</v>
      </c>
      <c r="E35" s="96" t="s">
        <v>43</v>
      </c>
      <c r="F35" s="125" t="s">
        <v>145</v>
      </c>
      <c r="G35" s="55"/>
      <c r="H35" s="55" t="s">
        <v>56</v>
      </c>
      <c r="I35" s="44" t="s">
        <v>29</v>
      </c>
      <c r="J35" s="123">
        <v>24956.400000000001</v>
      </c>
      <c r="K35" s="109">
        <v>55</v>
      </c>
      <c r="L35" s="109" t="s">
        <v>90</v>
      </c>
      <c r="M35" s="46"/>
      <c r="N35" s="47">
        <f>J35*M35</f>
        <v>0</v>
      </c>
      <c r="O35" s="16" t="s">
        <v>77</v>
      </c>
      <c r="P35" s="211" t="s">
        <v>141</v>
      </c>
      <c r="Q35" s="94" t="s">
        <v>142</v>
      </c>
    </row>
    <row r="36" spans="1:17" x14ac:dyDescent="0.25">
      <c r="A36" s="149" t="s">
        <v>146</v>
      </c>
      <c r="B36" s="173"/>
      <c r="C36" s="167" t="s">
        <v>147</v>
      </c>
      <c r="D36" s="96" t="s">
        <v>43</v>
      </c>
      <c r="E36" s="96" t="s">
        <v>43</v>
      </c>
      <c r="F36" s="241" t="s">
        <v>148</v>
      </c>
      <c r="G36" s="55"/>
      <c r="H36" s="55" t="s">
        <v>56</v>
      </c>
      <c r="I36" s="44" t="s">
        <v>29</v>
      </c>
      <c r="J36" s="123">
        <v>3019.8</v>
      </c>
      <c r="K36" s="109">
        <v>55</v>
      </c>
      <c r="L36" s="109" t="s">
        <v>90</v>
      </c>
      <c r="M36" s="46"/>
      <c r="N36" s="47">
        <f>J36*M36</f>
        <v>0</v>
      </c>
      <c r="O36" s="16" t="s">
        <v>77</v>
      </c>
      <c r="P36" s="211" t="s">
        <v>149</v>
      </c>
      <c r="Q36" s="94" t="s">
        <v>150</v>
      </c>
    </row>
    <row r="37" spans="1:17" x14ac:dyDescent="0.25">
      <c r="B37" s="173"/>
      <c r="C37" s="167"/>
      <c r="D37" s="128"/>
      <c r="E37" s="50"/>
      <c r="F37" s="50"/>
      <c r="G37" s="44"/>
      <c r="H37" s="44"/>
      <c r="I37" s="44"/>
      <c r="J37" s="126"/>
      <c r="K37" s="108"/>
      <c r="L37" s="108"/>
      <c r="M37" s="46"/>
      <c r="N37" s="47"/>
      <c r="O37" s="52"/>
    </row>
    <row r="38" spans="1:17" x14ac:dyDescent="0.25">
      <c r="B38" s="173"/>
      <c r="C38" s="168" t="s">
        <v>151</v>
      </c>
      <c r="D38" s="129"/>
      <c r="E38" s="37"/>
      <c r="F38" s="37"/>
      <c r="G38" s="38"/>
      <c r="H38" s="38"/>
      <c r="I38" s="38"/>
      <c r="J38" s="126"/>
      <c r="K38" s="108"/>
      <c r="L38" s="108"/>
      <c r="M38" s="46"/>
      <c r="N38" s="47"/>
      <c r="O38" s="15">
        <f>SUM(N39:N43)</f>
        <v>0</v>
      </c>
    </row>
    <row r="39" spans="1:17" ht="13.8" thickBot="1" x14ac:dyDescent="0.3">
      <c r="A39" s="153" t="s">
        <v>152</v>
      </c>
      <c r="B39" s="170" t="s">
        <v>65</v>
      </c>
      <c r="C39" s="167" t="s">
        <v>153</v>
      </c>
      <c r="D39" s="134" t="s">
        <v>154</v>
      </c>
      <c r="E39" s="57"/>
      <c r="F39" s="54" t="s">
        <v>155</v>
      </c>
      <c r="G39" s="44"/>
      <c r="H39" s="55" t="s">
        <v>56</v>
      </c>
      <c r="I39" s="44" t="s">
        <v>29</v>
      </c>
      <c r="J39" s="45">
        <v>1914</v>
      </c>
      <c r="K39" s="109">
        <v>55</v>
      </c>
      <c r="L39" s="109" t="s">
        <v>90</v>
      </c>
      <c r="M39" s="46"/>
      <c r="N39" s="47">
        <f t="shared" ref="N39:N42" si="1">J39*M39</f>
        <v>0</v>
      </c>
      <c r="O39" s="16" t="s">
        <v>77</v>
      </c>
      <c r="P39" s="26" t="s">
        <v>156</v>
      </c>
      <c r="Q39" s="94" t="s">
        <v>157</v>
      </c>
    </row>
    <row r="40" spans="1:17" x14ac:dyDescent="0.25">
      <c r="A40" s="153" t="s">
        <v>158</v>
      </c>
      <c r="C40" s="42" t="s">
        <v>159</v>
      </c>
      <c r="D40" s="128"/>
      <c r="E40" s="50"/>
      <c r="F40" s="50"/>
      <c r="G40" s="44"/>
      <c r="H40" s="55" t="s">
        <v>56</v>
      </c>
      <c r="I40" s="44" t="s">
        <v>29</v>
      </c>
      <c r="J40" s="49">
        <v>1440</v>
      </c>
      <c r="K40" s="105"/>
      <c r="L40" s="105"/>
      <c r="M40" s="46"/>
      <c r="N40" s="47">
        <f t="shared" si="1"/>
        <v>0</v>
      </c>
      <c r="O40" s="59" t="s">
        <v>160</v>
      </c>
      <c r="P40" s="26" t="s">
        <v>156</v>
      </c>
      <c r="Q40" s="94" t="s">
        <v>157</v>
      </c>
    </row>
    <row r="41" spans="1:17" x14ac:dyDescent="0.25">
      <c r="A41" s="152" t="s">
        <v>161</v>
      </c>
      <c r="C41" s="42" t="s">
        <v>162</v>
      </c>
      <c r="D41" s="134" t="s">
        <v>163</v>
      </c>
      <c r="E41" s="43"/>
      <c r="F41" s="54" t="s">
        <v>43</v>
      </c>
      <c r="G41" s="100" t="s">
        <v>164</v>
      </c>
      <c r="H41" s="55" t="s">
        <v>56</v>
      </c>
      <c r="I41" s="44" t="s">
        <v>29</v>
      </c>
      <c r="J41" s="49">
        <v>940.8</v>
      </c>
      <c r="K41" s="105"/>
      <c r="L41" s="105"/>
      <c r="M41" s="46"/>
      <c r="N41" s="47">
        <f t="shared" si="1"/>
        <v>0</v>
      </c>
      <c r="O41" s="17" t="s">
        <v>165</v>
      </c>
      <c r="P41" s="26" t="s">
        <v>156</v>
      </c>
      <c r="Q41" s="94" t="s">
        <v>157</v>
      </c>
    </row>
    <row r="42" spans="1:17" x14ac:dyDescent="0.25">
      <c r="A42" s="149" t="s">
        <v>174</v>
      </c>
      <c r="C42" s="42" t="s">
        <v>175</v>
      </c>
      <c r="D42" s="128"/>
      <c r="E42" s="50"/>
      <c r="F42" s="50"/>
      <c r="G42" s="44"/>
      <c r="H42" s="44"/>
      <c r="I42" s="44"/>
      <c r="J42" s="49">
        <v>1500</v>
      </c>
      <c r="K42" s="105"/>
      <c r="L42" s="105"/>
      <c r="M42" s="46"/>
      <c r="N42" s="47">
        <f t="shared" si="1"/>
        <v>0</v>
      </c>
      <c r="O42" s="52"/>
    </row>
    <row r="43" spans="1:17" x14ac:dyDescent="0.25">
      <c r="C43" s="42"/>
      <c r="D43" s="134"/>
      <c r="E43" s="56"/>
      <c r="F43" s="56"/>
      <c r="G43" s="55"/>
      <c r="H43" s="55"/>
      <c r="I43" s="55"/>
      <c r="J43" s="47"/>
      <c r="K43" s="110"/>
      <c r="L43" s="110"/>
      <c r="M43" s="46"/>
      <c r="N43" s="47"/>
      <c r="O43" s="52"/>
    </row>
    <row r="44" spans="1:17" ht="17.399999999999999" x14ac:dyDescent="0.3">
      <c r="C44" s="91" t="s">
        <v>179</v>
      </c>
      <c r="D44" s="133"/>
      <c r="E44" s="33"/>
      <c r="F44" s="33"/>
      <c r="G44" s="34"/>
      <c r="H44" s="34"/>
      <c r="I44" s="34"/>
      <c r="J44" s="33"/>
      <c r="K44" s="103"/>
      <c r="L44" s="103"/>
      <c r="M44" s="35"/>
      <c r="N44" s="33"/>
      <c r="O44" s="14" t="e">
        <f>O46+O58+O66+O107+O120+O135+O142+O143+O144+O146+O162</f>
        <v>#REF!</v>
      </c>
    </row>
    <row r="45" spans="1:17" x14ac:dyDescent="0.25">
      <c r="C45" s="42"/>
      <c r="D45" s="43"/>
      <c r="E45" s="43"/>
      <c r="F45" s="43"/>
      <c r="G45" s="44"/>
      <c r="H45" s="55"/>
      <c r="I45" s="55"/>
      <c r="J45" s="47"/>
      <c r="K45" s="110"/>
      <c r="L45" s="110"/>
      <c r="M45" s="46"/>
      <c r="N45" s="47"/>
      <c r="O45" s="52"/>
    </row>
    <row r="46" spans="1:17" x14ac:dyDescent="0.25">
      <c r="C46" s="36" t="s">
        <v>180</v>
      </c>
      <c r="D46" s="129"/>
      <c r="E46" s="37"/>
      <c r="F46" s="37"/>
      <c r="G46" s="38"/>
      <c r="H46" s="38"/>
      <c r="I46" s="38"/>
      <c r="J46" s="39"/>
      <c r="K46" s="104"/>
      <c r="L46" s="104"/>
      <c r="M46" s="46"/>
      <c r="N46" s="47"/>
      <c r="O46" s="15">
        <f>SUM(N47:N57)</f>
        <v>0</v>
      </c>
      <c r="Q46" s="30"/>
    </row>
    <row r="47" spans="1:17" x14ac:dyDescent="0.25">
      <c r="A47" s="149" t="s">
        <v>181</v>
      </c>
      <c r="C47" s="42" t="s">
        <v>182</v>
      </c>
      <c r="D47" s="135" t="s">
        <v>183</v>
      </c>
      <c r="E47" s="60"/>
      <c r="F47" s="60"/>
      <c r="G47" s="44">
        <v>61882010332</v>
      </c>
      <c r="H47" s="44" t="s">
        <v>184</v>
      </c>
      <c r="I47" s="44" t="s">
        <v>29</v>
      </c>
      <c r="J47" s="102">
        <v>73.52</v>
      </c>
      <c r="K47" s="105"/>
      <c r="L47" s="105"/>
      <c r="M47" s="46"/>
      <c r="N47" s="47">
        <f t="shared" ref="N47:N56" si="2">J47*M47</f>
        <v>0</v>
      </c>
      <c r="O47" s="25" t="s">
        <v>185</v>
      </c>
      <c r="P47" s="211" t="s">
        <v>186</v>
      </c>
      <c r="Q47" s="94" t="s">
        <v>187</v>
      </c>
    </row>
    <row r="48" spans="1:17" x14ac:dyDescent="0.25">
      <c r="A48" s="152" t="s">
        <v>188</v>
      </c>
      <c r="C48" s="42" t="s">
        <v>189</v>
      </c>
      <c r="D48" s="135" t="s">
        <v>183</v>
      </c>
      <c r="E48" s="60"/>
      <c r="F48" s="60"/>
      <c r="G48" s="44">
        <v>61882010332</v>
      </c>
      <c r="H48" s="44" t="s">
        <v>184</v>
      </c>
      <c r="I48" s="44" t="s">
        <v>29</v>
      </c>
      <c r="J48" s="102">
        <v>73.52</v>
      </c>
      <c r="K48" s="105"/>
      <c r="L48" s="105"/>
      <c r="M48" s="46"/>
      <c r="N48" s="47">
        <f t="shared" si="2"/>
        <v>0</v>
      </c>
      <c r="O48" s="25" t="s">
        <v>185</v>
      </c>
      <c r="P48" s="211" t="s">
        <v>186</v>
      </c>
      <c r="Q48" s="94" t="s">
        <v>187</v>
      </c>
    </row>
    <row r="49" spans="1:17" x14ac:dyDescent="0.25">
      <c r="A49" s="153" t="s">
        <v>190</v>
      </c>
      <c r="C49" s="42" t="s">
        <v>191</v>
      </c>
      <c r="D49" s="135" t="s">
        <v>183</v>
      </c>
      <c r="E49" s="60"/>
      <c r="F49" s="60"/>
      <c r="G49" s="44">
        <v>61882010332</v>
      </c>
      <c r="H49" s="44" t="s">
        <v>184</v>
      </c>
      <c r="I49" s="44" t="s">
        <v>29</v>
      </c>
      <c r="J49" s="102">
        <v>73.52</v>
      </c>
      <c r="K49" s="105"/>
      <c r="L49" s="105"/>
      <c r="M49" s="46"/>
      <c r="N49" s="47">
        <f t="shared" si="2"/>
        <v>0</v>
      </c>
      <c r="O49" s="25" t="s">
        <v>185</v>
      </c>
      <c r="P49" s="211" t="s">
        <v>186</v>
      </c>
      <c r="Q49" s="94" t="s">
        <v>187</v>
      </c>
    </row>
    <row r="50" spans="1:17" x14ac:dyDescent="0.25">
      <c r="A50" s="149" t="s">
        <v>192</v>
      </c>
      <c r="C50" s="42" t="s">
        <v>193</v>
      </c>
      <c r="D50" s="135" t="s">
        <v>194</v>
      </c>
      <c r="E50" s="60"/>
      <c r="F50" s="60"/>
      <c r="G50" s="44">
        <v>101184332</v>
      </c>
      <c r="H50" s="44" t="s">
        <v>195</v>
      </c>
      <c r="I50" s="44" t="s">
        <v>29</v>
      </c>
      <c r="J50" s="117">
        <v>134.52000000000001</v>
      </c>
      <c r="K50" s="118">
        <v>13</v>
      </c>
      <c r="L50" s="118" t="s">
        <v>196</v>
      </c>
      <c r="M50" s="46"/>
      <c r="N50" s="47">
        <f t="shared" si="2"/>
        <v>0</v>
      </c>
      <c r="O50" s="17" t="s">
        <v>197</v>
      </c>
      <c r="P50" s="211" t="s">
        <v>186</v>
      </c>
      <c r="Q50" s="94" t="s">
        <v>187</v>
      </c>
    </row>
    <row r="51" spans="1:17" x14ac:dyDescent="0.25">
      <c r="C51" s="61" t="s">
        <v>198</v>
      </c>
      <c r="D51" s="136"/>
      <c r="E51" s="62"/>
      <c r="F51" s="62"/>
      <c r="G51" s="44">
        <v>101150877</v>
      </c>
      <c r="H51" s="44" t="s">
        <v>195</v>
      </c>
      <c r="I51" s="44" t="s">
        <v>29</v>
      </c>
      <c r="J51" s="45">
        <v>12.2</v>
      </c>
      <c r="K51" s="109">
        <v>1</v>
      </c>
      <c r="L51" s="109" t="s">
        <v>196</v>
      </c>
      <c r="M51" s="74">
        <f>M50</f>
        <v>0</v>
      </c>
      <c r="N51" s="47">
        <f t="shared" si="2"/>
        <v>0</v>
      </c>
      <c r="O51" s="17" t="s">
        <v>197</v>
      </c>
      <c r="P51" s="211" t="s">
        <v>186</v>
      </c>
      <c r="Q51" s="94" t="s">
        <v>187</v>
      </c>
    </row>
    <row r="52" spans="1:17" x14ac:dyDescent="0.25">
      <c r="C52" s="61" t="s">
        <v>199</v>
      </c>
      <c r="D52" s="135" t="s">
        <v>200</v>
      </c>
      <c r="E52" s="63"/>
      <c r="F52" s="63"/>
      <c r="G52" s="44">
        <v>103003865</v>
      </c>
      <c r="H52" s="44" t="s">
        <v>195</v>
      </c>
      <c r="I52" s="44" t="s">
        <v>29</v>
      </c>
      <c r="J52" s="45">
        <v>24.8</v>
      </c>
      <c r="K52" s="109">
        <v>10</v>
      </c>
      <c r="L52" s="109" t="s">
        <v>196</v>
      </c>
      <c r="M52" s="74">
        <f>M50</f>
        <v>0</v>
      </c>
      <c r="N52" s="47">
        <f t="shared" si="2"/>
        <v>0</v>
      </c>
      <c r="O52" s="17" t="s">
        <v>197</v>
      </c>
      <c r="P52" s="211" t="s">
        <v>186</v>
      </c>
      <c r="Q52" s="94" t="s">
        <v>187</v>
      </c>
    </row>
    <row r="53" spans="1:17" x14ac:dyDescent="0.25">
      <c r="C53" s="61" t="s">
        <v>201</v>
      </c>
      <c r="D53" s="135" t="s">
        <v>202</v>
      </c>
      <c r="E53" s="63"/>
      <c r="F53" s="63"/>
      <c r="G53" s="44">
        <v>101186696</v>
      </c>
      <c r="H53" s="44" t="s">
        <v>195</v>
      </c>
      <c r="I53" s="44" t="s">
        <v>29</v>
      </c>
      <c r="J53" s="45">
        <v>8.4499999999999993</v>
      </c>
      <c r="K53" s="109">
        <v>6</v>
      </c>
      <c r="L53" s="109" t="s">
        <v>196</v>
      </c>
      <c r="M53" s="74">
        <f>M50</f>
        <v>0</v>
      </c>
      <c r="N53" s="47">
        <f t="shared" si="2"/>
        <v>0</v>
      </c>
      <c r="O53" s="17" t="s">
        <v>197</v>
      </c>
      <c r="P53" s="211" t="s">
        <v>186</v>
      </c>
      <c r="Q53" s="94" t="s">
        <v>187</v>
      </c>
    </row>
    <row r="54" spans="1:17" x14ac:dyDescent="0.25">
      <c r="C54" s="61" t="s">
        <v>203</v>
      </c>
      <c r="D54" s="135" t="s">
        <v>204</v>
      </c>
      <c r="E54" s="63"/>
      <c r="F54" s="63"/>
      <c r="G54" s="44">
        <v>101193046</v>
      </c>
      <c r="H54" s="44" t="s">
        <v>195</v>
      </c>
      <c r="I54" s="44" t="s">
        <v>29</v>
      </c>
      <c r="J54" s="45">
        <v>5.8</v>
      </c>
      <c r="K54" s="109">
        <v>1</v>
      </c>
      <c r="L54" s="109" t="s">
        <v>196</v>
      </c>
      <c r="M54" s="74">
        <f>M50*3</f>
        <v>0</v>
      </c>
      <c r="N54" s="47">
        <f t="shared" si="2"/>
        <v>0</v>
      </c>
      <c r="O54" s="17" t="s">
        <v>197</v>
      </c>
      <c r="P54" s="211" t="s">
        <v>186</v>
      </c>
      <c r="Q54" s="94" t="s">
        <v>187</v>
      </c>
    </row>
    <row r="55" spans="1:17" x14ac:dyDescent="0.25">
      <c r="C55" s="61" t="s">
        <v>205</v>
      </c>
      <c r="D55" s="135" t="s">
        <v>206</v>
      </c>
      <c r="E55" s="63"/>
      <c r="F55" s="63"/>
      <c r="G55" s="44">
        <v>101190917</v>
      </c>
      <c r="H55" s="44" t="s">
        <v>195</v>
      </c>
      <c r="I55" s="44" t="s">
        <v>29</v>
      </c>
      <c r="J55" s="45">
        <v>0.88000000000000012</v>
      </c>
      <c r="K55" s="109">
        <v>1</v>
      </c>
      <c r="L55" s="109" t="s">
        <v>196</v>
      </c>
      <c r="M55" s="74">
        <f>M50*3</f>
        <v>0</v>
      </c>
      <c r="N55" s="47">
        <f t="shared" si="2"/>
        <v>0</v>
      </c>
      <c r="O55" s="17" t="s">
        <v>197</v>
      </c>
      <c r="P55" s="211" t="s">
        <v>186</v>
      </c>
      <c r="Q55" s="94" t="s">
        <v>187</v>
      </c>
    </row>
    <row r="56" spans="1:17" x14ac:dyDescent="0.25">
      <c r="C56" s="61" t="s">
        <v>207</v>
      </c>
      <c r="D56" s="135" t="s">
        <v>208</v>
      </c>
      <c r="E56" s="63"/>
      <c r="F56" s="63"/>
      <c r="G56" s="44">
        <v>101087930</v>
      </c>
      <c r="H56" s="44" t="s">
        <v>195</v>
      </c>
      <c r="I56" s="44" t="s">
        <v>29</v>
      </c>
      <c r="J56" s="45">
        <v>2.15</v>
      </c>
      <c r="K56" s="109">
        <v>1</v>
      </c>
      <c r="L56" s="109" t="s">
        <v>196</v>
      </c>
      <c r="M56" s="74">
        <f>M50</f>
        <v>0</v>
      </c>
      <c r="N56" s="47">
        <f t="shared" si="2"/>
        <v>0</v>
      </c>
      <c r="O56" s="17" t="s">
        <v>197</v>
      </c>
      <c r="P56" s="211" t="s">
        <v>186</v>
      </c>
      <c r="Q56" s="94" t="s">
        <v>187</v>
      </c>
    </row>
    <row r="57" spans="1:17" x14ac:dyDescent="0.25">
      <c r="C57" s="42"/>
      <c r="D57" s="128"/>
      <c r="E57" s="50"/>
      <c r="F57" s="50"/>
      <c r="G57" s="44"/>
      <c r="H57" s="44"/>
      <c r="I57" s="44"/>
      <c r="J57" s="39"/>
      <c r="K57" s="104"/>
      <c r="L57" s="104"/>
      <c r="M57" s="46"/>
      <c r="N57" s="47"/>
      <c r="O57" s="52"/>
    </row>
    <row r="58" spans="1:17" x14ac:dyDescent="0.25">
      <c r="C58" s="36" t="s">
        <v>209</v>
      </c>
      <c r="D58" s="129"/>
      <c r="E58" s="37"/>
      <c r="F58" s="37"/>
      <c r="G58" s="44"/>
      <c r="H58" s="38"/>
      <c r="I58" s="38"/>
      <c r="J58" s="39"/>
      <c r="K58" s="104"/>
      <c r="L58" s="104"/>
      <c r="M58" s="46"/>
      <c r="N58" s="47"/>
      <c r="O58" s="15">
        <f>SUM(N59:N65)</f>
        <v>0</v>
      </c>
    </row>
    <row r="59" spans="1:17" x14ac:dyDescent="0.25">
      <c r="C59" s="42" t="s">
        <v>210</v>
      </c>
      <c r="D59" s="135"/>
      <c r="E59" s="60"/>
      <c r="F59" s="89" t="s">
        <v>211</v>
      </c>
      <c r="G59" s="69" t="s">
        <v>212</v>
      </c>
      <c r="H59" s="44" t="s">
        <v>213</v>
      </c>
      <c r="I59" s="44" t="s">
        <v>29</v>
      </c>
      <c r="J59" s="64">
        <f>J60</f>
        <v>80.52</v>
      </c>
      <c r="K59" s="111"/>
      <c r="L59" s="111"/>
      <c r="M59" s="74">
        <f>M50</f>
        <v>0</v>
      </c>
      <c r="N59" s="47">
        <f t="shared" ref="N59:N64" si="3">J59*M59</f>
        <v>0</v>
      </c>
      <c r="O59" s="25" t="s">
        <v>214</v>
      </c>
      <c r="P59" s="211" t="s">
        <v>186</v>
      </c>
      <c r="Q59" s="94" t="s">
        <v>187</v>
      </c>
    </row>
    <row r="60" spans="1:17" x14ac:dyDescent="0.25">
      <c r="A60" s="152" t="s">
        <v>219</v>
      </c>
      <c r="C60" s="42" t="s">
        <v>220</v>
      </c>
      <c r="D60" s="138"/>
      <c r="E60" s="44"/>
      <c r="F60" s="89" t="s">
        <v>211</v>
      </c>
      <c r="G60" s="69" t="s">
        <v>212</v>
      </c>
      <c r="H60" s="44" t="s">
        <v>213</v>
      </c>
      <c r="I60" s="44" t="s">
        <v>29</v>
      </c>
      <c r="J60" s="101">
        <f>65.39+15.13</f>
        <v>80.52</v>
      </c>
      <c r="K60" s="112"/>
      <c r="L60" s="112"/>
      <c r="M60" s="46"/>
      <c r="N60" s="47">
        <f t="shared" si="3"/>
        <v>0</v>
      </c>
      <c r="O60" s="25" t="s">
        <v>214</v>
      </c>
      <c r="P60" s="211" t="s">
        <v>221</v>
      </c>
      <c r="Q60" s="94" t="s">
        <v>187</v>
      </c>
    </row>
    <row r="61" spans="1:17" x14ac:dyDescent="0.25">
      <c r="A61" s="153" t="s">
        <v>222</v>
      </c>
      <c r="C61" s="42" t="s">
        <v>223</v>
      </c>
      <c r="D61" s="138"/>
      <c r="E61" s="44"/>
      <c r="F61" s="89" t="s">
        <v>224</v>
      </c>
      <c r="G61" s="69" t="s">
        <v>225</v>
      </c>
      <c r="H61" s="44" t="s">
        <v>213</v>
      </c>
      <c r="I61" s="44" t="s">
        <v>29</v>
      </c>
      <c r="J61" s="101">
        <f>65.39+15.13</f>
        <v>80.52</v>
      </c>
      <c r="K61" s="112"/>
      <c r="L61" s="112"/>
      <c r="M61" s="46"/>
      <c r="N61" s="47">
        <f t="shared" si="3"/>
        <v>0</v>
      </c>
      <c r="O61" s="25" t="s">
        <v>214</v>
      </c>
      <c r="P61" s="211" t="s">
        <v>221</v>
      </c>
      <c r="Q61" s="94" t="s">
        <v>187</v>
      </c>
    </row>
    <row r="62" spans="1:17" x14ac:dyDescent="0.25">
      <c r="A62" s="149" t="s">
        <v>226</v>
      </c>
      <c r="C62" s="42" t="s">
        <v>227</v>
      </c>
      <c r="D62" s="135"/>
      <c r="E62" s="44"/>
      <c r="F62" s="89" t="s">
        <v>228</v>
      </c>
      <c r="G62" s="69" t="s">
        <v>229</v>
      </c>
      <c r="H62" s="44" t="s">
        <v>213</v>
      </c>
      <c r="I62" s="44" t="s">
        <v>29</v>
      </c>
      <c r="J62" s="101">
        <f>76.2+15.13</f>
        <v>91.33</v>
      </c>
      <c r="K62" s="112"/>
      <c r="L62" s="112"/>
      <c r="M62" s="46"/>
      <c r="N62" s="47">
        <f t="shared" si="3"/>
        <v>0</v>
      </c>
      <c r="O62" s="25" t="s">
        <v>214</v>
      </c>
      <c r="P62" s="211" t="s">
        <v>221</v>
      </c>
      <c r="Q62" s="94" t="s">
        <v>187</v>
      </c>
    </row>
    <row r="63" spans="1:17" x14ac:dyDescent="0.25">
      <c r="A63" s="152" t="s">
        <v>230</v>
      </c>
      <c r="C63" s="42" t="s">
        <v>231</v>
      </c>
      <c r="D63" s="135"/>
      <c r="E63" s="44"/>
      <c r="F63" s="89" t="s">
        <v>232</v>
      </c>
      <c r="G63" s="69" t="s">
        <v>233</v>
      </c>
      <c r="H63" s="44" t="s">
        <v>213</v>
      </c>
      <c r="I63" s="44" t="s">
        <v>29</v>
      </c>
      <c r="J63" s="101">
        <f>86.42+15.13</f>
        <v>101.55</v>
      </c>
      <c r="K63" s="112"/>
      <c r="L63" s="112"/>
      <c r="M63" s="46"/>
      <c r="N63" s="47">
        <f t="shared" si="3"/>
        <v>0</v>
      </c>
      <c r="O63" s="25" t="s">
        <v>214</v>
      </c>
      <c r="P63" s="211" t="s">
        <v>221</v>
      </c>
      <c r="Q63" s="94" t="s">
        <v>187</v>
      </c>
    </row>
    <row r="64" spans="1:17" x14ac:dyDescent="0.25">
      <c r="A64" s="149" t="s">
        <v>234</v>
      </c>
      <c r="C64" s="68" t="s">
        <v>235</v>
      </c>
      <c r="D64" s="138" t="s">
        <v>236</v>
      </c>
      <c r="E64" s="65"/>
      <c r="F64" s="66"/>
      <c r="G64" s="69" t="s">
        <v>237</v>
      </c>
      <c r="H64" s="44" t="s">
        <v>213</v>
      </c>
      <c r="I64" s="44" t="s">
        <v>29</v>
      </c>
      <c r="J64" s="101">
        <f>457*1.2+250</f>
        <v>798.4</v>
      </c>
      <c r="K64" s="112"/>
      <c r="L64" s="112"/>
      <c r="M64" s="70"/>
      <c r="N64" s="47">
        <f t="shared" si="3"/>
        <v>0</v>
      </c>
      <c r="O64" s="25" t="s">
        <v>214</v>
      </c>
      <c r="P64" s="211" t="s">
        <v>221</v>
      </c>
      <c r="Q64" s="94" t="s">
        <v>187</v>
      </c>
    </row>
    <row r="65" spans="1:17" x14ac:dyDescent="0.25">
      <c r="C65" s="52"/>
      <c r="D65" s="139"/>
      <c r="E65" s="71"/>
      <c r="F65" s="71"/>
      <c r="G65" s="72" t="s">
        <v>49</v>
      </c>
      <c r="H65" s="73"/>
      <c r="I65" s="44" t="s">
        <v>29</v>
      </c>
      <c r="J65" s="126"/>
      <c r="K65" s="107"/>
      <c r="L65" s="107"/>
      <c r="M65" s="73"/>
      <c r="N65" s="47"/>
      <c r="O65" s="15"/>
    </row>
    <row r="66" spans="1:17" x14ac:dyDescent="0.25">
      <c r="C66" s="36" t="s">
        <v>238</v>
      </c>
      <c r="D66" s="128"/>
      <c r="E66" s="50"/>
      <c r="F66" s="50"/>
      <c r="G66" s="72" t="s">
        <v>49</v>
      </c>
      <c r="H66" s="44"/>
      <c r="I66" s="44" t="s">
        <v>29</v>
      </c>
      <c r="J66" s="126"/>
      <c r="K66" s="107"/>
      <c r="L66" s="107"/>
      <c r="M66" s="46"/>
      <c r="N66" s="47"/>
      <c r="O66" s="15">
        <f>SUM(N67:N106)</f>
        <v>0</v>
      </c>
    </row>
    <row r="67" spans="1:17" x14ac:dyDescent="0.25">
      <c r="A67" s="149" t="s">
        <v>239</v>
      </c>
      <c r="C67" s="61" t="s">
        <v>240</v>
      </c>
      <c r="D67" s="142" t="s">
        <v>241</v>
      </c>
      <c r="E67" s="60"/>
      <c r="F67" s="60"/>
      <c r="G67" s="48" t="s">
        <v>242</v>
      </c>
      <c r="H67" s="44" t="s">
        <v>213</v>
      </c>
      <c r="I67" s="44" t="s">
        <v>29</v>
      </c>
      <c r="J67" s="67">
        <v>15.04</v>
      </c>
      <c r="K67" s="115">
        <v>1</v>
      </c>
      <c r="L67" s="115" t="s">
        <v>90</v>
      </c>
      <c r="M67" s="46"/>
      <c r="N67" s="47">
        <f>J67*M67</f>
        <v>0</v>
      </c>
      <c r="O67" s="25" t="s">
        <v>214</v>
      </c>
      <c r="P67" s="211" t="s">
        <v>243</v>
      </c>
      <c r="Q67" s="94" t="s">
        <v>244</v>
      </c>
    </row>
    <row r="68" spans="1:17" x14ac:dyDescent="0.25">
      <c r="C68" s="61" t="s">
        <v>245</v>
      </c>
      <c r="D68" s="142" t="s">
        <v>246</v>
      </c>
      <c r="E68" s="60"/>
      <c r="F68" s="60"/>
      <c r="G68" s="48" t="s">
        <v>247</v>
      </c>
      <c r="H68" s="44" t="s">
        <v>213</v>
      </c>
      <c r="I68" s="44" t="s">
        <v>29</v>
      </c>
      <c r="J68" s="67">
        <v>25.28</v>
      </c>
      <c r="K68" s="115">
        <v>1</v>
      </c>
      <c r="L68" s="115" t="s">
        <v>90</v>
      </c>
      <c r="M68" s="74">
        <f>$M$67</f>
        <v>0</v>
      </c>
      <c r="N68" s="47">
        <f>J68*M68</f>
        <v>0</v>
      </c>
      <c r="O68" s="25" t="s">
        <v>214</v>
      </c>
      <c r="P68" s="211" t="s">
        <v>243</v>
      </c>
      <c r="Q68" s="94" t="s">
        <v>244</v>
      </c>
    </row>
    <row r="69" spans="1:17" x14ac:dyDescent="0.25">
      <c r="C69" s="61" t="s">
        <v>248</v>
      </c>
      <c r="D69" s="142" t="s">
        <v>249</v>
      </c>
      <c r="E69" s="60"/>
      <c r="F69" s="60"/>
      <c r="G69" s="48" t="s">
        <v>250</v>
      </c>
      <c r="H69" s="44" t="s">
        <v>213</v>
      </c>
      <c r="I69" s="44" t="s">
        <v>29</v>
      </c>
      <c r="J69" s="67">
        <v>24.86</v>
      </c>
      <c r="K69" s="115">
        <f>55/5</f>
        <v>11</v>
      </c>
      <c r="L69" s="115" t="s">
        <v>90</v>
      </c>
      <c r="M69" s="74">
        <f>$M$67</f>
        <v>0</v>
      </c>
      <c r="N69" s="47">
        <f>J69*M69</f>
        <v>0</v>
      </c>
      <c r="O69" s="25" t="s">
        <v>214</v>
      </c>
      <c r="P69" s="211" t="s">
        <v>243</v>
      </c>
      <c r="Q69" s="94" t="s">
        <v>244</v>
      </c>
    </row>
    <row r="70" spans="1:17" x14ac:dyDescent="0.25">
      <c r="C70" s="61" t="s">
        <v>251</v>
      </c>
      <c r="D70" s="142" t="s">
        <v>252</v>
      </c>
      <c r="E70" s="60"/>
      <c r="F70" s="60"/>
      <c r="G70" s="48" t="s">
        <v>253</v>
      </c>
      <c r="H70" s="44" t="s">
        <v>213</v>
      </c>
      <c r="I70" s="44" t="s">
        <v>29</v>
      </c>
      <c r="J70" s="67">
        <v>80.540000000000006</v>
      </c>
      <c r="K70" s="115">
        <v>1</v>
      </c>
      <c r="L70" s="115" t="s">
        <v>90</v>
      </c>
      <c r="M70" s="74">
        <f>$M$67</f>
        <v>0</v>
      </c>
      <c r="N70" s="47">
        <f>J70*M70</f>
        <v>0</v>
      </c>
      <c r="O70" s="25" t="s">
        <v>214</v>
      </c>
      <c r="P70" s="211" t="s">
        <v>243</v>
      </c>
      <c r="Q70" s="94" t="s">
        <v>244</v>
      </c>
    </row>
    <row r="71" spans="1:17" x14ac:dyDescent="0.25">
      <c r="C71" s="61" t="s">
        <v>254</v>
      </c>
      <c r="D71" s="135" t="s">
        <v>255</v>
      </c>
      <c r="E71" s="60"/>
      <c r="F71" s="60"/>
      <c r="G71" s="44" t="s">
        <v>256</v>
      </c>
      <c r="H71" s="44" t="s">
        <v>213</v>
      </c>
      <c r="I71" s="44" t="s">
        <v>29</v>
      </c>
      <c r="J71" s="67">
        <v>25.49</v>
      </c>
      <c r="K71" s="115">
        <v>1</v>
      </c>
      <c r="L71" s="115" t="s">
        <v>90</v>
      </c>
      <c r="M71" s="74">
        <f>$M$67</f>
        <v>0</v>
      </c>
      <c r="N71" s="47">
        <f>J71*M71</f>
        <v>0</v>
      </c>
      <c r="O71" s="25" t="s">
        <v>214</v>
      </c>
      <c r="P71" s="211" t="s">
        <v>243</v>
      </c>
      <c r="Q71" s="94" t="s">
        <v>244</v>
      </c>
    </row>
    <row r="72" spans="1:17" x14ac:dyDescent="0.25">
      <c r="C72" s="36" t="s">
        <v>257</v>
      </c>
      <c r="D72" s="128"/>
      <c r="E72" s="50"/>
      <c r="F72" s="50"/>
      <c r="G72" s="72" t="s">
        <v>49</v>
      </c>
      <c r="H72" s="44"/>
      <c r="I72" s="44" t="s">
        <v>29</v>
      </c>
      <c r="J72" s="39"/>
      <c r="K72" s="104"/>
      <c r="L72" s="104"/>
      <c r="M72" s="46"/>
      <c r="N72" s="47"/>
      <c r="O72" s="52"/>
    </row>
    <row r="73" spans="1:17" x14ac:dyDescent="0.25">
      <c r="A73" s="149" t="s">
        <v>258</v>
      </c>
      <c r="C73" s="61" t="s">
        <v>240</v>
      </c>
      <c r="D73" s="142" t="s">
        <v>241</v>
      </c>
      <c r="E73" s="60"/>
      <c r="F73" s="60"/>
      <c r="G73" s="48" t="s">
        <v>242</v>
      </c>
      <c r="H73" s="44" t="s">
        <v>213</v>
      </c>
      <c r="I73" s="44" t="s">
        <v>29</v>
      </c>
      <c r="J73" s="67">
        <v>15.04</v>
      </c>
      <c r="K73" s="115">
        <v>1</v>
      </c>
      <c r="L73" s="115" t="s">
        <v>90</v>
      </c>
      <c r="M73" s="46"/>
      <c r="N73" s="47">
        <f t="shared" ref="N73:N78" si="4">J73*M73</f>
        <v>0</v>
      </c>
      <c r="O73" s="25" t="s">
        <v>214</v>
      </c>
      <c r="P73" s="211" t="s">
        <v>243</v>
      </c>
      <c r="Q73" s="94" t="s">
        <v>244</v>
      </c>
    </row>
    <row r="74" spans="1:17" x14ac:dyDescent="0.25">
      <c r="C74" s="61" t="s">
        <v>245</v>
      </c>
      <c r="D74" s="142" t="s">
        <v>246</v>
      </c>
      <c r="E74" s="60"/>
      <c r="F74" s="60"/>
      <c r="G74" s="48" t="s">
        <v>247</v>
      </c>
      <c r="H74" s="44" t="s">
        <v>213</v>
      </c>
      <c r="I74" s="44" t="s">
        <v>29</v>
      </c>
      <c r="J74" s="67">
        <v>25.28</v>
      </c>
      <c r="K74" s="115">
        <v>1</v>
      </c>
      <c r="L74" s="115" t="s">
        <v>90</v>
      </c>
      <c r="M74" s="74">
        <f>$M$73</f>
        <v>0</v>
      </c>
      <c r="N74" s="47">
        <f t="shared" si="4"/>
        <v>0</v>
      </c>
      <c r="O74" s="25" t="s">
        <v>214</v>
      </c>
      <c r="P74" s="211" t="s">
        <v>243</v>
      </c>
      <c r="Q74" s="94" t="s">
        <v>244</v>
      </c>
    </row>
    <row r="75" spans="1:17" x14ac:dyDescent="0.25">
      <c r="C75" s="61" t="s">
        <v>248</v>
      </c>
      <c r="D75" s="142" t="s">
        <v>249</v>
      </c>
      <c r="E75" s="60"/>
      <c r="F75" s="60"/>
      <c r="G75" s="48" t="s">
        <v>250</v>
      </c>
      <c r="H75" s="44" t="s">
        <v>213</v>
      </c>
      <c r="I75" s="44" t="s">
        <v>29</v>
      </c>
      <c r="J75" s="67">
        <v>24.86</v>
      </c>
      <c r="K75" s="115">
        <f>55/5</f>
        <v>11</v>
      </c>
      <c r="L75" s="115" t="s">
        <v>90</v>
      </c>
      <c r="M75" s="74">
        <f>$M$73</f>
        <v>0</v>
      </c>
      <c r="N75" s="47">
        <f t="shared" si="4"/>
        <v>0</v>
      </c>
      <c r="O75" s="25" t="s">
        <v>214</v>
      </c>
      <c r="P75" s="211" t="s">
        <v>243</v>
      </c>
      <c r="Q75" s="94" t="s">
        <v>244</v>
      </c>
    </row>
    <row r="76" spans="1:17" x14ac:dyDescent="0.25">
      <c r="C76" s="61" t="s">
        <v>251</v>
      </c>
      <c r="D76" s="142" t="s">
        <v>252</v>
      </c>
      <c r="E76" s="60"/>
      <c r="F76" s="60"/>
      <c r="G76" s="48" t="s">
        <v>253</v>
      </c>
      <c r="H76" s="44" t="s">
        <v>213</v>
      </c>
      <c r="I76" s="44" t="s">
        <v>29</v>
      </c>
      <c r="J76" s="67">
        <v>80.540000000000006</v>
      </c>
      <c r="K76" s="115">
        <v>1</v>
      </c>
      <c r="L76" s="115" t="s">
        <v>90</v>
      </c>
      <c r="M76" s="74">
        <f>$M$73</f>
        <v>0</v>
      </c>
      <c r="N76" s="47">
        <f t="shared" si="4"/>
        <v>0</v>
      </c>
      <c r="O76" s="25" t="s">
        <v>214</v>
      </c>
      <c r="P76" s="211" t="s">
        <v>243</v>
      </c>
      <c r="Q76" s="94" t="s">
        <v>244</v>
      </c>
    </row>
    <row r="77" spans="1:17" x14ac:dyDescent="0.25">
      <c r="C77" s="61" t="s">
        <v>254</v>
      </c>
      <c r="D77" s="135" t="s">
        <v>255</v>
      </c>
      <c r="E77" s="60"/>
      <c r="F77" s="60"/>
      <c r="G77" s="44" t="s">
        <v>253</v>
      </c>
      <c r="H77" s="44" t="s">
        <v>213</v>
      </c>
      <c r="I77" s="44" t="s">
        <v>29</v>
      </c>
      <c r="J77" s="67">
        <v>25.49</v>
      </c>
      <c r="K77" s="115">
        <v>1</v>
      </c>
      <c r="L77" s="115" t="s">
        <v>90</v>
      </c>
      <c r="M77" s="74">
        <f>$M$73</f>
        <v>0</v>
      </c>
      <c r="N77" s="47">
        <f t="shared" si="4"/>
        <v>0</v>
      </c>
      <c r="O77" s="25" t="s">
        <v>214</v>
      </c>
      <c r="P77" s="211" t="s">
        <v>243</v>
      </c>
      <c r="Q77" s="94" t="s">
        <v>244</v>
      </c>
    </row>
    <row r="78" spans="1:17" x14ac:dyDescent="0.25">
      <c r="C78" s="61" t="s">
        <v>259</v>
      </c>
      <c r="D78" s="135" t="s">
        <v>260</v>
      </c>
      <c r="E78" s="60"/>
      <c r="F78" s="60"/>
      <c r="G78" s="44" t="s">
        <v>261</v>
      </c>
      <c r="H78" s="44" t="s">
        <v>213</v>
      </c>
      <c r="I78" s="44" t="s">
        <v>29</v>
      </c>
      <c r="J78" s="67">
        <v>34.700000000000003</v>
      </c>
      <c r="K78" s="115">
        <v>1</v>
      </c>
      <c r="L78" s="115" t="s">
        <v>90</v>
      </c>
      <c r="M78" s="74">
        <f>$M$73</f>
        <v>0</v>
      </c>
      <c r="N78" s="47">
        <f t="shared" si="4"/>
        <v>0</v>
      </c>
      <c r="O78" s="25" t="s">
        <v>214</v>
      </c>
      <c r="P78" s="211" t="s">
        <v>243</v>
      </c>
      <c r="Q78" s="94" t="s">
        <v>244</v>
      </c>
    </row>
    <row r="79" spans="1:17" x14ac:dyDescent="0.25">
      <c r="C79" s="36" t="s">
        <v>262</v>
      </c>
      <c r="D79" s="128"/>
      <c r="E79" s="50"/>
      <c r="F79" s="50"/>
      <c r="G79" s="72" t="s">
        <v>49</v>
      </c>
      <c r="H79" s="44"/>
      <c r="I79" s="44" t="s">
        <v>29</v>
      </c>
      <c r="J79" s="39"/>
      <c r="K79" s="104"/>
      <c r="L79" s="104"/>
      <c r="M79" s="46"/>
      <c r="N79" s="47"/>
      <c r="O79" s="52"/>
    </row>
    <row r="80" spans="1:17" x14ac:dyDescent="0.25">
      <c r="A80" s="149" t="s">
        <v>263</v>
      </c>
      <c r="C80" s="61" t="s">
        <v>240</v>
      </c>
      <c r="D80" s="135" t="s">
        <v>241</v>
      </c>
      <c r="E80" s="60"/>
      <c r="F80" s="60"/>
      <c r="G80" s="44" t="s">
        <v>242</v>
      </c>
      <c r="H80" s="44" t="s">
        <v>213</v>
      </c>
      <c r="I80" s="44" t="s">
        <v>29</v>
      </c>
      <c r="J80" s="67">
        <v>15.04</v>
      </c>
      <c r="K80" s="115">
        <v>1</v>
      </c>
      <c r="L80" s="115" t="s">
        <v>90</v>
      </c>
      <c r="M80" s="46"/>
      <c r="N80" s="47">
        <f>J80*M80</f>
        <v>0</v>
      </c>
      <c r="O80" s="25" t="s">
        <v>214</v>
      </c>
      <c r="P80" s="211" t="s">
        <v>243</v>
      </c>
      <c r="Q80" s="94" t="s">
        <v>244</v>
      </c>
    </row>
    <row r="81" spans="1:17" x14ac:dyDescent="0.25">
      <c r="C81" s="61" t="s">
        <v>245</v>
      </c>
      <c r="D81" s="142" t="s">
        <v>246</v>
      </c>
      <c r="E81" s="60"/>
      <c r="F81" s="60"/>
      <c r="G81" s="48" t="s">
        <v>247</v>
      </c>
      <c r="H81" s="44" t="s">
        <v>213</v>
      </c>
      <c r="I81" s="44" t="s">
        <v>29</v>
      </c>
      <c r="J81" s="67">
        <v>25.28</v>
      </c>
      <c r="K81" s="115">
        <v>1</v>
      </c>
      <c r="L81" s="115" t="s">
        <v>90</v>
      </c>
      <c r="M81" s="74">
        <f>$M$80</f>
        <v>0</v>
      </c>
      <c r="N81" s="47">
        <f t="shared" ref="N81:N86" si="5">J81*M81</f>
        <v>0</v>
      </c>
      <c r="O81" s="25" t="s">
        <v>214</v>
      </c>
      <c r="P81" s="211" t="s">
        <v>243</v>
      </c>
      <c r="Q81" s="94" t="s">
        <v>244</v>
      </c>
    </row>
    <row r="82" spans="1:17" x14ac:dyDescent="0.25">
      <c r="C82" s="61" t="s">
        <v>248</v>
      </c>
      <c r="D82" s="142" t="s">
        <v>249</v>
      </c>
      <c r="E82" s="60"/>
      <c r="F82" s="60"/>
      <c r="G82" s="48" t="s">
        <v>250</v>
      </c>
      <c r="H82" s="44" t="s">
        <v>213</v>
      </c>
      <c r="I82" s="44" t="s">
        <v>29</v>
      </c>
      <c r="J82" s="67">
        <v>24.86</v>
      </c>
      <c r="K82" s="115">
        <v>11</v>
      </c>
      <c r="L82" s="115" t="s">
        <v>90</v>
      </c>
      <c r="M82" s="74">
        <f t="shared" ref="M82:M86" si="6">$M$80</f>
        <v>0</v>
      </c>
      <c r="N82" s="47">
        <f t="shared" si="5"/>
        <v>0</v>
      </c>
      <c r="O82" s="25" t="s">
        <v>214</v>
      </c>
      <c r="P82" s="211" t="s">
        <v>243</v>
      </c>
      <c r="Q82" s="94" t="s">
        <v>244</v>
      </c>
    </row>
    <row r="83" spans="1:17" x14ac:dyDescent="0.25">
      <c r="C83" s="61" t="s">
        <v>251</v>
      </c>
      <c r="D83" s="142" t="s">
        <v>252</v>
      </c>
      <c r="E83" s="60"/>
      <c r="F83" s="60"/>
      <c r="G83" s="48" t="s">
        <v>253</v>
      </c>
      <c r="H83" s="44" t="s">
        <v>213</v>
      </c>
      <c r="I83" s="44" t="s">
        <v>29</v>
      </c>
      <c r="J83" s="67">
        <v>80.540000000000006</v>
      </c>
      <c r="K83" s="115">
        <v>1</v>
      </c>
      <c r="L83" s="115" t="s">
        <v>90</v>
      </c>
      <c r="M83" s="74">
        <f t="shared" si="6"/>
        <v>0</v>
      </c>
      <c r="N83" s="47">
        <f t="shared" si="5"/>
        <v>0</v>
      </c>
      <c r="O83" s="25" t="s">
        <v>214</v>
      </c>
      <c r="P83" s="211" t="s">
        <v>243</v>
      </c>
      <c r="Q83" s="94" t="s">
        <v>244</v>
      </c>
    </row>
    <row r="84" spans="1:17" x14ac:dyDescent="0.25">
      <c r="C84" s="61" t="s">
        <v>254</v>
      </c>
      <c r="D84" s="135" t="s">
        <v>255</v>
      </c>
      <c r="E84" s="60"/>
      <c r="F84" s="60"/>
      <c r="G84" s="44" t="s">
        <v>256</v>
      </c>
      <c r="H84" s="44" t="s">
        <v>213</v>
      </c>
      <c r="I84" s="44" t="s">
        <v>29</v>
      </c>
      <c r="J84" s="67">
        <v>25.49</v>
      </c>
      <c r="K84" s="115">
        <v>1</v>
      </c>
      <c r="L84" s="115" t="s">
        <v>90</v>
      </c>
      <c r="M84" s="74">
        <f t="shared" si="6"/>
        <v>0</v>
      </c>
      <c r="N84" s="47">
        <f t="shared" si="5"/>
        <v>0</v>
      </c>
      <c r="O84" s="25" t="s">
        <v>214</v>
      </c>
      <c r="P84" s="211" t="s">
        <v>243</v>
      </c>
      <c r="Q84" s="94" t="s">
        <v>244</v>
      </c>
    </row>
    <row r="85" spans="1:17" x14ac:dyDescent="0.25">
      <c r="C85" s="61" t="s">
        <v>264</v>
      </c>
      <c r="D85" s="135" t="s">
        <v>265</v>
      </c>
      <c r="E85" s="60"/>
      <c r="F85" s="60"/>
      <c r="G85" s="44" t="s">
        <v>266</v>
      </c>
      <c r="H85" s="44" t="s">
        <v>213</v>
      </c>
      <c r="I85" s="44" t="s">
        <v>29</v>
      </c>
      <c r="J85" s="67">
        <v>23.78</v>
      </c>
      <c r="K85" s="115">
        <v>1</v>
      </c>
      <c r="L85" s="115" t="s">
        <v>90</v>
      </c>
      <c r="M85" s="74">
        <f t="shared" si="6"/>
        <v>0</v>
      </c>
      <c r="N85" s="47">
        <f t="shared" si="5"/>
        <v>0</v>
      </c>
      <c r="O85" s="25" t="s">
        <v>214</v>
      </c>
      <c r="P85" s="211" t="s">
        <v>243</v>
      </c>
      <c r="Q85" s="94" t="s">
        <v>244</v>
      </c>
    </row>
    <row r="86" spans="1:17" x14ac:dyDescent="0.25">
      <c r="C86" s="61" t="s">
        <v>259</v>
      </c>
      <c r="D86" s="135" t="s">
        <v>260</v>
      </c>
      <c r="E86" s="60"/>
      <c r="F86" s="60"/>
      <c r="G86" s="44" t="s">
        <v>261</v>
      </c>
      <c r="H86" s="44" t="s">
        <v>213</v>
      </c>
      <c r="I86" s="44" t="s">
        <v>29</v>
      </c>
      <c r="J86" s="67">
        <v>34.700000000000003</v>
      </c>
      <c r="K86" s="115">
        <v>1</v>
      </c>
      <c r="L86" s="115" t="s">
        <v>90</v>
      </c>
      <c r="M86" s="74">
        <f t="shared" si="6"/>
        <v>0</v>
      </c>
      <c r="N86" s="47">
        <f t="shared" si="5"/>
        <v>0</v>
      </c>
      <c r="O86" s="25" t="s">
        <v>214</v>
      </c>
      <c r="P86" s="211" t="s">
        <v>243</v>
      </c>
      <c r="Q86" s="94" t="s">
        <v>244</v>
      </c>
    </row>
    <row r="87" spans="1:17" x14ac:dyDescent="0.25">
      <c r="C87" s="36" t="s">
        <v>267</v>
      </c>
      <c r="D87" s="128"/>
      <c r="E87" s="50"/>
      <c r="F87" s="50"/>
      <c r="G87" s="72" t="s">
        <v>49</v>
      </c>
      <c r="H87" s="44"/>
      <c r="I87" s="44" t="s">
        <v>29</v>
      </c>
      <c r="J87" s="39"/>
      <c r="K87" s="104"/>
      <c r="L87" s="104"/>
      <c r="M87" s="46"/>
      <c r="N87" s="47"/>
      <c r="O87" s="52"/>
    </row>
    <row r="88" spans="1:17" x14ac:dyDescent="0.25">
      <c r="A88" s="149" t="s">
        <v>268</v>
      </c>
      <c r="C88" s="61" t="s">
        <v>240</v>
      </c>
      <c r="D88" s="142" t="s">
        <v>241</v>
      </c>
      <c r="E88" s="60"/>
      <c r="F88" s="60"/>
      <c r="G88" s="48" t="s">
        <v>242</v>
      </c>
      <c r="H88" s="44" t="s">
        <v>213</v>
      </c>
      <c r="I88" s="44" t="s">
        <v>29</v>
      </c>
      <c r="J88" s="67">
        <v>15.04</v>
      </c>
      <c r="K88" s="115">
        <v>1</v>
      </c>
      <c r="L88" s="115" t="s">
        <v>90</v>
      </c>
      <c r="M88" s="46"/>
      <c r="N88" s="47">
        <f t="shared" ref="N88:N95" si="7">J88*M88</f>
        <v>0</v>
      </c>
      <c r="O88" s="25" t="s">
        <v>214</v>
      </c>
      <c r="P88" s="211" t="s">
        <v>243</v>
      </c>
      <c r="Q88" s="94" t="s">
        <v>244</v>
      </c>
    </row>
    <row r="89" spans="1:17" x14ac:dyDescent="0.25">
      <c r="C89" s="61" t="s">
        <v>245</v>
      </c>
      <c r="D89" s="135" t="s">
        <v>246</v>
      </c>
      <c r="E89" s="60"/>
      <c r="F89" s="60"/>
      <c r="G89" s="44" t="s">
        <v>247</v>
      </c>
      <c r="H89" s="44" t="s">
        <v>213</v>
      </c>
      <c r="I89" s="44" t="s">
        <v>29</v>
      </c>
      <c r="J89" s="67">
        <v>25.28</v>
      </c>
      <c r="K89" s="115">
        <v>1</v>
      </c>
      <c r="L89" s="115" t="s">
        <v>90</v>
      </c>
      <c r="M89" s="74">
        <f t="shared" ref="M89:M95" si="8">$M$88</f>
        <v>0</v>
      </c>
      <c r="N89" s="47">
        <f>J89*M89</f>
        <v>0</v>
      </c>
      <c r="O89" s="25" t="s">
        <v>214</v>
      </c>
      <c r="P89" s="211" t="s">
        <v>243</v>
      </c>
      <c r="Q89" s="94" t="s">
        <v>244</v>
      </c>
    </row>
    <row r="90" spans="1:17" x14ac:dyDescent="0.25">
      <c r="C90" s="61" t="s">
        <v>248</v>
      </c>
      <c r="D90" s="142" t="s">
        <v>249</v>
      </c>
      <c r="E90" s="60"/>
      <c r="F90" s="60"/>
      <c r="G90" s="48" t="s">
        <v>250</v>
      </c>
      <c r="H90" s="44" t="s">
        <v>213</v>
      </c>
      <c r="I90" s="44" t="s">
        <v>29</v>
      </c>
      <c r="J90" s="67">
        <v>24.86</v>
      </c>
      <c r="K90" s="115">
        <v>11</v>
      </c>
      <c r="L90" s="115" t="s">
        <v>90</v>
      </c>
      <c r="M90" s="74">
        <f t="shared" si="8"/>
        <v>0</v>
      </c>
      <c r="N90" s="47">
        <f t="shared" si="7"/>
        <v>0</v>
      </c>
      <c r="O90" s="25" t="s">
        <v>214</v>
      </c>
      <c r="P90" s="211" t="s">
        <v>243</v>
      </c>
      <c r="Q90" s="94" t="s">
        <v>244</v>
      </c>
    </row>
    <row r="91" spans="1:17" x14ac:dyDescent="0.25">
      <c r="C91" s="61" t="s">
        <v>251</v>
      </c>
      <c r="D91" s="142" t="s">
        <v>252</v>
      </c>
      <c r="E91" s="60"/>
      <c r="F91" s="60"/>
      <c r="G91" s="48" t="s">
        <v>253</v>
      </c>
      <c r="H91" s="44" t="s">
        <v>213</v>
      </c>
      <c r="I91" s="44" t="s">
        <v>29</v>
      </c>
      <c r="J91" s="67">
        <v>80.540000000000006</v>
      </c>
      <c r="K91" s="115">
        <v>1</v>
      </c>
      <c r="L91" s="115" t="s">
        <v>90</v>
      </c>
      <c r="M91" s="74">
        <f t="shared" si="8"/>
        <v>0</v>
      </c>
      <c r="N91" s="47">
        <f t="shared" si="7"/>
        <v>0</v>
      </c>
      <c r="O91" s="25" t="s">
        <v>214</v>
      </c>
      <c r="P91" s="211" t="s">
        <v>243</v>
      </c>
      <c r="Q91" s="94" t="s">
        <v>244</v>
      </c>
    </row>
    <row r="92" spans="1:17" x14ac:dyDescent="0.25">
      <c r="C92" s="61" t="s">
        <v>254</v>
      </c>
      <c r="D92" s="135" t="s">
        <v>255</v>
      </c>
      <c r="E92" s="60"/>
      <c r="F92" s="60"/>
      <c r="G92" s="44" t="s">
        <v>256</v>
      </c>
      <c r="H92" s="44" t="s">
        <v>213</v>
      </c>
      <c r="I92" s="44" t="s">
        <v>29</v>
      </c>
      <c r="J92" s="67">
        <v>25.49</v>
      </c>
      <c r="K92" s="115">
        <v>1</v>
      </c>
      <c r="L92" s="115" t="s">
        <v>90</v>
      </c>
      <c r="M92" s="74">
        <f t="shared" si="8"/>
        <v>0</v>
      </c>
      <c r="N92" s="47">
        <f t="shared" si="7"/>
        <v>0</v>
      </c>
      <c r="O92" s="25" t="s">
        <v>214</v>
      </c>
      <c r="P92" s="211" t="s">
        <v>243</v>
      </c>
      <c r="Q92" s="94" t="s">
        <v>244</v>
      </c>
    </row>
    <row r="93" spans="1:17" x14ac:dyDescent="0.25">
      <c r="C93" s="61" t="s">
        <v>264</v>
      </c>
      <c r="D93" s="135" t="s">
        <v>265</v>
      </c>
      <c r="E93" s="60"/>
      <c r="F93" s="60"/>
      <c r="G93" s="44" t="s">
        <v>266</v>
      </c>
      <c r="H93" s="44" t="s">
        <v>213</v>
      </c>
      <c r="I93" s="44" t="s">
        <v>29</v>
      </c>
      <c r="J93" s="67">
        <v>23.78</v>
      </c>
      <c r="K93" s="115">
        <v>1</v>
      </c>
      <c r="L93" s="115" t="s">
        <v>90</v>
      </c>
      <c r="M93" s="74">
        <f t="shared" si="8"/>
        <v>0</v>
      </c>
      <c r="N93" s="47">
        <f t="shared" si="7"/>
        <v>0</v>
      </c>
      <c r="O93" s="25" t="s">
        <v>214</v>
      </c>
      <c r="P93" s="211" t="s">
        <v>243</v>
      </c>
      <c r="Q93" s="94" t="s">
        <v>244</v>
      </c>
    </row>
    <row r="94" spans="1:17" x14ac:dyDescent="0.25">
      <c r="C94" s="61" t="s">
        <v>269</v>
      </c>
      <c r="D94" s="135" t="s">
        <v>270</v>
      </c>
      <c r="E94" s="60"/>
      <c r="F94" s="60"/>
      <c r="G94" s="44" t="s">
        <v>271</v>
      </c>
      <c r="H94" s="44" t="s">
        <v>213</v>
      </c>
      <c r="I94" s="44" t="s">
        <v>29</v>
      </c>
      <c r="J94" s="67">
        <v>23.78</v>
      </c>
      <c r="K94" s="115">
        <v>1</v>
      </c>
      <c r="L94" s="115" t="s">
        <v>90</v>
      </c>
      <c r="M94" s="74">
        <f t="shared" si="8"/>
        <v>0</v>
      </c>
      <c r="N94" s="47">
        <f t="shared" si="7"/>
        <v>0</v>
      </c>
      <c r="O94" s="25" t="s">
        <v>214</v>
      </c>
      <c r="P94" s="211" t="s">
        <v>243</v>
      </c>
      <c r="Q94" s="94" t="s">
        <v>244</v>
      </c>
    </row>
    <row r="95" spans="1:17" x14ac:dyDescent="0.25">
      <c r="C95" s="61" t="s">
        <v>259</v>
      </c>
      <c r="D95" s="135" t="s">
        <v>260</v>
      </c>
      <c r="E95" s="60"/>
      <c r="F95" s="60"/>
      <c r="G95" s="44" t="s">
        <v>261</v>
      </c>
      <c r="H95" s="44" t="s">
        <v>213</v>
      </c>
      <c r="I95" s="44" t="s">
        <v>29</v>
      </c>
      <c r="J95" s="67">
        <v>34.700000000000003</v>
      </c>
      <c r="K95" s="115">
        <v>1</v>
      </c>
      <c r="L95" s="115" t="s">
        <v>90</v>
      </c>
      <c r="M95" s="74">
        <f t="shared" si="8"/>
        <v>0</v>
      </c>
      <c r="N95" s="47">
        <f t="shared" si="7"/>
        <v>0</v>
      </c>
      <c r="O95" s="25" t="s">
        <v>214</v>
      </c>
      <c r="P95" s="211" t="s">
        <v>243</v>
      </c>
      <c r="Q95" s="94" t="s">
        <v>244</v>
      </c>
    </row>
    <row r="96" spans="1:17" x14ac:dyDescent="0.25">
      <c r="C96" s="36" t="s">
        <v>272</v>
      </c>
      <c r="D96" s="128"/>
      <c r="E96" s="50"/>
      <c r="F96" s="50"/>
      <c r="G96" s="72" t="s">
        <v>49</v>
      </c>
      <c r="H96" s="44"/>
      <c r="I96" s="44" t="s">
        <v>29</v>
      </c>
      <c r="J96" s="39"/>
      <c r="K96" s="104"/>
      <c r="L96" s="104"/>
      <c r="M96" s="46"/>
      <c r="N96" s="47"/>
      <c r="O96" s="52"/>
    </row>
    <row r="97" spans="1:17" x14ac:dyDescent="0.25">
      <c r="A97" s="149" t="s">
        <v>273</v>
      </c>
      <c r="C97" s="61" t="s">
        <v>240</v>
      </c>
      <c r="D97" s="142" t="s">
        <v>241</v>
      </c>
      <c r="E97" s="60"/>
      <c r="F97" s="60"/>
      <c r="G97" s="48" t="s">
        <v>242</v>
      </c>
      <c r="H97" s="44" t="s">
        <v>213</v>
      </c>
      <c r="I97" s="44" t="s">
        <v>29</v>
      </c>
      <c r="J97" s="67">
        <v>15.04</v>
      </c>
      <c r="K97" s="115">
        <v>1</v>
      </c>
      <c r="L97" s="115" t="s">
        <v>90</v>
      </c>
      <c r="M97" s="46"/>
      <c r="N97" s="47">
        <f t="shared" ref="N97:N105" si="9">J97*M97</f>
        <v>0</v>
      </c>
      <c r="O97" s="25" t="s">
        <v>214</v>
      </c>
      <c r="P97" s="211" t="s">
        <v>243</v>
      </c>
      <c r="Q97" s="94" t="s">
        <v>244</v>
      </c>
    </row>
    <row r="98" spans="1:17" x14ac:dyDescent="0.25">
      <c r="C98" s="61" t="s">
        <v>245</v>
      </c>
      <c r="D98" s="142" t="s">
        <v>246</v>
      </c>
      <c r="E98" s="60"/>
      <c r="F98" s="60"/>
      <c r="G98" s="48" t="s">
        <v>247</v>
      </c>
      <c r="H98" s="44" t="s">
        <v>213</v>
      </c>
      <c r="I98" s="44" t="s">
        <v>29</v>
      </c>
      <c r="J98" s="67">
        <v>25.28</v>
      </c>
      <c r="K98" s="115">
        <v>1</v>
      </c>
      <c r="L98" s="115" t="s">
        <v>90</v>
      </c>
      <c r="M98" s="74">
        <f>$M$97</f>
        <v>0</v>
      </c>
      <c r="N98" s="47">
        <f t="shared" si="9"/>
        <v>0</v>
      </c>
      <c r="O98" s="25" t="s">
        <v>214</v>
      </c>
      <c r="P98" s="211" t="s">
        <v>243</v>
      </c>
      <c r="Q98" s="94" t="s">
        <v>244</v>
      </c>
    </row>
    <row r="99" spans="1:17" x14ac:dyDescent="0.25">
      <c r="C99" s="61" t="s">
        <v>248</v>
      </c>
      <c r="D99" s="142" t="s">
        <v>249</v>
      </c>
      <c r="E99" s="60"/>
      <c r="F99" s="60"/>
      <c r="G99" s="48" t="s">
        <v>250</v>
      </c>
      <c r="H99" s="44" t="s">
        <v>213</v>
      </c>
      <c r="I99" s="44" t="s">
        <v>29</v>
      </c>
      <c r="J99" s="67">
        <v>24.86</v>
      </c>
      <c r="K99" s="115">
        <v>11</v>
      </c>
      <c r="L99" s="115" t="s">
        <v>90</v>
      </c>
      <c r="M99" s="74">
        <f t="shared" ref="M99:M105" si="10">$M$97</f>
        <v>0</v>
      </c>
      <c r="N99" s="47">
        <f t="shared" si="9"/>
        <v>0</v>
      </c>
      <c r="O99" s="25" t="s">
        <v>214</v>
      </c>
      <c r="P99" s="211" t="s">
        <v>243</v>
      </c>
      <c r="Q99" s="94" t="s">
        <v>244</v>
      </c>
    </row>
    <row r="100" spans="1:17" x14ac:dyDescent="0.25">
      <c r="C100" s="61" t="s">
        <v>251</v>
      </c>
      <c r="D100" s="142" t="s">
        <v>252</v>
      </c>
      <c r="E100" s="60"/>
      <c r="F100" s="60"/>
      <c r="G100" s="48" t="s">
        <v>253</v>
      </c>
      <c r="H100" s="44" t="s">
        <v>213</v>
      </c>
      <c r="I100" s="44" t="s">
        <v>29</v>
      </c>
      <c r="J100" s="67">
        <v>80.540000000000006</v>
      </c>
      <c r="K100" s="115">
        <v>1</v>
      </c>
      <c r="L100" s="115" t="s">
        <v>90</v>
      </c>
      <c r="M100" s="74">
        <f t="shared" si="10"/>
        <v>0</v>
      </c>
      <c r="N100" s="47">
        <f t="shared" si="9"/>
        <v>0</v>
      </c>
      <c r="O100" s="25" t="s">
        <v>214</v>
      </c>
      <c r="P100" s="211" t="s">
        <v>243</v>
      </c>
      <c r="Q100" s="94" t="s">
        <v>244</v>
      </c>
    </row>
    <row r="101" spans="1:17" x14ac:dyDescent="0.25">
      <c r="C101" s="61" t="s">
        <v>254</v>
      </c>
      <c r="D101" s="135" t="s">
        <v>255</v>
      </c>
      <c r="E101" s="60"/>
      <c r="F101" s="60"/>
      <c r="G101" s="44" t="s">
        <v>256</v>
      </c>
      <c r="H101" s="44" t="s">
        <v>213</v>
      </c>
      <c r="I101" s="44" t="s">
        <v>29</v>
      </c>
      <c r="J101" s="67">
        <v>25.49</v>
      </c>
      <c r="K101" s="115">
        <v>1</v>
      </c>
      <c r="L101" s="115" t="s">
        <v>90</v>
      </c>
      <c r="M101" s="74">
        <f t="shared" si="10"/>
        <v>0</v>
      </c>
      <c r="N101" s="47">
        <f t="shared" si="9"/>
        <v>0</v>
      </c>
      <c r="O101" s="25" t="s">
        <v>214</v>
      </c>
      <c r="P101" s="211" t="s">
        <v>243</v>
      </c>
      <c r="Q101" s="94" t="s">
        <v>244</v>
      </c>
    </row>
    <row r="102" spans="1:17" x14ac:dyDescent="0.25">
      <c r="C102" s="61" t="s">
        <v>264</v>
      </c>
      <c r="D102" s="135" t="s">
        <v>265</v>
      </c>
      <c r="E102" s="60"/>
      <c r="F102" s="60"/>
      <c r="G102" s="44" t="s">
        <v>266</v>
      </c>
      <c r="H102" s="44" t="s">
        <v>213</v>
      </c>
      <c r="I102" s="44" t="s">
        <v>29</v>
      </c>
      <c r="J102" s="67">
        <v>23.78</v>
      </c>
      <c r="K102" s="115">
        <v>1</v>
      </c>
      <c r="L102" s="115" t="s">
        <v>90</v>
      </c>
      <c r="M102" s="74">
        <f t="shared" si="10"/>
        <v>0</v>
      </c>
      <c r="N102" s="47">
        <f t="shared" si="9"/>
        <v>0</v>
      </c>
      <c r="O102" s="25" t="s">
        <v>214</v>
      </c>
      <c r="P102" s="211" t="s">
        <v>243</v>
      </c>
      <c r="Q102" s="94" t="s">
        <v>244</v>
      </c>
    </row>
    <row r="103" spans="1:17" x14ac:dyDescent="0.25">
      <c r="C103" s="61" t="s">
        <v>269</v>
      </c>
      <c r="D103" s="135" t="s">
        <v>270</v>
      </c>
      <c r="E103" s="60"/>
      <c r="F103" s="60"/>
      <c r="G103" s="44" t="s">
        <v>271</v>
      </c>
      <c r="H103" s="44" t="s">
        <v>213</v>
      </c>
      <c r="I103" s="44" t="s">
        <v>29</v>
      </c>
      <c r="J103" s="67">
        <v>23.78</v>
      </c>
      <c r="K103" s="115">
        <v>1</v>
      </c>
      <c r="L103" s="115" t="s">
        <v>90</v>
      </c>
      <c r="M103" s="74">
        <f t="shared" si="10"/>
        <v>0</v>
      </c>
      <c r="N103" s="47">
        <f t="shared" si="9"/>
        <v>0</v>
      </c>
      <c r="O103" s="25" t="s">
        <v>214</v>
      </c>
      <c r="P103" s="211" t="s">
        <v>243</v>
      </c>
      <c r="Q103" s="94" t="s">
        <v>244</v>
      </c>
    </row>
    <row r="104" spans="1:17" x14ac:dyDescent="0.25">
      <c r="C104" s="61" t="s">
        <v>274</v>
      </c>
      <c r="D104" s="135" t="s">
        <v>275</v>
      </c>
      <c r="E104" s="60"/>
      <c r="F104" s="60"/>
      <c r="G104" s="44" t="s">
        <v>276</v>
      </c>
      <c r="H104" s="44" t="s">
        <v>213</v>
      </c>
      <c r="I104" s="44" t="s">
        <v>29</v>
      </c>
      <c r="J104" s="67">
        <v>23.78</v>
      </c>
      <c r="K104" s="115">
        <v>1</v>
      </c>
      <c r="L104" s="115" t="s">
        <v>90</v>
      </c>
      <c r="M104" s="74">
        <f t="shared" si="10"/>
        <v>0</v>
      </c>
      <c r="N104" s="47">
        <f t="shared" si="9"/>
        <v>0</v>
      </c>
      <c r="O104" s="25" t="s">
        <v>214</v>
      </c>
      <c r="P104" s="211" t="s">
        <v>243</v>
      </c>
      <c r="Q104" s="94" t="s">
        <v>244</v>
      </c>
    </row>
    <row r="105" spans="1:17" x14ac:dyDescent="0.25">
      <c r="C105" s="61" t="s">
        <v>259</v>
      </c>
      <c r="D105" s="135" t="s">
        <v>260</v>
      </c>
      <c r="E105" s="60"/>
      <c r="F105" s="60"/>
      <c r="G105" s="44" t="s">
        <v>261</v>
      </c>
      <c r="H105" s="44" t="s">
        <v>213</v>
      </c>
      <c r="I105" s="44" t="s">
        <v>29</v>
      </c>
      <c r="J105" s="67">
        <v>34.700000000000003</v>
      </c>
      <c r="K105" s="115">
        <v>1</v>
      </c>
      <c r="L105" s="115" t="s">
        <v>90</v>
      </c>
      <c r="M105" s="74">
        <f t="shared" si="10"/>
        <v>0</v>
      </c>
      <c r="N105" s="47">
        <f t="shared" si="9"/>
        <v>0</v>
      </c>
      <c r="O105" s="25" t="s">
        <v>214</v>
      </c>
      <c r="P105" s="211" t="s">
        <v>243</v>
      </c>
      <c r="Q105" s="94" t="s">
        <v>244</v>
      </c>
    </row>
    <row r="106" spans="1:17" x14ac:dyDescent="0.25">
      <c r="C106" s="18"/>
      <c r="D106" s="140"/>
      <c r="E106" s="21"/>
      <c r="F106" s="21"/>
      <c r="G106" s="22"/>
      <c r="H106" s="75"/>
      <c r="I106" s="75"/>
      <c r="J106" s="39"/>
      <c r="K106" s="104"/>
      <c r="L106" s="104"/>
      <c r="M106" s="20"/>
      <c r="N106" s="47"/>
      <c r="O106" s="52"/>
    </row>
    <row r="107" spans="1:17" x14ac:dyDescent="0.25">
      <c r="C107" s="36" t="s">
        <v>277</v>
      </c>
      <c r="D107" s="141"/>
      <c r="E107" s="76"/>
      <c r="F107" s="76"/>
      <c r="G107" s="38"/>
      <c r="H107" s="38"/>
      <c r="I107" s="38"/>
      <c r="J107" s="39"/>
      <c r="K107" s="104"/>
      <c r="L107" s="104"/>
      <c r="M107" s="40"/>
      <c r="N107" s="47"/>
      <c r="O107" s="15">
        <f>SUM(N108:N119)</f>
        <v>0</v>
      </c>
    </row>
    <row r="108" spans="1:17" x14ac:dyDescent="0.25">
      <c r="A108" s="149" t="s">
        <v>278</v>
      </c>
      <c r="C108" s="42" t="s">
        <v>279</v>
      </c>
      <c r="D108" s="135" t="s">
        <v>280</v>
      </c>
      <c r="E108" s="77"/>
      <c r="F108" s="44" t="s">
        <v>281</v>
      </c>
      <c r="G108" s="44">
        <v>1071153</v>
      </c>
      <c r="H108" s="44" t="s">
        <v>282</v>
      </c>
      <c r="I108" s="44" t="s">
        <v>283</v>
      </c>
      <c r="J108" s="49">
        <v>9.6999999999999993</v>
      </c>
      <c r="K108" s="105"/>
      <c r="L108" s="105"/>
      <c r="M108" s="46"/>
      <c r="N108" s="47">
        <f t="shared" ref="N108:N118" si="11">J108*M108</f>
        <v>0</v>
      </c>
      <c r="O108" s="25" t="s">
        <v>284</v>
      </c>
      <c r="P108" s="211" t="s">
        <v>285</v>
      </c>
      <c r="Q108" s="94" t="s">
        <v>286</v>
      </c>
    </row>
    <row r="109" spans="1:17" x14ac:dyDescent="0.25">
      <c r="C109" s="53" t="s">
        <v>287</v>
      </c>
      <c r="D109" s="95" t="s">
        <v>288</v>
      </c>
      <c r="E109" s="79"/>
      <c r="F109" s="175" t="s">
        <v>289</v>
      </c>
      <c r="G109" s="175">
        <v>1012720</v>
      </c>
      <c r="H109" s="55" t="s">
        <v>282</v>
      </c>
      <c r="I109" s="44" t="s">
        <v>283</v>
      </c>
      <c r="J109" s="49">
        <v>1.5</v>
      </c>
      <c r="K109" s="105"/>
      <c r="L109" s="105"/>
      <c r="M109" s="74">
        <f>M108</f>
        <v>0</v>
      </c>
      <c r="N109" s="47">
        <f t="shared" si="11"/>
        <v>0</v>
      </c>
      <c r="O109" s="25" t="s">
        <v>284</v>
      </c>
      <c r="P109" s="211" t="s">
        <v>285</v>
      </c>
      <c r="Q109" s="94" t="s">
        <v>286</v>
      </c>
    </row>
    <row r="110" spans="1:17" x14ac:dyDescent="0.25">
      <c r="A110" s="149" t="s">
        <v>290</v>
      </c>
      <c r="C110" s="42" t="s">
        <v>291</v>
      </c>
      <c r="D110" s="142" t="s">
        <v>43</v>
      </c>
      <c r="E110" s="60"/>
      <c r="F110" s="44" t="s">
        <v>292</v>
      </c>
      <c r="G110" s="44">
        <v>1065899</v>
      </c>
      <c r="H110" s="44" t="s">
        <v>282</v>
      </c>
      <c r="I110" s="44" t="s">
        <v>283</v>
      </c>
      <c r="J110" s="49">
        <v>33.5</v>
      </c>
      <c r="K110" s="105"/>
      <c r="L110" s="105"/>
      <c r="M110" s="46"/>
      <c r="N110" s="47">
        <f>J110*M110</f>
        <v>0</v>
      </c>
      <c r="O110" s="25" t="s">
        <v>284</v>
      </c>
      <c r="P110" s="211" t="s">
        <v>285</v>
      </c>
      <c r="Q110" s="94" t="s">
        <v>286</v>
      </c>
    </row>
    <row r="111" spans="1:17" x14ac:dyDescent="0.25">
      <c r="A111" s="152" t="s">
        <v>293</v>
      </c>
      <c r="C111" s="42" t="s">
        <v>294</v>
      </c>
      <c r="D111" s="142" t="s">
        <v>295</v>
      </c>
      <c r="E111" s="60"/>
      <c r="F111" s="44" t="s">
        <v>296</v>
      </c>
      <c r="G111" s="44">
        <v>1218666</v>
      </c>
      <c r="H111" s="44" t="s">
        <v>282</v>
      </c>
      <c r="I111" s="44" t="s">
        <v>283</v>
      </c>
      <c r="J111" s="49">
        <v>28.2</v>
      </c>
      <c r="K111" s="105"/>
      <c r="L111" s="105"/>
      <c r="M111" s="46"/>
      <c r="N111" s="47">
        <f t="shared" si="11"/>
        <v>0</v>
      </c>
      <c r="O111" s="25" t="s">
        <v>284</v>
      </c>
      <c r="P111" s="211" t="s">
        <v>285</v>
      </c>
      <c r="Q111" s="94" t="s">
        <v>286</v>
      </c>
    </row>
    <row r="112" spans="1:17" x14ac:dyDescent="0.25">
      <c r="A112" s="149" t="s">
        <v>297</v>
      </c>
      <c r="C112" s="53" t="s">
        <v>298</v>
      </c>
      <c r="D112" s="43" t="s">
        <v>299</v>
      </c>
      <c r="E112" s="78"/>
      <c r="F112" s="55" t="s">
        <v>300</v>
      </c>
      <c r="G112" s="55">
        <v>1025502</v>
      </c>
      <c r="H112" s="55" t="s">
        <v>282</v>
      </c>
      <c r="I112" s="44" t="s">
        <v>283</v>
      </c>
      <c r="J112" s="49">
        <v>260.7</v>
      </c>
      <c r="K112" s="105"/>
      <c r="L112" s="105"/>
      <c r="M112" s="46"/>
      <c r="N112" s="47">
        <f>J112*M112</f>
        <v>0</v>
      </c>
      <c r="O112" s="25" t="s">
        <v>284</v>
      </c>
      <c r="P112" s="211" t="s">
        <v>285</v>
      </c>
      <c r="Q112" s="94" t="s">
        <v>286</v>
      </c>
    </row>
    <row r="113" spans="1:17" x14ac:dyDescent="0.25">
      <c r="A113" s="152" t="s">
        <v>301</v>
      </c>
      <c r="C113" s="53" t="s">
        <v>302</v>
      </c>
      <c r="D113" s="43"/>
      <c r="E113" s="78"/>
      <c r="F113" s="55"/>
      <c r="G113" s="55"/>
      <c r="H113" s="55" t="s">
        <v>282</v>
      </c>
      <c r="I113" s="44" t="s">
        <v>283</v>
      </c>
      <c r="J113" s="49">
        <v>14.85</v>
      </c>
      <c r="K113" s="105"/>
      <c r="L113" s="105"/>
      <c r="M113" s="46"/>
      <c r="N113" s="47">
        <f t="shared" si="11"/>
        <v>0</v>
      </c>
      <c r="O113" s="25" t="s">
        <v>284</v>
      </c>
      <c r="P113" s="211" t="s">
        <v>285</v>
      </c>
      <c r="Q113" s="94" t="s">
        <v>286</v>
      </c>
    </row>
    <row r="114" spans="1:17" x14ac:dyDescent="0.25">
      <c r="A114" s="149" t="s">
        <v>303</v>
      </c>
      <c r="C114" s="53" t="s">
        <v>304</v>
      </c>
      <c r="D114" s="43"/>
      <c r="E114" s="78"/>
      <c r="F114" s="55" t="s">
        <v>305</v>
      </c>
      <c r="G114" s="55"/>
      <c r="H114" s="55" t="s">
        <v>282</v>
      </c>
      <c r="I114" s="44" t="s">
        <v>283</v>
      </c>
      <c r="J114" s="49">
        <v>6.95</v>
      </c>
      <c r="K114" s="105"/>
      <c r="L114" s="105"/>
      <c r="M114" s="46"/>
      <c r="N114" s="47">
        <f t="shared" si="11"/>
        <v>0</v>
      </c>
      <c r="O114" s="25" t="s">
        <v>284</v>
      </c>
      <c r="P114" s="211" t="s">
        <v>285</v>
      </c>
      <c r="Q114" s="94" t="s">
        <v>286</v>
      </c>
    </row>
    <row r="115" spans="1:17" x14ac:dyDescent="0.25">
      <c r="A115" s="152" t="s">
        <v>306</v>
      </c>
      <c r="C115" s="53" t="s">
        <v>307</v>
      </c>
      <c r="D115" s="43"/>
      <c r="E115" s="78"/>
      <c r="F115" s="55" t="s">
        <v>308</v>
      </c>
      <c r="G115" s="55"/>
      <c r="H115" s="55" t="s">
        <v>213</v>
      </c>
      <c r="I115" s="44" t="s">
        <v>29</v>
      </c>
      <c r="J115" s="49">
        <v>0</v>
      </c>
      <c r="K115" s="105"/>
      <c r="L115" s="105"/>
      <c r="M115" s="52"/>
      <c r="N115" s="47">
        <f>J115*M115</f>
        <v>0</v>
      </c>
      <c r="O115" s="80"/>
      <c r="P115" s="211" t="s">
        <v>285</v>
      </c>
      <c r="Q115" s="94" t="s">
        <v>286</v>
      </c>
    </row>
    <row r="116" spans="1:17" x14ac:dyDescent="0.25">
      <c r="A116" s="152" t="s">
        <v>309</v>
      </c>
      <c r="C116" s="53" t="s">
        <v>310</v>
      </c>
      <c r="D116" s="43"/>
      <c r="E116" s="78"/>
      <c r="F116" s="55" t="s">
        <v>311</v>
      </c>
      <c r="G116" s="55"/>
      <c r="H116" s="55" t="s">
        <v>213</v>
      </c>
      <c r="I116" s="44" t="s">
        <v>29</v>
      </c>
      <c r="J116" s="49">
        <v>0</v>
      </c>
      <c r="K116" s="105"/>
      <c r="L116" s="105"/>
      <c r="M116" s="52"/>
      <c r="N116" s="47">
        <f>J116*M116</f>
        <v>0</v>
      </c>
      <c r="O116" s="80"/>
      <c r="P116" s="211" t="s">
        <v>285</v>
      </c>
      <c r="Q116" s="94" t="s">
        <v>286</v>
      </c>
    </row>
    <row r="117" spans="1:17" x14ac:dyDescent="0.25">
      <c r="A117" s="152" t="s">
        <v>312</v>
      </c>
      <c r="C117" s="53" t="s">
        <v>313</v>
      </c>
      <c r="D117" s="43" t="s">
        <v>314</v>
      </c>
      <c r="E117" s="78"/>
      <c r="F117" s="78"/>
      <c r="G117" s="55" t="s">
        <v>315</v>
      </c>
      <c r="H117" s="55" t="s">
        <v>213</v>
      </c>
      <c r="I117" s="44" t="s">
        <v>29</v>
      </c>
      <c r="J117" s="45">
        <v>20.11</v>
      </c>
      <c r="K117" s="109">
        <v>1</v>
      </c>
      <c r="L117" s="115" t="s">
        <v>90</v>
      </c>
      <c r="M117" s="46"/>
      <c r="N117" s="47">
        <f t="shared" si="11"/>
        <v>0</v>
      </c>
      <c r="O117" s="25" t="s">
        <v>214</v>
      </c>
      <c r="P117" s="26" t="s">
        <v>316</v>
      </c>
      <c r="Q117" s="94" t="s">
        <v>317</v>
      </c>
    </row>
    <row r="118" spans="1:17" x14ac:dyDescent="0.25">
      <c r="A118" s="149" t="s">
        <v>323</v>
      </c>
      <c r="C118" s="176" t="s">
        <v>324</v>
      </c>
      <c r="D118" s="95" t="s">
        <v>325</v>
      </c>
      <c r="E118" s="78"/>
      <c r="F118" s="176" t="s">
        <v>326</v>
      </c>
      <c r="G118" s="175">
        <v>54630</v>
      </c>
      <c r="H118" s="177" t="s">
        <v>327</v>
      </c>
      <c r="I118" s="44" t="s">
        <v>29</v>
      </c>
      <c r="J118" s="45">
        <v>288.3</v>
      </c>
      <c r="K118" s="109">
        <f>85/5</f>
        <v>17</v>
      </c>
      <c r="L118" s="115" t="s">
        <v>90</v>
      </c>
      <c r="M118" s="46"/>
      <c r="N118" s="47">
        <f t="shared" si="11"/>
        <v>0</v>
      </c>
      <c r="O118" s="25" t="s">
        <v>214</v>
      </c>
      <c r="P118" s="211" t="s">
        <v>322</v>
      </c>
      <c r="Q118" s="94" t="s">
        <v>328</v>
      </c>
    </row>
    <row r="119" spans="1:17" x14ac:dyDescent="0.25">
      <c r="C119" s="42"/>
      <c r="D119" s="135"/>
      <c r="E119" s="60"/>
      <c r="F119" s="60"/>
      <c r="G119" s="44"/>
      <c r="H119" s="44"/>
      <c r="I119" s="44"/>
      <c r="J119" s="39"/>
      <c r="K119" s="104"/>
      <c r="L119" s="104"/>
      <c r="M119" s="46"/>
      <c r="N119" s="47"/>
      <c r="O119" s="80"/>
    </row>
    <row r="120" spans="1:17" x14ac:dyDescent="0.25">
      <c r="C120" s="36" t="s">
        <v>329</v>
      </c>
      <c r="D120" s="141"/>
      <c r="E120" s="76"/>
      <c r="F120" s="76"/>
      <c r="G120" s="38"/>
      <c r="H120" s="38"/>
      <c r="I120" s="38"/>
      <c r="J120" s="39"/>
      <c r="K120" s="104"/>
      <c r="L120" s="104"/>
      <c r="M120" s="40"/>
      <c r="N120" s="47"/>
      <c r="O120" s="15">
        <f>SUM(N121:N133)</f>
        <v>1643.7199999999998</v>
      </c>
    </row>
    <row r="121" spans="1:17" x14ac:dyDescent="0.25">
      <c r="A121" s="149" t="s">
        <v>349</v>
      </c>
      <c r="C121" s="42" t="s">
        <v>350</v>
      </c>
      <c r="D121" s="135" t="s">
        <v>351</v>
      </c>
      <c r="E121" s="60"/>
      <c r="F121" s="60" t="s">
        <v>352</v>
      </c>
      <c r="G121" s="44"/>
      <c r="H121" s="44" t="s">
        <v>213</v>
      </c>
      <c r="I121" s="44" t="s">
        <v>29</v>
      </c>
      <c r="J121" s="45">
        <v>521.95000000000005</v>
      </c>
      <c r="K121" s="109">
        <f t="shared" ref="K121:K128" si="12">85/5</f>
        <v>17</v>
      </c>
      <c r="L121" s="109" t="s">
        <v>353</v>
      </c>
      <c r="M121" s="148"/>
      <c r="N121" s="47">
        <f t="shared" ref="N121:N132" si="13">J121*M121</f>
        <v>0</v>
      </c>
      <c r="O121" s="24" t="s">
        <v>354</v>
      </c>
      <c r="P121" s="211" t="s">
        <v>355</v>
      </c>
      <c r="Q121" s="94" t="s">
        <v>648</v>
      </c>
    </row>
    <row r="122" spans="1:17" x14ac:dyDescent="0.25">
      <c r="A122" s="152" t="s">
        <v>356</v>
      </c>
      <c r="C122" s="42" t="s">
        <v>357</v>
      </c>
      <c r="D122" s="135" t="s">
        <v>358</v>
      </c>
      <c r="E122" s="60"/>
      <c r="F122" s="60" t="s">
        <v>359</v>
      </c>
      <c r="G122" s="44"/>
      <c r="H122" s="44" t="s">
        <v>213</v>
      </c>
      <c r="I122" s="44" t="s">
        <v>29</v>
      </c>
      <c r="J122" s="45">
        <v>552.54999999999995</v>
      </c>
      <c r="K122" s="109">
        <f t="shared" si="12"/>
        <v>17</v>
      </c>
      <c r="L122" s="109" t="s">
        <v>353</v>
      </c>
      <c r="M122" s="148"/>
      <c r="N122" s="47">
        <f t="shared" si="13"/>
        <v>0</v>
      </c>
      <c r="O122" s="24" t="s">
        <v>354</v>
      </c>
      <c r="P122" s="211" t="s">
        <v>355</v>
      </c>
      <c r="Q122" s="94" t="s">
        <v>649</v>
      </c>
    </row>
    <row r="123" spans="1:17" x14ac:dyDescent="0.25">
      <c r="A123" s="149" t="s">
        <v>360</v>
      </c>
      <c r="C123" s="42" t="s">
        <v>361</v>
      </c>
      <c r="D123" s="135" t="s">
        <v>362</v>
      </c>
      <c r="E123" s="60"/>
      <c r="F123" s="60" t="s">
        <v>363</v>
      </c>
      <c r="G123" s="44"/>
      <c r="H123" s="44" t="s">
        <v>213</v>
      </c>
      <c r="I123" s="44" t="s">
        <v>29</v>
      </c>
      <c r="J123" s="45">
        <v>583.16</v>
      </c>
      <c r="K123" s="109">
        <f t="shared" si="12"/>
        <v>17</v>
      </c>
      <c r="L123" s="109" t="s">
        <v>353</v>
      </c>
      <c r="M123" s="148"/>
      <c r="N123" s="47">
        <f t="shared" si="13"/>
        <v>0</v>
      </c>
      <c r="O123" s="24" t="s">
        <v>354</v>
      </c>
      <c r="P123" s="211" t="s">
        <v>355</v>
      </c>
      <c r="Q123" s="94" t="s">
        <v>650</v>
      </c>
    </row>
    <row r="124" spans="1:17" x14ac:dyDescent="0.25">
      <c r="A124" s="152" t="s">
        <v>364</v>
      </c>
      <c r="C124" s="42" t="s">
        <v>365</v>
      </c>
      <c r="D124" s="135" t="s">
        <v>366</v>
      </c>
      <c r="E124" s="60"/>
      <c r="F124" s="60" t="s">
        <v>367</v>
      </c>
      <c r="G124" s="44"/>
      <c r="H124" s="44" t="s">
        <v>213</v>
      </c>
      <c r="I124" s="44" t="s">
        <v>29</v>
      </c>
      <c r="J124" s="45">
        <v>648.98</v>
      </c>
      <c r="K124" s="109">
        <f t="shared" si="12"/>
        <v>17</v>
      </c>
      <c r="L124" s="109" t="s">
        <v>353</v>
      </c>
      <c r="M124" s="148"/>
      <c r="N124" s="47">
        <f t="shared" si="13"/>
        <v>0</v>
      </c>
      <c r="O124" s="24" t="s">
        <v>354</v>
      </c>
      <c r="P124" s="211" t="s">
        <v>355</v>
      </c>
      <c r="Q124" s="94" t="s">
        <v>651</v>
      </c>
    </row>
    <row r="125" spans="1:17" x14ac:dyDescent="0.25">
      <c r="A125" s="149" t="s">
        <v>368</v>
      </c>
      <c r="C125" s="42" t="s">
        <v>369</v>
      </c>
      <c r="D125" s="135" t="s">
        <v>370</v>
      </c>
      <c r="E125" s="60"/>
      <c r="F125" s="60" t="s">
        <v>371</v>
      </c>
      <c r="G125" s="44"/>
      <c r="H125" s="44" t="s">
        <v>213</v>
      </c>
      <c r="I125" s="44" t="s">
        <v>29</v>
      </c>
      <c r="J125" s="45">
        <v>703.12</v>
      </c>
      <c r="K125" s="109">
        <f t="shared" si="12"/>
        <v>17</v>
      </c>
      <c r="L125" s="109" t="s">
        <v>353</v>
      </c>
      <c r="M125" s="148"/>
      <c r="N125" s="47">
        <f t="shared" si="13"/>
        <v>0</v>
      </c>
      <c r="O125" s="24" t="s">
        <v>354</v>
      </c>
      <c r="P125" s="211" t="s">
        <v>355</v>
      </c>
      <c r="Q125" s="94" t="s">
        <v>652</v>
      </c>
    </row>
    <row r="126" spans="1:17" x14ac:dyDescent="0.25">
      <c r="A126" s="152" t="s">
        <v>372</v>
      </c>
      <c r="C126" s="42" t="s">
        <v>373</v>
      </c>
      <c r="D126" s="135" t="s">
        <v>374</v>
      </c>
      <c r="E126" s="60"/>
      <c r="F126" s="60" t="s">
        <v>375</v>
      </c>
      <c r="G126" s="44"/>
      <c r="H126" s="44" t="s">
        <v>213</v>
      </c>
      <c r="I126" s="44" t="s">
        <v>29</v>
      </c>
      <c r="J126" s="45">
        <v>790.22</v>
      </c>
      <c r="K126" s="109">
        <f t="shared" si="12"/>
        <v>17</v>
      </c>
      <c r="L126" s="109" t="s">
        <v>353</v>
      </c>
      <c r="M126" s="148"/>
      <c r="N126" s="47">
        <f t="shared" si="13"/>
        <v>0</v>
      </c>
      <c r="O126" s="24" t="s">
        <v>354</v>
      </c>
      <c r="P126" s="211" t="s">
        <v>355</v>
      </c>
      <c r="Q126" s="94" t="s">
        <v>653</v>
      </c>
    </row>
    <row r="127" spans="1:17" x14ac:dyDescent="0.25">
      <c r="A127" s="152" t="s">
        <v>376</v>
      </c>
      <c r="C127" s="42" t="s">
        <v>377</v>
      </c>
      <c r="D127" s="135" t="s">
        <v>378</v>
      </c>
      <c r="E127" s="60"/>
      <c r="F127" s="60" t="s">
        <v>379</v>
      </c>
      <c r="G127" s="44"/>
      <c r="H127" s="44" t="s">
        <v>213</v>
      </c>
      <c r="I127" s="44" t="s">
        <v>29</v>
      </c>
      <c r="J127" s="45">
        <v>926.66</v>
      </c>
      <c r="K127" s="109">
        <f t="shared" si="12"/>
        <v>17</v>
      </c>
      <c r="L127" s="109" t="s">
        <v>353</v>
      </c>
      <c r="M127" s="148"/>
      <c r="N127" s="47">
        <f t="shared" si="13"/>
        <v>0</v>
      </c>
      <c r="O127" s="24" t="s">
        <v>354</v>
      </c>
      <c r="P127" s="211" t="s">
        <v>355</v>
      </c>
      <c r="Q127" s="94" t="s">
        <v>655</v>
      </c>
    </row>
    <row r="128" spans="1:17" x14ac:dyDescent="0.25">
      <c r="A128" s="149" t="s">
        <v>380</v>
      </c>
      <c r="C128" s="42" t="s">
        <v>381</v>
      </c>
      <c r="D128" s="135" t="s">
        <v>382</v>
      </c>
      <c r="E128" s="60"/>
      <c r="F128" s="60" t="s">
        <v>383</v>
      </c>
      <c r="G128" s="44"/>
      <c r="H128" s="44" t="s">
        <v>213</v>
      </c>
      <c r="I128" s="44" t="s">
        <v>29</v>
      </c>
      <c r="J128" s="45">
        <v>1100.8699999999999</v>
      </c>
      <c r="K128" s="109">
        <f t="shared" si="12"/>
        <v>17</v>
      </c>
      <c r="L128" s="109" t="s">
        <v>353</v>
      </c>
      <c r="M128" s="148"/>
      <c r="N128" s="47">
        <f t="shared" si="13"/>
        <v>0</v>
      </c>
      <c r="O128" s="24" t="s">
        <v>354</v>
      </c>
      <c r="P128" s="211" t="s">
        <v>355</v>
      </c>
      <c r="Q128" s="94" t="s">
        <v>656</v>
      </c>
    </row>
    <row r="129" spans="1:17" x14ac:dyDescent="0.25">
      <c r="C129" s="42" t="s">
        <v>384</v>
      </c>
      <c r="D129" s="142" t="s">
        <v>385</v>
      </c>
      <c r="E129" s="42"/>
      <c r="F129" s="178" t="s">
        <v>386</v>
      </c>
      <c r="G129" s="44"/>
      <c r="H129" s="44" t="s">
        <v>213</v>
      </c>
      <c r="I129" s="44" t="s">
        <v>29</v>
      </c>
      <c r="J129" s="45">
        <v>148.85</v>
      </c>
      <c r="K129" s="109">
        <f>15/5</f>
        <v>3</v>
      </c>
      <c r="L129" s="109" t="s">
        <v>353</v>
      </c>
      <c r="M129" s="83">
        <v>5</v>
      </c>
      <c r="N129" s="47">
        <f t="shared" si="13"/>
        <v>744.25</v>
      </c>
      <c r="O129" s="24" t="s">
        <v>354</v>
      </c>
      <c r="P129" s="211" t="s">
        <v>355</v>
      </c>
      <c r="Q129" s="94" t="s">
        <v>384</v>
      </c>
    </row>
    <row r="130" spans="1:17" x14ac:dyDescent="0.25">
      <c r="C130" s="42" t="s">
        <v>387</v>
      </c>
      <c r="D130" s="142" t="s">
        <v>388</v>
      </c>
      <c r="E130" s="42"/>
      <c r="F130" s="179" t="s">
        <v>389</v>
      </c>
      <c r="G130" s="44"/>
      <c r="H130" s="44" t="s">
        <v>213</v>
      </c>
      <c r="I130" s="44" t="s">
        <v>29</v>
      </c>
      <c r="J130" s="45">
        <v>192.63</v>
      </c>
      <c r="K130" s="109">
        <f>15/5</f>
        <v>3</v>
      </c>
      <c r="L130" s="109" t="s">
        <v>353</v>
      </c>
      <c r="M130" s="83">
        <v>3</v>
      </c>
      <c r="N130" s="47">
        <f t="shared" si="13"/>
        <v>577.89</v>
      </c>
      <c r="O130" s="24" t="s">
        <v>354</v>
      </c>
      <c r="P130" s="211" t="s">
        <v>355</v>
      </c>
      <c r="Q130" s="94" t="s">
        <v>387</v>
      </c>
    </row>
    <row r="131" spans="1:17" x14ac:dyDescent="0.25">
      <c r="C131" s="42" t="s">
        <v>390</v>
      </c>
      <c r="D131" s="142" t="s">
        <v>391</v>
      </c>
      <c r="E131" s="42"/>
      <c r="F131" s="178" t="s">
        <v>392</v>
      </c>
      <c r="G131" s="44"/>
      <c r="H131" s="44" t="s">
        <v>213</v>
      </c>
      <c r="I131" s="44" t="s">
        <v>29</v>
      </c>
      <c r="J131" s="45">
        <v>160.79</v>
      </c>
      <c r="K131" s="109">
        <f>15/5</f>
        <v>3</v>
      </c>
      <c r="L131" s="109" t="s">
        <v>353</v>
      </c>
      <c r="M131" s="83">
        <v>2</v>
      </c>
      <c r="N131" s="47">
        <f t="shared" si="13"/>
        <v>321.58</v>
      </c>
      <c r="O131" s="24" t="s">
        <v>354</v>
      </c>
      <c r="P131" s="211" t="s">
        <v>355</v>
      </c>
      <c r="Q131" s="94" t="s">
        <v>390</v>
      </c>
    </row>
    <row r="132" spans="1:17" x14ac:dyDescent="0.25">
      <c r="C132" s="42" t="s">
        <v>393</v>
      </c>
      <c r="D132" s="142" t="s">
        <v>388</v>
      </c>
      <c r="E132" s="42"/>
      <c r="F132" s="178" t="s">
        <v>394</v>
      </c>
      <c r="G132" s="44"/>
      <c r="H132" s="44" t="s">
        <v>213</v>
      </c>
      <c r="I132" s="44" t="s">
        <v>29</v>
      </c>
      <c r="J132" s="45">
        <v>212.52999999999997</v>
      </c>
      <c r="K132" s="109">
        <f>85/5</f>
        <v>17</v>
      </c>
      <c r="L132" s="109" t="s">
        <v>353</v>
      </c>
      <c r="M132" s="83">
        <v>0</v>
      </c>
      <c r="N132" s="47">
        <f t="shared" si="13"/>
        <v>0</v>
      </c>
      <c r="O132" s="24" t="s">
        <v>354</v>
      </c>
      <c r="P132" s="211" t="s">
        <v>355</v>
      </c>
      <c r="Q132" s="94" t="s">
        <v>393</v>
      </c>
    </row>
    <row r="133" spans="1:17" x14ac:dyDescent="0.25">
      <c r="C133" s="42"/>
      <c r="D133" s="128"/>
      <c r="E133" s="50"/>
      <c r="F133" s="50"/>
      <c r="G133" s="44"/>
      <c r="H133" s="44"/>
      <c r="I133" s="44"/>
      <c r="J133" s="51"/>
      <c r="K133" s="106"/>
      <c r="L133" s="106"/>
      <c r="M133" s="46"/>
      <c r="N133" s="47"/>
      <c r="O133" s="52"/>
    </row>
    <row r="134" spans="1:17" x14ac:dyDescent="0.25">
      <c r="C134" s="36" t="s">
        <v>395</v>
      </c>
      <c r="D134" s="129"/>
      <c r="E134" s="37"/>
      <c r="F134" s="37"/>
      <c r="G134" s="38"/>
      <c r="H134" s="38"/>
      <c r="I134" s="38"/>
      <c r="J134" s="39"/>
      <c r="K134" s="104"/>
      <c r="L134" s="104"/>
      <c r="M134" s="40"/>
      <c r="N134" s="47"/>
      <c r="O134" s="52"/>
    </row>
    <row r="135" spans="1:17" x14ac:dyDescent="0.25">
      <c r="C135" s="157" t="s">
        <v>396</v>
      </c>
      <c r="D135" s="141"/>
      <c r="E135" s="76"/>
      <c r="F135" s="76"/>
      <c r="G135" s="38"/>
      <c r="H135" s="44"/>
      <c r="I135" s="44"/>
      <c r="J135" s="51"/>
      <c r="K135" s="106"/>
      <c r="L135" s="106"/>
      <c r="M135" s="46"/>
      <c r="N135" s="47"/>
      <c r="O135" s="15">
        <f>SUM(N136:N141)</f>
        <v>0</v>
      </c>
    </row>
    <row r="136" spans="1:17" x14ac:dyDescent="0.25">
      <c r="A136" s="149" t="s">
        <v>397</v>
      </c>
      <c r="C136" s="61" t="s">
        <v>398</v>
      </c>
      <c r="D136" s="145" t="s">
        <v>399</v>
      </c>
      <c r="E136" s="60"/>
      <c r="F136" s="76"/>
      <c r="G136" s="44" t="s">
        <v>400</v>
      </c>
      <c r="H136" s="44" t="s">
        <v>213</v>
      </c>
      <c r="I136" s="44" t="s">
        <v>29</v>
      </c>
      <c r="J136" s="45">
        <v>368.9</v>
      </c>
      <c r="K136" s="109">
        <v>1</v>
      </c>
      <c r="L136" s="115" t="s">
        <v>90</v>
      </c>
      <c r="M136" s="46"/>
      <c r="N136" s="47">
        <f t="shared" ref="N136:N141" si="14">J136*M136</f>
        <v>0</v>
      </c>
      <c r="O136" s="25" t="s">
        <v>214</v>
      </c>
      <c r="P136" s="211" t="s">
        <v>401</v>
      </c>
      <c r="Q136" s="94" t="s">
        <v>645</v>
      </c>
    </row>
    <row r="137" spans="1:17" x14ac:dyDescent="0.25">
      <c r="C137" s="156" t="s">
        <v>403</v>
      </c>
      <c r="D137" s="145" t="s">
        <v>404</v>
      </c>
      <c r="E137" s="179" t="s">
        <v>405</v>
      </c>
      <c r="F137" s="42"/>
      <c r="G137" s="48" t="s">
        <v>406</v>
      </c>
      <c r="H137" s="44" t="s">
        <v>213</v>
      </c>
      <c r="I137" s="44" t="s">
        <v>29</v>
      </c>
      <c r="J137" s="45">
        <v>533.20000000000005</v>
      </c>
      <c r="K137" s="109">
        <v>8</v>
      </c>
      <c r="L137" s="115" t="s">
        <v>90</v>
      </c>
      <c r="M137" s="46">
        <f>M136</f>
        <v>0</v>
      </c>
      <c r="N137" s="47">
        <f t="shared" si="14"/>
        <v>0</v>
      </c>
      <c r="O137" s="25" t="s">
        <v>214</v>
      </c>
      <c r="P137" s="211" t="s">
        <v>401</v>
      </c>
      <c r="Q137" s="94" t="s">
        <v>646</v>
      </c>
    </row>
    <row r="138" spans="1:17" x14ac:dyDescent="0.25">
      <c r="C138" s="61" t="s">
        <v>408</v>
      </c>
      <c r="D138" s="135" t="s">
        <v>409</v>
      </c>
      <c r="E138" s="63"/>
      <c r="F138" s="84"/>
      <c r="G138" s="44" t="s">
        <v>410</v>
      </c>
      <c r="H138" s="44" t="s">
        <v>213</v>
      </c>
      <c r="I138" s="44" t="s">
        <v>29</v>
      </c>
      <c r="J138" s="45">
        <v>103.54</v>
      </c>
      <c r="K138" s="109">
        <v>1</v>
      </c>
      <c r="L138" s="115" t="s">
        <v>90</v>
      </c>
      <c r="M138" s="46">
        <f>M136</f>
        <v>0</v>
      </c>
      <c r="N138" s="47">
        <f t="shared" si="14"/>
        <v>0</v>
      </c>
      <c r="O138" s="25" t="s">
        <v>214</v>
      </c>
      <c r="P138" s="211" t="s">
        <v>401</v>
      </c>
      <c r="Q138" s="94" t="s">
        <v>647</v>
      </c>
    </row>
    <row r="139" spans="1:17" x14ac:dyDescent="0.25">
      <c r="A139" s="149" t="s">
        <v>411</v>
      </c>
      <c r="C139" s="61" t="s">
        <v>412</v>
      </c>
      <c r="D139" s="135" t="s">
        <v>413</v>
      </c>
      <c r="E139" s="63"/>
      <c r="F139" s="84"/>
      <c r="G139" s="44" t="s">
        <v>414</v>
      </c>
      <c r="H139" s="44" t="s">
        <v>213</v>
      </c>
      <c r="I139" s="44" t="s">
        <v>29</v>
      </c>
      <c r="J139" s="45">
        <v>5.8</v>
      </c>
      <c r="K139" s="109">
        <v>1</v>
      </c>
      <c r="L139" s="115" t="s">
        <v>90</v>
      </c>
      <c r="M139" s="46"/>
      <c r="N139" s="47">
        <f t="shared" si="14"/>
        <v>0</v>
      </c>
      <c r="O139" s="52" t="s">
        <v>415</v>
      </c>
      <c r="P139" s="26" t="s">
        <v>416</v>
      </c>
      <c r="Q139" s="94" t="s">
        <v>402</v>
      </c>
    </row>
    <row r="140" spans="1:17" x14ac:dyDescent="0.25">
      <c r="C140" s="61" t="s">
        <v>417</v>
      </c>
      <c r="D140" s="135" t="s">
        <v>418</v>
      </c>
      <c r="E140" s="63"/>
      <c r="F140" s="63"/>
      <c r="G140" s="44" t="s">
        <v>419</v>
      </c>
      <c r="H140" s="44" t="s">
        <v>213</v>
      </c>
      <c r="I140" s="44" t="s">
        <v>29</v>
      </c>
      <c r="J140" s="45">
        <v>1.99</v>
      </c>
      <c r="K140" s="109">
        <v>1</v>
      </c>
      <c r="L140" s="115" t="s">
        <v>90</v>
      </c>
      <c r="M140" s="46">
        <f>M139</f>
        <v>0</v>
      </c>
      <c r="N140" s="47">
        <f t="shared" si="14"/>
        <v>0</v>
      </c>
      <c r="O140" s="52" t="s">
        <v>415</v>
      </c>
      <c r="P140" s="26" t="s">
        <v>416</v>
      </c>
      <c r="Q140" s="94" t="s">
        <v>402</v>
      </c>
    </row>
    <row r="141" spans="1:17" x14ac:dyDescent="0.25">
      <c r="C141" s="61" t="s">
        <v>420</v>
      </c>
      <c r="D141" s="135" t="s">
        <v>421</v>
      </c>
      <c r="E141" s="63"/>
      <c r="F141" s="63"/>
      <c r="G141" s="44" t="s">
        <v>422</v>
      </c>
      <c r="H141" s="44" t="s">
        <v>213</v>
      </c>
      <c r="I141" s="44" t="s">
        <v>29</v>
      </c>
      <c r="J141" s="45">
        <v>1.95</v>
      </c>
      <c r="K141" s="109">
        <v>1</v>
      </c>
      <c r="L141" s="115" t="s">
        <v>90</v>
      </c>
      <c r="M141" s="46">
        <f>M139</f>
        <v>0</v>
      </c>
      <c r="N141" s="47">
        <f t="shared" si="14"/>
        <v>0</v>
      </c>
      <c r="O141" s="52" t="s">
        <v>415</v>
      </c>
      <c r="P141" s="26" t="s">
        <v>416</v>
      </c>
      <c r="Q141" s="94" t="s">
        <v>402</v>
      </c>
    </row>
    <row r="142" spans="1:17" x14ac:dyDescent="0.25">
      <c r="C142" s="254" t="s">
        <v>423</v>
      </c>
      <c r="D142" s="255"/>
      <c r="E142" s="182"/>
      <c r="F142" s="182"/>
      <c r="G142" s="85"/>
      <c r="H142" s="85"/>
      <c r="I142" s="85"/>
      <c r="J142" s="256"/>
      <c r="K142" s="257"/>
      <c r="L142" s="257"/>
      <c r="M142" s="258"/>
      <c r="N142" s="256"/>
      <c r="O142" s="259" t="e">
        <f>SUM(#REF!)</f>
        <v>#REF!</v>
      </c>
    </row>
    <row r="143" spans="1:17" x14ac:dyDescent="0.25">
      <c r="C143" s="254" t="s">
        <v>429</v>
      </c>
      <c r="D143" s="255"/>
      <c r="E143" s="182"/>
      <c r="F143" s="182"/>
      <c r="G143" s="85"/>
      <c r="H143" s="85"/>
      <c r="I143" s="85"/>
      <c r="J143" s="256"/>
      <c r="K143" s="257"/>
      <c r="L143" s="257"/>
      <c r="M143" s="258"/>
      <c r="N143" s="256"/>
      <c r="O143" s="259" t="e">
        <f>SUM(#REF!)</f>
        <v>#REF!</v>
      </c>
    </row>
    <row r="144" spans="1:17" x14ac:dyDescent="0.25">
      <c r="C144" s="254" t="s">
        <v>475</v>
      </c>
      <c r="D144" s="255"/>
      <c r="E144" s="182"/>
      <c r="F144" s="182"/>
      <c r="G144" s="85"/>
      <c r="H144" s="85"/>
      <c r="I144" s="85"/>
      <c r="J144" s="256"/>
      <c r="K144" s="257"/>
      <c r="L144" s="257"/>
      <c r="M144" s="258"/>
      <c r="N144" s="256"/>
      <c r="O144" s="259">
        <f>SUM(N145:N145)</f>
        <v>0</v>
      </c>
    </row>
    <row r="145" spans="1:17" x14ac:dyDescent="0.25">
      <c r="C145" s="42"/>
      <c r="D145" s="128"/>
      <c r="E145" s="50"/>
      <c r="F145" s="50"/>
      <c r="G145" s="44"/>
      <c r="H145" s="44"/>
      <c r="I145" s="44"/>
      <c r="J145" s="51"/>
      <c r="K145" s="106"/>
      <c r="L145" s="106"/>
      <c r="M145" s="46"/>
      <c r="N145" s="47"/>
      <c r="O145" s="52"/>
    </row>
    <row r="146" spans="1:17" x14ac:dyDescent="0.25">
      <c r="C146" s="36" t="s">
        <v>481</v>
      </c>
      <c r="D146" s="129"/>
      <c r="E146" s="37"/>
      <c r="F146" s="37"/>
      <c r="G146" s="86"/>
      <c r="H146" s="86"/>
      <c r="I146" s="86"/>
      <c r="J146" s="51"/>
      <c r="K146" s="106"/>
      <c r="L146" s="106"/>
      <c r="M146" s="52"/>
      <c r="N146" s="47"/>
      <c r="O146" s="15">
        <f>SUM(N147:N161)</f>
        <v>0</v>
      </c>
      <c r="Q146" s="30"/>
    </row>
    <row r="147" spans="1:17" x14ac:dyDescent="0.25">
      <c r="A147" s="52"/>
      <c r="C147" s="53" t="s">
        <v>482</v>
      </c>
      <c r="D147" s="95" t="s">
        <v>483</v>
      </c>
      <c r="E147" s="50"/>
      <c r="F147" s="50"/>
      <c r="G147" s="180" t="s">
        <v>484</v>
      </c>
      <c r="H147" s="53" t="s">
        <v>485</v>
      </c>
      <c r="I147" s="44" t="s">
        <v>29</v>
      </c>
      <c r="J147" s="45">
        <f>27.28*1.1</f>
        <v>30.008000000000003</v>
      </c>
      <c r="K147" s="109">
        <v>17</v>
      </c>
      <c r="L147" s="109" t="s">
        <v>353</v>
      </c>
      <c r="M147" s="46">
        <f>SUM(M25:M31)+M39+SUM(M121:M128)</f>
        <v>0</v>
      </c>
      <c r="N147" s="47">
        <f t="shared" ref="N147:N161" si="15">J147*M147</f>
        <v>0</v>
      </c>
      <c r="O147" s="16" t="s">
        <v>486</v>
      </c>
      <c r="P147" s="211" t="s">
        <v>355</v>
      </c>
      <c r="Q147" s="94" t="s">
        <v>487</v>
      </c>
    </row>
    <row r="148" spans="1:17" x14ac:dyDescent="0.25">
      <c r="A148" s="238" t="s">
        <v>700</v>
      </c>
      <c r="C148" s="53" t="s">
        <v>488</v>
      </c>
      <c r="D148" s="181" t="s">
        <v>489</v>
      </c>
      <c r="E148" s="179" t="s">
        <v>490</v>
      </c>
      <c r="F148" s="182"/>
      <c r="G148" s="175" t="s">
        <v>491</v>
      </c>
      <c r="H148" s="53" t="s">
        <v>485</v>
      </c>
      <c r="I148" s="44" t="s">
        <v>29</v>
      </c>
      <c r="J148" s="45">
        <f>52.89*1.1</f>
        <v>58.179000000000002</v>
      </c>
      <c r="K148" s="109">
        <f>90/5</f>
        <v>18</v>
      </c>
      <c r="L148" s="109" t="s">
        <v>353</v>
      </c>
      <c r="M148" s="46"/>
      <c r="N148" s="47">
        <f t="shared" si="15"/>
        <v>0</v>
      </c>
      <c r="O148" s="16" t="s">
        <v>492</v>
      </c>
      <c r="P148" s="211" t="s">
        <v>493</v>
      </c>
      <c r="Q148" s="94" t="s">
        <v>494</v>
      </c>
    </row>
    <row r="149" spans="1:17" x14ac:dyDescent="0.25">
      <c r="A149" s="238" t="s">
        <v>701</v>
      </c>
      <c r="C149" s="53" t="s">
        <v>495</v>
      </c>
      <c r="D149" s="181" t="s">
        <v>496</v>
      </c>
      <c r="E149" s="179" t="s">
        <v>497</v>
      </c>
      <c r="F149" s="182"/>
      <c r="G149" s="175" t="s">
        <v>498</v>
      </c>
      <c r="H149" s="53" t="s">
        <v>485</v>
      </c>
      <c r="I149" s="44" t="s">
        <v>29</v>
      </c>
      <c r="J149" s="45">
        <f>60.7214*1.1</f>
        <v>66.793540000000007</v>
      </c>
      <c r="K149" s="109">
        <f>90/5</f>
        <v>18</v>
      </c>
      <c r="L149" s="109" t="s">
        <v>353</v>
      </c>
      <c r="M149" s="46"/>
      <c r="N149" s="47">
        <f t="shared" si="15"/>
        <v>0</v>
      </c>
      <c r="O149" s="16" t="s">
        <v>499</v>
      </c>
      <c r="P149" s="211" t="s">
        <v>493</v>
      </c>
      <c r="Q149" s="94" t="s">
        <v>494</v>
      </c>
    </row>
    <row r="150" spans="1:17" x14ac:dyDescent="0.25">
      <c r="A150" s="238" t="s">
        <v>702</v>
      </c>
      <c r="C150" s="53" t="s">
        <v>500</v>
      </c>
      <c r="D150" s="181" t="s">
        <v>501</v>
      </c>
      <c r="E150" s="179" t="s">
        <v>502</v>
      </c>
      <c r="F150" s="182"/>
      <c r="G150" s="175" t="s">
        <v>503</v>
      </c>
      <c r="H150" s="53" t="s">
        <v>485</v>
      </c>
      <c r="I150" s="44" t="s">
        <v>29</v>
      </c>
      <c r="J150" s="45">
        <f>72.011*1.1</f>
        <v>79.212100000000007</v>
      </c>
      <c r="K150" s="109">
        <f>90/5</f>
        <v>18</v>
      </c>
      <c r="L150" s="109" t="s">
        <v>353</v>
      </c>
      <c r="M150" s="46"/>
      <c r="N150" s="47">
        <f t="shared" si="15"/>
        <v>0</v>
      </c>
      <c r="O150" s="16" t="s">
        <v>504</v>
      </c>
      <c r="P150" s="211" t="s">
        <v>493</v>
      </c>
      <c r="Q150" s="94" t="s">
        <v>494</v>
      </c>
    </row>
    <row r="151" spans="1:17" x14ac:dyDescent="0.25">
      <c r="A151" s="238" t="s">
        <v>697</v>
      </c>
      <c r="C151" s="53" t="s">
        <v>509</v>
      </c>
      <c r="D151" s="145" t="s">
        <v>510</v>
      </c>
      <c r="E151" s="179" t="s">
        <v>511</v>
      </c>
      <c r="F151" s="182"/>
      <c r="G151" s="183" t="s">
        <v>512</v>
      </c>
      <c r="H151" s="53" t="s">
        <v>485</v>
      </c>
      <c r="I151" s="44" t="s">
        <v>29</v>
      </c>
      <c r="J151" s="45">
        <f>38.24*1.1</f>
        <v>42.064000000000007</v>
      </c>
      <c r="K151" s="116">
        <f>84/5</f>
        <v>16.8</v>
      </c>
      <c r="L151" s="109" t="s">
        <v>353</v>
      </c>
      <c r="M151" s="46"/>
      <c r="N151" s="47">
        <f t="shared" si="15"/>
        <v>0</v>
      </c>
      <c r="O151" s="16" t="s">
        <v>486</v>
      </c>
      <c r="P151" s="211" t="s">
        <v>493</v>
      </c>
      <c r="Q151" s="94" t="s">
        <v>494</v>
      </c>
    </row>
    <row r="152" spans="1:17" x14ac:dyDescent="0.25">
      <c r="A152" s="238" t="s">
        <v>698</v>
      </c>
      <c r="C152" s="53" t="s">
        <v>513</v>
      </c>
      <c r="D152" s="145" t="s">
        <v>514</v>
      </c>
      <c r="E152" s="179" t="s">
        <v>515</v>
      </c>
      <c r="F152" s="182"/>
      <c r="G152" s="184" t="s">
        <v>516</v>
      </c>
      <c r="H152" s="53" t="s">
        <v>485</v>
      </c>
      <c r="I152" s="44" t="s">
        <v>29</v>
      </c>
      <c r="J152" s="45">
        <f>41.67*1.1</f>
        <v>45.837000000000003</v>
      </c>
      <c r="K152" s="116">
        <f>154/5</f>
        <v>30.8</v>
      </c>
      <c r="L152" s="109" t="s">
        <v>353</v>
      </c>
      <c r="M152" s="46"/>
      <c r="N152" s="47">
        <f t="shared" si="15"/>
        <v>0</v>
      </c>
      <c r="O152" s="16" t="s">
        <v>486</v>
      </c>
      <c r="P152" s="211" t="s">
        <v>493</v>
      </c>
      <c r="Q152" s="94" t="s">
        <v>494</v>
      </c>
    </row>
    <row r="153" spans="1:17" x14ac:dyDescent="0.25">
      <c r="A153" s="238" t="s">
        <v>699</v>
      </c>
      <c r="C153" s="53" t="s">
        <v>517</v>
      </c>
      <c r="D153" s="145" t="s">
        <v>518</v>
      </c>
      <c r="E153" s="179" t="s">
        <v>519</v>
      </c>
      <c r="F153" s="182"/>
      <c r="G153" s="184" t="s">
        <v>520</v>
      </c>
      <c r="H153" s="53" t="s">
        <v>485</v>
      </c>
      <c r="I153" s="44" t="s">
        <v>29</v>
      </c>
      <c r="J153" s="45">
        <f>48.6*1.1</f>
        <v>53.460000000000008</v>
      </c>
      <c r="K153" s="116">
        <f>154/5</f>
        <v>30.8</v>
      </c>
      <c r="L153" s="109" t="s">
        <v>353</v>
      </c>
      <c r="M153" s="46"/>
      <c r="N153" s="47">
        <f t="shared" si="15"/>
        <v>0</v>
      </c>
      <c r="O153" s="16" t="s">
        <v>486</v>
      </c>
      <c r="P153" s="211" t="s">
        <v>493</v>
      </c>
      <c r="Q153" s="94" t="s">
        <v>494</v>
      </c>
    </row>
    <row r="154" spans="1:17" x14ac:dyDescent="0.25">
      <c r="A154" s="238" t="s">
        <v>703</v>
      </c>
      <c r="C154" s="53" t="s">
        <v>521</v>
      </c>
      <c r="D154" s="135" t="s">
        <v>522</v>
      </c>
      <c r="E154" s="60"/>
      <c r="F154" s="60"/>
      <c r="G154" s="44" t="s">
        <v>523</v>
      </c>
      <c r="H154" s="42" t="s">
        <v>327</v>
      </c>
      <c r="I154" s="44" t="s">
        <v>29</v>
      </c>
      <c r="J154" s="45">
        <f>3.92+0.35</f>
        <v>4.2699999999999996</v>
      </c>
      <c r="K154" s="109">
        <v>4</v>
      </c>
      <c r="L154" s="115" t="s">
        <v>90</v>
      </c>
      <c r="M154" s="46"/>
      <c r="N154" s="47">
        <f t="shared" si="15"/>
        <v>0</v>
      </c>
      <c r="O154" s="25" t="s">
        <v>524</v>
      </c>
      <c r="P154" s="211" t="s">
        <v>525</v>
      </c>
      <c r="Q154" s="94" t="s">
        <v>526</v>
      </c>
    </row>
    <row r="155" spans="1:17" x14ac:dyDescent="0.25">
      <c r="A155" s="238" t="s">
        <v>704</v>
      </c>
      <c r="C155" s="53" t="s">
        <v>527</v>
      </c>
      <c r="D155" s="43" t="s">
        <v>528</v>
      </c>
      <c r="E155" s="50"/>
      <c r="F155" s="50"/>
      <c r="G155" s="55" t="s">
        <v>529</v>
      </c>
      <c r="H155" s="53" t="s">
        <v>327</v>
      </c>
      <c r="I155" s="44" t="s">
        <v>29</v>
      </c>
      <c r="J155" s="45">
        <f>4.94+0.44</f>
        <v>5.3800000000000008</v>
      </c>
      <c r="K155" s="109">
        <v>4</v>
      </c>
      <c r="L155" s="115" t="s">
        <v>90</v>
      </c>
      <c r="M155" s="46"/>
      <c r="N155" s="47">
        <f t="shared" si="15"/>
        <v>0</v>
      </c>
      <c r="O155" s="25" t="s">
        <v>524</v>
      </c>
      <c r="P155" s="211" t="s">
        <v>525</v>
      </c>
      <c r="Q155" s="94" t="s">
        <v>526</v>
      </c>
    </row>
    <row r="156" spans="1:17" x14ac:dyDescent="0.25">
      <c r="A156" s="238" t="s">
        <v>705</v>
      </c>
      <c r="C156" s="42" t="s">
        <v>530</v>
      </c>
      <c r="D156" s="135" t="s">
        <v>531</v>
      </c>
      <c r="E156" s="60"/>
      <c r="F156" s="60"/>
      <c r="G156" s="44" t="s">
        <v>532</v>
      </c>
      <c r="H156" s="42" t="s">
        <v>327</v>
      </c>
      <c r="I156" s="44" t="s">
        <v>29</v>
      </c>
      <c r="J156" s="45">
        <f>7.4+0.67</f>
        <v>8.07</v>
      </c>
      <c r="K156" s="109">
        <v>4</v>
      </c>
      <c r="L156" s="115" t="s">
        <v>90</v>
      </c>
      <c r="M156" s="46"/>
      <c r="N156" s="47">
        <f t="shared" si="15"/>
        <v>0</v>
      </c>
      <c r="O156" s="25" t="s">
        <v>524</v>
      </c>
      <c r="P156" s="211" t="s">
        <v>525</v>
      </c>
      <c r="Q156" s="94" t="s">
        <v>526</v>
      </c>
    </row>
    <row r="157" spans="1:17" x14ac:dyDescent="0.25">
      <c r="C157" s="53" t="s">
        <v>533</v>
      </c>
      <c r="D157" s="135" t="s">
        <v>522</v>
      </c>
      <c r="E157" s="50"/>
      <c r="F157" s="50"/>
      <c r="G157" s="44" t="s">
        <v>523</v>
      </c>
      <c r="H157" s="42" t="s">
        <v>327</v>
      </c>
      <c r="I157" s="44" t="s">
        <v>29</v>
      </c>
      <c r="J157" s="45">
        <f>3.92+0.35</f>
        <v>4.2699999999999996</v>
      </c>
      <c r="K157" s="109">
        <v>4</v>
      </c>
      <c r="L157" s="115" t="s">
        <v>90</v>
      </c>
      <c r="M157" s="46">
        <f>ROUNDUP((SUM(M60:M64)+M67+M73+M80+M88+M97+M118)/2,0)</f>
        <v>0</v>
      </c>
      <c r="N157" s="47">
        <f t="shared" si="15"/>
        <v>0</v>
      </c>
      <c r="O157" s="25" t="s">
        <v>524</v>
      </c>
      <c r="P157" s="211" t="s">
        <v>525</v>
      </c>
      <c r="Q157" s="94" t="s">
        <v>526</v>
      </c>
    </row>
    <row r="158" spans="1:17" x14ac:dyDescent="0.25">
      <c r="C158" s="53" t="s">
        <v>534</v>
      </c>
      <c r="D158" s="43" t="s">
        <v>528</v>
      </c>
      <c r="E158" s="50"/>
      <c r="F158" s="50"/>
      <c r="G158" s="55" t="s">
        <v>529</v>
      </c>
      <c r="H158" s="53" t="s">
        <v>327</v>
      </c>
      <c r="I158" s="44" t="s">
        <v>29</v>
      </c>
      <c r="J158" s="45">
        <f>4.94+0.44</f>
        <v>5.3800000000000008</v>
      </c>
      <c r="K158" s="109">
        <v>4</v>
      </c>
      <c r="L158" s="115" t="s">
        <v>90</v>
      </c>
      <c r="M158" s="46">
        <f>ROUNDUP((SUM(M60:M64)+M67+M73+M80+M88+M97+M118)/2,0)</f>
        <v>0</v>
      </c>
      <c r="N158" s="47">
        <f t="shared" si="15"/>
        <v>0</v>
      </c>
      <c r="O158" s="25" t="s">
        <v>524</v>
      </c>
      <c r="P158" s="211" t="s">
        <v>525</v>
      </c>
      <c r="Q158" s="94" t="s">
        <v>526</v>
      </c>
    </row>
    <row r="159" spans="1:17" x14ac:dyDescent="0.25">
      <c r="C159" s="42" t="s">
        <v>535</v>
      </c>
      <c r="D159" s="135" t="s">
        <v>536</v>
      </c>
      <c r="E159" s="60"/>
      <c r="F159" s="60"/>
      <c r="G159" s="44" t="s">
        <v>537</v>
      </c>
      <c r="H159" s="42" t="s">
        <v>327</v>
      </c>
      <c r="I159" s="44" t="s">
        <v>29</v>
      </c>
      <c r="J159" s="45">
        <f>4.67+0.42</f>
        <v>5.09</v>
      </c>
      <c r="K159" s="109">
        <v>12</v>
      </c>
      <c r="L159" s="115" t="s">
        <v>90</v>
      </c>
      <c r="M159" s="205">
        <f>SUM(M154:M158)</f>
        <v>0</v>
      </c>
      <c r="N159" s="202">
        <f t="shared" si="15"/>
        <v>0</v>
      </c>
      <c r="O159" s="206" t="s">
        <v>524</v>
      </c>
      <c r="P159" s="211" t="s">
        <v>525</v>
      </c>
      <c r="Q159" s="94" t="s">
        <v>286</v>
      </c>
    </row>
    <row r="160" spans="1:17" x14ac:dyDescent="0.25">
      <c r="C160" s="53" t="s">
        <v>538</v>
      </c>
      <c r="D160" s="43" t="s">
        <v>539</v>
      </c>
      <c r="E160" s="60"/>
      <c r="F160" s="60"/>
      <c r="G160" s="55" t="s">
        <v>540</v>
      </c>
      <c r="H160" s="53" t="s">
        <v>541</v>
      </c>
      <c r="I160" s="44" t="s">
        <v>29</v>
      </c>
      <c r="J160" s="45">
        <f>0.29*1.1</f>
        <v>0.31900000000000001</v>
      </c>
      <c r="K160" s="109"/>
      <c r="L160" s="115"/>
      <c r="M160" s="205">
        <f>M154*3+M155*5+M156*10+M157*3+M158*5</f>
        <v>0</v>
      </c>
      <c r="N160" s="202">
        <f t="shared" si="15"/>
        <v>0</v>
      </c>
      <c r="O160" s="210"/>
      <c r="P160" s="211" t="s">
        <v>525</v>
      </c>
      <c r="Q160" s="94" t="s">
        <v>286</v>
      </c>
    </row>
    <row r="161" spans="1:17" x14ac:dyDescent="0.25">
      <c r="C161" s="53" t="s">
        <v>542</v>
      </c>
      <c r="D161" s="43" t="s">
        <v>543</v>
      </c>
      <c r="E161" s="60"/>
      <c r="F161" s="60"/>
      <c r="G161" s="55" t="s">
        <v>544</v>
      </c>
      <c r="H161" s="55" t="s">
        <v>545</v>
      </c>
      <c r="I161" s="44" t="s">
        <v>29</v>
      </c>
      <c r="J161" s="45">
        <v>13.94</v>
      </c>
      <c r="K161" s="109">
        <v>1</v>
      </c>
      <c r="L161" s="115" t="s">
        <v>546</v>
      </c>
      <c r="M161" s="205">
        <f>SUM(M121:M128)</f>
        <v>0</v>
      </c>
      <c r="N161" s="202">
        <f t="shared" si="15"/>
        <v>0</v>
      </c>
      <c r="O161" s="206" t="s">
        <v>547</v>
      </c>
      <c r="P161" s="211" t="s">
        <v>525</v>
      </c>
      <c r="Q161" s="94" t="s">
        <v>286</v>
      </c>
    </row>
    <row r="162" spans="1:17" x14ac:dyDescent="0.25">
      <c r="C162" s="53"/>
      <c r="D162" s="144"/>
      <c r="E162" s="53"/>
      <c r="F162" s="53"/>
      <c r="G162" s="53"/>
      <c r="H162" s="53"/>
      <c r="I162" s="44"/>
      <c r="J162" s="53"/>
      <c r="K162" s="113"/>
      <c r="L162" s="113"/>
      <c r="M162" s="53"/>
      <c r="N162" s="53"/>
      <c r="O162" s="15">
        <f>SUM(N163)</f>
        <v>0</v>
      </c>
    </row>
    <row r="163" spans="1:17" x14ac:dyDescent="0.25">
      <c r="A163" s="149" t="s">
        <v>548</v>
      </c>
      <c r="C163" s="42" t="s">
        <v>549</v>
      </c>
      <c r="D163" s="135"/>
      <c r="E163" s="60"/>
      <c r="F163" s="60" t="s">
        <v>550</v>
      </c>
      <c r="G163" s="42" t="s">
        <v>551</v>
      </c>
      <c r="H163" s="42" t="s">
        <v>213</v>
      </c>
      <c r="I163" s="44" t="s">
        <v>29</v>
      </c>
      <c r="J163" s="45">
        <v>6213.64</v>
      </c>
      <c r="K163" s="109">
        <f>60/5</f>
        <v>12</v>
      </c>
      <c r="L163" s="109" t="s">
        <v>353</v>
      </c>
      <c r="M163" s="83"/>
      <c r="N163" s="47">
        <f>J163*M163</f>
        <v>0</v>
      </c>
      <c r="O163" s="25" t="s">
        <v>214</v>
      </c>
      <c r="P163" s="211" t="s">
        <v>552</v>
      </c>
      <c r="Q163" s="94" t="s">
        <v>553</v>
      </c>
    </row>
    <row r="164" spans="1:17" x14ac:dyDescent="0.25">
      <c r="N164" s="87">
        <f>SUM(N7:N163)</f>
        <v>1643.7199999999998</v>
      </c>
    </row>
    <row r="165" spans="1:17" x14ac:dyDescent="0.25">
      <c r="N165" s="88"/>
    </row>
    <row r="166" spans="1:17" x14ac:dyDescent="0.25">
      <c r="M166" s="221"/>
      <c r="N166" s="23"/>
      <c r="O166" s="23"/>
    </row>
  </sheetData>
  <autoFilter ref="C5:Q5" xr:uid="{81DA2624-F714-4FC3-B40A-D483FD8F086F}"/>
  <mergeCells count="1">
    <mergeCell ref="J2:L3"/>
  </mergeCells>
  <phoneticPr fontId="9" type="noConversion"/>
  <conditionalFormatting sqref="M7 M19:M22 M33:M41 M159:M161 M57:M58 M110:M115 M106:M108 M9:M16 M60:M66 M117:M128 M148:M152 M133:M146 M43:M50 M25:M31">
    <cfRule type="cellIs" dxfId="42" priority="55" operator="greaterThan">
      <formula>0</formula>
    </cfRule>
  </conditionalFormatting>
  <conditionalFormatting sqref="M159:M161 M137:M138 M148:M152">
    <cfRule type="cellIs" dxfId="41" priority="53" operator="greaterThan">
      <formula>0</formula>
    </cfRule>
  </conditionalFormatting>
  <conditionalFormatting sqref="M67:M78 M96:M101 M104:M105">
    <cfRule type="cellIs" dxfId="40" priority="50" operator="greaterThan">
      <formula>0</formula>
    </cfRule>
  </conditionalFormatting>
  <conditionalFormatting sqref="M68:M71 M74:M78 M98:M101 M104:M105">
    <cfRule type="cellIs" dxfId="39" priority="49" operator="greaterThan">
      <formula>0</formula>
    </cfRule>
  </conditionalFormatting>
  <conditionalFormatting sqref="M110">
    <cfRule type="cellIs" dxfId="38" priority="48" operator="greaterThan">
      <formula>0</formula>
    </cfRule>
  </conditionalFormatting>
  <conditionalFormatting sqref="M140:M141">
    <cfRule type="cellIs" dxfId="37" priority="47" operator="greaterThan">
      <formula>0</formula>
    </cfRule>
  </conditionalFormatting>
  <conditionalFormatting sqref="M147">
    <cfRule type="cellIs" dxfId="36" priority="46" operator="greaterThan">
      <formula>0</formula>
    </cfRule>
  </conditionalFormatting>
  <conditionalFormatting sqref="M147">
    <cfRule type="cellIs" dxfId="35" priority="45" operator="greaterThan">
      <formula>0</formula>
    </cfRule>
  </conditionalFormatting>
  <conditionalFormatting sqref="M8">
    <cfRule type="cellIs" dxfId="34" priority="44" operator="greaterThan">
      <formula>0</formula>
    </cfRule>
  </conditionalFormatting>
  <conditionalFormatting sqref="M153:M156">
    <cfRule type="cellIs" dxfId="33" priority="40" operator="greaterThan">
      <formula>0</formula>
    </cfRule>
  </conditionalFormatting>
  <conditionalFormatting sqref="M153:M156">
    <cfRule type="cellIs" dxfId="32" priority="39" operator="greaterThan">
      <formula>0</formula>
    </cfRule>
  </conditionalFormatting>
  <conditionalFormatting sqref="M42">
    <cfRule type="cellIs" dxfId="31" priority="38" operator="greaterThan">
      <formula>0</formula>
    </cfRule>
  </conditionalFormatting>
  <conditionalFormatting sqref="M157:M158">
    <cfRule type="cellIs" dxfId="30" priority="37" operator="greaterThan">
      <formula>0</formula>
    </cfRule>
  </conditionalFormatting>
  <conditionalFormatting sqref="M157:M158">
    <cfRule type="cellIs" dxfId="29" priority="36" operator="greaterThan">
      <formula>0</formula>
    </cfRule>
  </conditionalFormatting>
  <conditionalFormatting sqref="M17:M18">
    <cfRule type="cellIs" dxfId="28" priority="35" operator="greaterThan">
      <formula>0</formula>
    </cfRule>
  </conditionalFormatting>
  <conditionalFormatting sqref="M32">
    <cfRule type="cellIs" dxfId="27" priority="34" operator="greaterThan">
      <formula>0</formula>
    </cfRule>
  </conditionalFormatting>
  <conditionalFormatting sqref="M130">
    <cfRule type="cellIs" dxfId="26" priority="31" operator="greaterThan">
      <formula>0</formula>
    </cfRule>
  </conditionalFormatting>
  <conditionalFormatting sqref="M129:M132">
    <cfRule type="cellIs" dxfId="25" priority="30" operator="greaterThan">
      <formula>0</formula>
    </cfRule>
  </conditionalFormatting>
  <conditionalFormatting sqref="A27">
    <cfRule type="expression" dxfId="24" priority="26">
      <formula>IF($E27&gt;0,TRUE)</formula>
    </cfRule>
  </conditionalFormatting>
  <conditionalFormatting sqref="A28">
    <cfRule type="expression" dxfId="23" priority="25">
      <formula>IF($E28&gt;0,TRUE)</formula>
    </cfRule>
  </conditionalFormatting>
  <conditionalFormatting sqref="M23">
    <cfRule type="cellIs" dxfId="22" priority="24" operator="greaterThan">
      <formula>0</formula>
    </cfRule>
  </conditionalFormatting>
  <conditionalFormatting sqref="M116">
    <cfRule type="cellIs" dxfId="21" priority="23" operator="greaterThan">
      <formula>0</formula>
    </cfRule>
  </conditionalFormatting>
  <conditionalFormatting sqref="M79:M86">
    <cfRule type="cellIs" dxfId="20" priority="22" operator="greaterThan">
      <formula>0</formula>
    </cfRule>
  </conditionalFormatting>
  <conditionalFormatting sqref="M81:M86">
    <cfRule type="cellIs" dxfId="19" priority="21" operator="greaterThan">
      <formula>0</formula>
    </cfRule>
  </conditionalFormatting>
  <conditionalFormatting sqref="M102">
    <cfRule type="cellIs" dxfId="18" priority="20" operator="greaterThan">
      <formula>0</formula>
    </cfRule>
  </conditionalFormatting>
  <conditionalFormatting sqref="M102">
    <cfRule type="cellIs" dxfId="17" priority="19" operator="greaterThan">
      <formula>0</formula>
    </cfRule>
  </conditionalFormatting>
  <conditionalFormatting sqref="M94:M95 M87:M92">
    <cfRule type="cellIs" dxfId="16" priority="18" operator="greaterThan">
      <formula>0</formula>
    </cfRule>
  </conditionalFormatting>
  <conditionalFormatting sqref="M94:M95 M89:M92">
    <cfRule type="cellIs" dxfId="15" priority="17" operator="greaterThan">
      <formula>0</formula>
    </cfRule>
  </conditionalFormatting>
  <conditionalFormatting sqref="M93">
    <cfRule type="cellIs" dxfId="14" priority="16" operator="greaterThan">
      <formula>0</formula>
    </cfRule>
  </conditionalFormatting>
  <conditionalFormatting sqref="M93">
    <cfRule type="cellIs" dxfId="13" priority="15" operator="greaterThan">
      <formula>0</formula>
    </cfRule>
  </conditionalFormatting>
  <conditionalFormatting sqref="M103">
    <cfRule type="cellIs" dxfId="12" priority="14" operator="greaterThan">
      <formula>0</formula>
    </cfRule>
  </conditionalFormatting>
  <conditionalFormatting sqref="M103">
    <cfRule type="cellIs" dxfId="11" priority="13" operator="greaterThan">
      <formula>0</formula>
    </cfRule>
  </conditionalFormatting>
  <conditionalFormatting sqref="M109">
    <cfRule type="cellIs" dxfId="10" priority="10" operator="greaterThan">
      <formula>0</formula>
    </cfRule>
  </conditionalFormatting>
  <conditionalFormatting sqref="M109">
    <cfRule type="cellIs" dxfId="9" priority="9" operator="greaterThan">
      <formula>0</formula>
    </cfRule>
  </conditionalFormatting>
  <conditionalFormatting sqref="M51:M56">
    <cfRule type="cellIs" dxfId="8" priority="8" operator="greaterThan">
      <formula>0</formula>
    </cfRule>
  </conditionalFormatting>
  <conditionalFormatting sqref="M51:M56">
    <cfRule type="cellIs" dxfId="7" priority="7" operator="greaterThan">
      <formula>0</formula>
    </cfRule>
  </conditionalFormatting>
  <conditionalFormatting sqref="M163">
    <cfRule type="cellIs" dxfId="6" priority="6" operator="greaterThan">
      <formula>0</formula>
    </cfRule>
  </conditionalFormatting>
  <conditionalFormatting sqref="M59">
    <cfRule type="cellIs" dxfId="5" priority="5" operator="greaterThan">
      <formula>0</formula>
    </cfRule>
  </conditionalFormatting>
  <conditionalFormatting sqref="M59">
    <cfRule type="cellIs" dxfId="4" priority="4" operator="greaterThan">
      <formula>0</formula>
    </cfRule>
  </conditionalFormatting>
  <conditionalFormatting sqref="M140">
    <cfRule type="cellIs" dxfId="3" priority="3" operator="greaterThan">
      <formula>0</formula>
    </cfRule>
  </conditionalFormatting>
  <conditionalFormatting sqref="M141">
    <cfRule type="cellIs" dxfId="2" priority="2" operator="greaterThan">
      <formula>0</formula>
    </cfRule>
  </conditionalFormatting>
  <conditionalFormatting sqref="M24">
    <cfRule type="cellIs" dxfId="1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22" r:id="rId4" name="FinalResult_ICS">
          <controlPr defaultSize="0" autoLine="0" r:id="rId5">
            <anchor>
              <from>
                <xdr:col>9</xdr:col>
                <xdr:colOff>137160</xdr:colOff>
                <xdr:row>0</xdr:row>
                <xdr:rowOff>137160</xdr:rowOff>
              </from>
              <to>
                <xdr:col>10</xdr:col>
                <xdr:colOff>579120</xdr:colOff>
                <xdr:row>0</xdr:row>
                <xdr:rowOff>693420</xdr:rowOff>
              </to>
            </anchor>
          </controlPr>
        </control>
      </mc:Choice>
      <mc:Fallback>
        <control shapeId="21522" r:id="rId4" name="FinalResult_IC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4BE5F-6446-4737-AA1F-87C9664633DB}">
  <sheetPr codeName="Sheet7">
    <pageSetUpPr autoPageBreaks="0"/>
  </sheetPr>
  <dimension ref="A1:R156"/>
  <sheetViews>
    <sheetView zoomScale="80" zoomScaleNormal="80" zoomScaleSheetLayoutView="40" workbookViewId="0">
      <pane ySplit="2" topLeftCell="A15" activePane="bottomLeft" state="frozen"/>
      <selection pane="bottomLeft" activeCell="M7" sqref="M7"/>
    </sheetView>
  </sheetViews>
  <sheetFormatPr defaultColWidth="0" defaultRowHeight="14.4" outlineLevelCol="1" x14ac:dyDescent="0.3"/>
  <cols>
    <col min="1" max="1" width="23.88671875" customWidth="1"/>
    <col min="2" max="2" width="22.109375" style="220" customWidth="1"/>
    <col min="3" max="3" width="6.109375" style="220" customWidth="1"/>
    <col min="4" max="4" width="4.109375" style="220" customWidth="1"/>
    <col min="5" max="5" width="8" style="220" customWidth="1"/>
    <col min="6" max="6" width="6.33203125" style="220" customWidth="1"/>
    <col min="7" max="7" width="6.5546875" style="220" customWidth="1"/>
    <col min="8" max="8" width="14.88671875" style="220" customWidth="1"/>
    <col min="9" max="9" width="62" style="225" bestFit="1" customWidth="1"/>
    <col min="10" max="10" width="15.6640625" hidden="1" customWidth="1" outlineLevel="1"/>
    <col min="11" max="11" width="10.5546875" customWidth="1" collapsed="1"/>
    <col min="12" max="12" width="9.109375" customWidth="1"/>
    <col min="13" max="13" width="14.6640625" customWidth="1"/>
    <col min="14" max="14" width="19.44140625" customWidth="1"/>
    <col min="15" max="15" width="18" customWidth="1"/>
    <col min="16" max="16" width="17.5546875" customWidth="1"/>
    <col min="17" max="18" width="0" hidden="1" customWidth="1"/>
    <col min="19" max="16384" width="9.109375" hidden="1"/>
  </cols>
  <sheetData>
    <row r="1" spans="1:16" s="26" customFormat="1" ht="93" customHeight="1" x14ac:dyDescent="0.25">
      <c r="B1" s="269" t="s">
        <v>572</v>
      </c>
      <c r="C1" s="269" t="s">
        <v>573</v>
      </c>
      <c r="D1" s="269" t="s">
        <v>574</v>
      </c>
      <c r="E1" s="269" t="s">
        <v>575</v>
      </c>
      <c r="F1" s="269" t="s">
        <v>576</v>
      </c>
      <c r="G1" s="269" t="s">
        <v>577</v>
      </c>
      <c r="H1" s="270" t="s">
        <v>578</v>
      </c>
      <c r="I1" s="269" t="s">
        <v>579</v>
      </c>
      <c r="J1" s="271" t="s">
        <v>20</v>
      </c>
      <c r="K1" s="347" t="s">
        <v>580</v>
      </c>
      <c r="L1" s="347" t="s">
        <v>642</v>
      </c>
      <c r="M1" s="347" t="s">
        <v>694</v>
      </c>
      <c r="N1" s="348"/>
      <c r="O1" s="222" t="s">
        <v>793</v>
      </c>
      <c r="P1" s="223" t="s">
        <v>918</v>
      </c>
    </row>
    <row r="2" spans="1:16" ht="16.2" thickBot="1" x14ac:dyDescent="0.35">
      <c r="A2" s="226" t="s">
        <v>554</v>
      </c>
      <c r="B2" s="272" t="s">
        <v>582</v>
      </c>
      <c r="C2" s="231"/>
      <c r="D2" s="231"/>
      <c r="E2" s="231"/>
      <c r="F2" s="231"/>
      <c r="G2" s="231"/>
      <c r="H2" s="231"/>
      <c r="I2" s="232"/>
      <c r="J2" s="233"/>
      <c r="K2" s="347"/>
      <c r="L2" s="347"/>
      <c r="M2" s="347"/>
      <c r="N2" s="348"/>
      <c r="O2" s="322">
        <f>SUM(M3:M156)</f>
        <v>1643.7199999999998</v>
      </c>
      <c r="P2" s="273">
        <f>SUM(M52:N156)</f>
        <v>0</v>
      </c>
    </row>
    <row r="3" spans="1:16" x14ac:dyDescent="0.3">
      <c r="B3" s="229" t="s">
        <v>583</v>
      </c>
      <c r="C3" s="229">
        <v>0</v>
      </c>
      <c r="D3" s="229">
        <v>4</v>
      </c>
      <c r="E3" s="229" t="s">
        <v>584</v>
      </c>
      <c r="F3" s="229" t="s">
        <v>585</v>
      </c>
      <c r="G3" s="229" t="s">
        <v>586</v>
      </c>
      <c r="H3" s="72" t="s">
        <v>555</v>
      </c>
      <c r="I3" s="260" t="s">
        <v>32</v>
      </c>
      <c r="J3" s="230" t="s">
        <v>587</v>
      </c>
      <c r="K3" s="261">
        <f>SUM(Material_PN_Belt!M8)</f>
        <v>0</v>
      </c>
      <c r="L3" s="262" t="s">
        <v>643</v>
      </c>
      <c r="M3" s="263">
        <f>SUM(Material_PN_Belt!N8)</f>
        <v>0</v>
      </c>
    </row>
    <row r="4" spans="1:16" x14ac:dyDescent="0.3">
      <c r="B4" s="229" t="s">
        <v>583</v>
      </c>
      <c r="C4" s="229">
        <v>0</v>
      </c>
      <c r="D4" s="72">
        <v>4</v>
      </c>
      <c r="E4" s="72" t="s">
        <v>588</v>
      </c>
      <c r="F4" s="229" t="s">
        <v>585</v>
      </c>
      <c r="G4" s="72" t="s">
        <v>589</v>
      </c>
      <c r="H4" s="72" t="s">
        <v>556</v>
      </c>
      <c r="I4" s="260" t="s">
        <v>38</v>
      </c>
      <c r="J4" s="52"/>
      <c r="K4" s="261">
        <f>SUM(Material_PN_Belt!M10:M11)</f>
        <v>0</v>
      </c>
      <c r="L4" s="262" t="s">
        <v>643</v>
      </c>
      <c r="M4" s="263">
        <f>SUM(Material_PN_Belt!N10:N11)</f>
        <v>0</v>
      </c>
    </row>
    <row r="5" spans="1:16" x14ac:dyDescent="0.3">
      <c r="B5" s="229" t="s">
        <v>583</v>
      </c>
      <c r="C5" s="229">
        <v>0</v>
      </c>
      <c r="D5" s="229">
        <v>4</v>
      </c>
      <c r="E5" s="72" t="s">
        <v>584</v>
      </c>
      <c r="F5" s="229" t="s">
        <v>585</v>
      </c>
      <c r="G5" s="72" t="s">
        <v>590</v>
      </c>
      <c r="H5" s="72" t="s">
        <v>557</v>
      </c>
      <c r="I5" s="260" t="s">
        <v>48</v>
      </c>
      <c r="J5" s="52"/>
      <c r="K5" s="261">
        <f>SUM(Material_PN_Belt!M13:M14)</f>
        <v>0</v>
      </c>
      <c r="L5" s="262" t="s">
        <v>643</v>
      </c>
      <c r="M5" s="263">
        <f>SUM(Material_PN_Belt!N13:N14)</f>
        <v>0</v>
      </c>
    </row>
    <row r="6" spans="1:16" x14ac:dyDescent="0.3">
      <c r="B6" s="229" t="s">
        <v>583</v>
      </c>
      <c r="C6" s="229">
        <v>0</v>
      </c>
      <c r="D6" s="72">
        <v>4</v>
      </c>
      <c r="E6" s="72" t="s">
        <v>591</v>
      </c>
      <c r="F6" s="229" t="s">
        <v>585</v>
      </c>
      <c r="G6" s="72" t="s">
        <v>592</v>
      </c>
      <c r="H6" s="72" t="s">
        <v>558</v>
      </c>
      <c r="I6" s="260" t="s">
        <v>59</v>
      </c>
      <c r="J6" s="52"/>
      <c r="K6" s="261">
        <f>SUM(Material_PN_Belt!M17:M18)</f>
        <v>0</v>
      </c>
      <c r="L6" s="262" t="s">
        <v>643</v>
      </c>
      <c r="M6" s="263">
        <f>SUM(Material_PN_Belt!N17:N18)</f>
        <v>0</v>
      </c>
    </row>
    <row r="7" spans="1:16" x14ac:dyDescent="0.3">
      <c r="B7" s="229" t="s">
        <v>583</v>
      </c>
      <c r="C7" s="229">
        <v>0</v>
      </c>
      <c r="D7" s="229">
        <v>4</v>
      </c>
      <c r="E7" s="72" t="s">
        <v>591</v>
      </c>
      <c r="F7" s="229" t="s">
        <v>585</v>
      </c>
      <c r="G7" s="72" t="s">
        <v>593</v>
      </c>
      <c r="H7" s="72" t="s">
        <v>559</v>
      </c>
      <c r="I7" s="260" t="s">
        <v>70</v>
      </c>
      <c r="J7" s="52"/>
      <c r="K7" s="261">
        <f>SUM(Material_PN_Belt!M22:M23)</f>
        <v>0</v>
      </c>
      <c r="L7" s="262" t="s">
        <v>643</v>
      </c>
      <c r="M7" s="263">
        <f>SUM(Material_PN_Belt!N22:N23)</f>
        <v>0</v>
      </c>
    </row>
    <row r="8" spans="1:16" x14ac:dyDescent="0.3">
      <c r="B8" s="229" t="s">
        <v>583</v>
      </c>
      <c r="C8" s="229">
        <v>0</v>
      </c>
      <c r="D8" s="72">
        <v>4</v>
      </c>
      <c r="E8" s="72" t="s">
        <v>594</v>
      </c>
      <c r="F8" s="229" t="s">
        <v>595</v>
      </c>
      <c r="G8" s="71" t="s">
        <v>596</v>
      </c>
      <c r="H8" s="72" t="s">
        <v>78</v>
      </c>
      <c r="I8" s="260" t="s">
        <v>79</v>
      </c>
      <c r="J8" s="52"/>
      <c r="K8" s="261">
        <f>SUM(Material_PN_Belt!M24)</f>
        <v>0</v>
      </c>
      <c r="L8" s="262" t="s">
        <v>643</v>
      </c>
      <c r="M8" s="263">
        <f>SUM(Material_PN_Belt!N24)</f>
        <v>0</v>
      </c>
    </row>
    <row r="9" spans="1:16" x14ac:dyDescent="0.3">
      <c r="B9" s="229" t="s">
        <v>583</v>
      </c>
      <c r="C9" s="229">
        <v>0</v>
      </c>
      <c r="D9" s="229">
        <v>4</v>
      </c>
      <c r="E9" s="72" t="s">
        <v>594</v>
      </c>
      <c r="F9" s="229" t="s">
        <v>595</v>
      </c>
      <c r="G9" s="71" t="s">
        <v>597</v>
      </c>
      <c r="H9" s="72" t="s">
        <v>84</v>
      </c>
      <c r="I9" s="260" t="s">
        <v>85</v>
      </c>
      <c r="J9" s="52"/>
      <c r="K9" s="261">
        <f>SUM(Material_PN_Belt!M25)</f>
        <v>0</v>
      </c>
      <c r="L9" s="262" t="s">
        <v>643</v>
      </c>
      <c r="M9" s="263">
        <f>SUM(Material_PN_Belt!N25)</f>
        <v>0</v>
      </c>
    </row>
    <row r="10" spans="1:16" x14ac:dyDescent="0.3">
      <c r="B10" s="229" t="s">
        <v>583</v>
      </c>
      <c r="C10" s="229">
        <v>0</v>
      </c>
      <c r="D10" s="72">
        <v>4</v>
      </c>
      <c r="E10" s="72" t="s">
        <v>594</v>
      </c>
      <c r="F10" s="229" t="s">
        <v>598</v>
      </c>
      <c r="G10" s="72" t="s">
        <v>599</v>
      </c>
      <c r="H10" s="72" t="s">
        <v>91</v>
      </c>
      <c r="I10" s="260" t="s">
        <v>92</v>
      </c>
      <c r="J10" s="52"/>
      <c r="K10" s="261">
        <f>SUM(Material_PN_Belt!M26)</f>
        <v>0</v>
      </c>
      <c r="L10" s="262" t="s">
        <v>643</v>
      </c>
      <c r="M10" s="263">
        <f>SUM(Material_PN_Belt!N26)</f>
        <v>0</v>
      </c>
    </row>
    <row r="11" spans="1:16" x14ac:dyDescent="0.3">
      <c r="B11" s="229" t="s">
        <v>583</v>
      </c>
      <c r="C11" s="229">
        <v>0</v>
      </c>
      <c r="D11" s="229">
        <v>4</v>
      </c>
      <c r="E11" s="72" t="s">
        <v>594</v>
      </c>
      <c r="F11" s="229" t="s">
        <v>600</v>
      </c>
      <c r="G11" s="71" t="s">
        <v>597</v>
      </c>
      <c r="H11" s="72" t="s">
        <v>96</v>
      </c>
      <c r="I11" s="260" t="s">
        <v>97</v>
      </c>
      <c r="J11" s="52"/>
      <c r="K11" s="261">
        <f>SUM(Material_PN_Belt!M27)</f>
        <v>0</v>
      </c>
      <c r="L11" s="262" t="s">
        <v>643</v>
      </c>
      <c r="M11" s="263">
        <f>SUM(Material_PN_Belt!N27)</f>
        <v>0</v>
      </c>
    </row>
    <row r="12" spans="1:16" x14ac:dyDescent="0.3">
      <c r="B12" s="229" t="s">
        <v>583</v>
      </c>
      <c r="C12" s="229">
        <v>0</v>
      </c>
      <c r="D12" s="72">
        <v>4</v>
      </c>
      <c r="E12" s="72" t="s">
        <v>594</v>
      </c>
      <c r="F12" s="229" t="s">
        <v>598</v>
      </c>
      <c r="G12" s="71" t="s">
        <v>601</v>
      </c>
      <c r="H12" s="72" t="s">
        <v>100</v>
      </c>
      <c r="I12" s="260" t="s">
        <v>97</v>
      </c>
      <c r="J12" s="52"/>
      <c r="K12" s="261">
        <f>SUM(Material_PN_Belt!M28)</f>
        <v>0</v>
      </c>
      <c r="L12" s="262" t="s">
        <v>643</v>
      </c>
      <c r="M12" s="263">
        <f>SUM(Material_PN_Belt!N28)</f>
        <v>0</v>
      </c>
    </row>
    <row r="13" spans="1:16" x14ac:dyDescent="0.3">
      <c r="B13" s="229" t="s">
        <v>583</v>
      </c>
      <c r="C13" s="229">
        <v>0</v>
      </c>
      <c r="D13" s="229">
        <v>4</v>
      </c>
      <c r="E13" s="72" t="s">
        <v>594</v>
      </c>
      <c r="F13" s="229" t="s">
        <v>600</v>
      </c>
      <c r="G13" s="71" t="s">
        <v>602</v>
      </c>
      <c r="H13" s="72" t="s">
        <v>105</v>
      </c>
      <c r="I13" s="260" t="s">
        <v>106</v>
      </c>
      <c r="J13" s="52"/>
      <c r="K13" s="261">
        <f>SUM(Material_PN_Belt!M29)</f>
        <v>0</v>
      </c>
      <c r="L13" s="262" t="s">
        <v>643</v>
      </c>
      <c r="M13" s="263">
        <f>SUM(Material_PN_Belt!N29)</f>
        <v>0</v>
      </c>
    </row>
    <row r="14" spans="1:16" x14ac:dyDescent="0.3">
      <c r="B14" s="229" t="s">
        <v>583</v>
      </c>
      <c r="C14" s="229">
        <v>0</v>
      </c>
      <c r="D14" s="72">
        <v>4</v>
      </c>
      <c r="E14" s="72" t="s">
        <v>603</v>
      </c>
      <c r="F14" s="72" t="s">
        <v>585</v>
      </c>
      <c r="G14" s="71" t="s">
        <v>592</v>
      </c>
      <c r="H14" s="72" t="s">
        <v>560</v>
      </c>
      <c r="I14" s="260" t="s">
        <v>142</v>
      </c>
      <c r="J14" s="52"/>
      <c r="K14" s="261">
        <f>SUM(Material_PN_Belt!M36:M37)</f>
        <v>0</v>
      </c>
      <c r="L14" s="262" t="s">
        <v>643</v>
      </c>
      <c r="M14" s="263">
        <f>SUM(Material_PN_Belt!N36:N37)</f>
        <v>0</v>
      </c>
    </row>
    <row r="15" spans="1:16" x14ac:dyDescent="0.3">
      <c r="B15" s="229" t="s">
        <v>583</v>
      </c>
      <c r="C15" s="229">
        <v>0</v>
      </c>
      <c r="D15" s="229">
        <v>4</v>
      </c>
      <c r="E15" s="72" t="s">
        <v>603</v>
      </c>
      <c r="F15" s="72" t="s">
        <v>585</v>
      </c>
      <c r="G15" s="71" t="s">
        <v>604</v>
      </c>
      <c r="H15" s="72" t="s">
        <v>561</v>
      </c>
      <c r="I15" s="260" t="s">
        <v>150</v>
      </c>
      <c r="J15" s="52"/>
      <c r="K15" s="261">
        <f>SUM(Material_PN_Belt!M38)</f>
        <v>0</v>
      </c>
      <c r="L15" s="262" t="s">
        <v>643</v>
      </c>
      <c r="M15" s="263">
        <f>SUM(Material_PN_Belt!N38)</f>
        <v>0</v>
      </c>
    </row>
    <row r="16" spans="1:16" x14ac:dyDescent="0.3">
      <c r="B16" s="229" t="s">
        <v>583</v>
      </c>
      <c r="C16" s="229">
        <v>0</v>
      </c>
      <c r="D16" s="72">
        <v>4</v>
      </c>
      <c r="E16" s="72" t="s">
        <v>591</v>
      </c>
      <c r="F16" s="229" t="s">
        <v>605</v>
      </c>
      <c r="G16" s="71" t="s">
        <v>606</v>
      </c>
      <c r="H16" s="72" t="s">
        <v>168</v>
      </c>
      <c r="I16" s="260" t="s">
        <v>169</v>
      </c>
      <c r="J16" s="52"/>
      <c r="K16" s="261">
        <f>SUM(Material_PN_Belt!M42)</f>
        <v>0</v>
      </c>
      <c r="L16" s="262" t="s">
        <v>643</v>
      </c>
      <c r="M16" s="263">
        <f>SUM(Material_PN_Belt!N42)</f>
        <v>0</v>
      </c>
    </row>
    <row r="17" spans="2:13" x14ac:dyDescent="0.3">
      <c r="B17" s="229" t="s">
        <v>583</v>
      </c>
      <c r="C17" s="229">
        <v>0</v>
      </c>
      <c r="D17" s="229">
        <v>4</v>
      </c>
      <c r="E17" s="72" t="s">
        <v>591</v>
      </c>
      <c r="F17" s="229" t="s">
        <v>605</v>
      </c>
      <c r="G17" s="71" t="s">
        <v>607</v>
      </c>
      <c r="H17" s="72" t="s">
        <v>172</v>
      </c>
      <c r="I17" s="260" t="s">
        <v>173</v>
      </c>
      <c r="J17" s="52"/>
      <c r="K17" s="261">
        <f>SUM(Material_PN_Belt!M43)</f>
        <v>0</v>
      </c>
      <c r="L17" s="262" t="s">
        <v>643</v>
      </c>
      <c r="M17" s="263">
        <f>SUM(Material_PN_Belt!N43)</f>
        <v>0</v>
      </c>
    </row>
    <row r="18" spans="2:13" x14ac:dyDescent="0.3">
      <c r="B18" s="229" t="s">
        <v>583</v>
      </c>
      <c r="C18" s="229">
        <v>0</v>
      </c>
      <c r="D18" s="72">
        <v>4</v>
      </c>
      <c r="E18" s="72" t="s">
        <v>608</v>
      </c>
      <c r="F18" s="72" t="s">
        <v>585</v>
      </c>
      <c r="G18" s="71" t="s">
        <v>609</v>
      </c>
      <c r="H18" s="72" t="s">
        <v>562</v>
      </c>
      <c r="I18" s="260" t="s">
        <v>187</v>
      </c>
      <c r="J18" s="52"/>
      <c r="K18" s="261">
        <v>1</v>
      </c>
      <c r="L18" s="262" t="s">
        <v>644</v>
      </c>
      <c r="M18" s="263">
        <f>SUM(Material_PN_Belt!N50:N59,Material_PN_Belt!N62)</f>
        <v>0</v>
      </c>
    </row>
    <row r="19" spans="2:13" x14ac:dyDescent="0.3">
      <c r="B19" s="229" t="s">
        <v>583</v>
      </c>
      <c r="C19" s="229">
        <v>0</v>
      </c>
      <c r="D19" s="229">
        <v>4</v>
      </c>
      <c r="E19" s="72" t="s">
        <v>593</v>
      </c>
      <c r="F19" s="72" t="s">
        <v>605</v>
      </c>
      <c r="G19" s="71" t="s">
        <v>609</v>
      </c>
      <c r="H19" s="72" t="s">
        <v>218</v>
      </c>
      <c r="I19" s="260" t="s">
        <v>187</v>
      </c>
      <c r="J19" s="52"/>
      <c r="K19" s="261">
        <f>SUM(Material_PN_Belt!M63)</f>
        <v>0</v>
      </c>
      <c r="L19" s="262" t="s">
        <v>643</v>
      </c>
      <c r="M19" s="263">
        <f>SUM(Material_PN_Belt!N63)</f>
        <v>0</v>
      </c>
    </row>
    <row r="20" spans="2:13" x14ac:dyDescent="0.3">
      <c r="B20" s="229" t="s">
        <v>583</v>
      </c>
      <c r="C20" s="229">
        <v>0</v>
      </c>
      <c r="D20" s="72">
        <v>4</v>
      </c>
      <c r="E20" s="72" t="s">
        <v>593</v>
      </c>
      <c r="F20" s="72" t="s">
        <v>585</v>
      </c>
      <c r="G20" s="71" t="s">
        <v>609</v>
      </c>
      <c r="H20" s="72" t="s">
        <v>563</v>
      </c>
      <c r="I20" s="260" t="s">
        <v>187</v>
      </c>
      <c r="J20" s="52"/>
      <c r="K20" s="261">
        <v>1</v>
      </c>
      <c r="L20" s="262" t="s">
        <v>644</v>
      </c>
      <c r="M20" s="263">
        <f>SUM(Material_PN_Belt!N64:N68)</f>
        <v>0</v>
      </c>
    </row>
    <row r="21" spans="2:13" x14ac:dyDescent="0.3">
      <c r="B21" s="229" t="s">
        <v>583</v>
      </c>
      <c r="C21" s="229">
        <v>0</v>
      </c>
      <c r="D21" s="229">
        <v>4</v>
      </c>
      <c r="E21" s="72" t="s">
        <v>593</v>
      </c>
      <c r="F21" s="72" t="s">
        <v>585</v>
      </c>
      <c r="G21" s="71" t="s">
        <v>610</v>
      </c>
      <c r="H21" s="72" t="s">
        <v>564</v>
      </c>
      <c r="I21" s="260" t="s">
        <v>244</v>
      </c>
      <c r="J21" s="52"/>
      <c r="K21" s="261">
        <v>1</v>
      </c>
      <c r="L21" s="262" t="s">
        <v>644</v>
      </c>
      <c r="M21" s="263">
        <f>SUM(Material_PN_Belt!N71:N75,Material_PN_Belt!N77:N82,Material_PN_Belt!N84:N90,Material_PN_Belt!N92:N99,Material_PN_Belt!N101:N109)</f>
        <v>0</v>
      </c>
    </row>
    <row r="22" spans="2:13" x14ac:dyDescent="0.3">
      <c r="B22" s="229" t="s">
        <v>583</v>
      </c>
      <c r="C22" s="229">
        <v>0</v>
      </c>
      <c r="D22" s="72">
        <v>4</v>
      </c>
      <c r="E22" s="72" t="s">
        <v>593</v>
      </c>
      <c r="F22" s="72" t="s">
        <v>585</v>
      </c>
      <c r="G22" s="71" t="s">
        <v>611</v>
      </c>
      <c r="H22" s="72" t="s">
        <v>565</v>
      </c>
      <c r="I22" s="260" t="s">
        <v>286</v>
      </c>
      <c r="J22" s="52"/>
      <c r="K22" s="261">
        <v>1</v>
      </c>
      <c r="L22" s="262" t="s">
        <v>644</v>
      </c>
      <c r="M22" s="263">
        <f>SUM(Material_PN_Belt!N112:N120)</f>
        <v>0</v>
      </c>
    </row>
    <row r="23" spans="2:13" x14ac:dyDescent="0.3">
      <c r="B23" s="229" t="s">
        <v>583</v>
      </c>
      <c r="C23" s="229">
        <v>0</v>
      </c>
      <c r="D23" s="229">
        <v>4</v>
      </c>
      <c r="E23" s="72" t="s">
        <v>593</v>
      </c>
      <c r="F23" s="72" t="s">
        <v>605</v>
      </c>
      <c r="G23" s="71" t="s">
        <v>612</v>
      </c>
      <c r="H23" s="72" t="s">
        <v>316</v>
      </c>
      <c r="I23" s="260" t="s">
        <v>317</v>
      </c>
      <c r="J23" s="52"/>
      <c r="K23" s="261">
        <f>SUM(Material_PN_Belt!M121)</f>
        <v>0</v>
      </c>
      <c r="L23" s="262" t="s">
        <v>643</v>
      </c>
      <c r="M23" s="263">
        <f>SUM(Material_PN_Belt!N121)</f>
        <v>0</v>
      </c>
    </row>
    <row r="24" spans="2:13" x14ac:dyDescent="0.3">
      <c r="B24" s="229" t="s">
        <v>583</v>
      </c>
      <c r="C24" s="229">
        <v>0</v>
      </c>
      <c r="D24" s="229">
        <v>4</v>
      </c>
      <c r="E24" s="72" t="s">
        <v>593</v>
      </c>
      <c r="F24" s="72" t="s">
        <v>585</v>
      </c>
      <c r="G24" s="71" t="s">
        <v>613</v>
      </c>
      <c r="H24" s="72" t="s">
        <v>566</v>
      </c>
      <c r="I24" s="264" t="s">
        <v>286</v>
      </c>
      <c r="J24" s="52"/>
      <c r="K24" s="261">
        <f>SUM(Material_PN_Belt!M122)</f>
        <v>0</v>
      </c>
      <c r="L24" s="262" t="s">
        <v>643</v>
      </c>
      <c r="M24" s="263">
        <f>SUM(Material_PN_Belt!N122)</f>
        <v>0</v>
      </c>
    </row>
    <row r="25" spans="2:13" x14ac:dyDescent="0.3">
      <c r="B25" s="229" t="s">
        <v>583</v>
      </c>
      <c r="C25" s="229">
        <v>0</v>
      </c>
      <c r="D25" s="229">
        <v>4</v>
      </c>
      <c r="E25" s="72" t="s">
        <v>593</v>
      </c>
      <c r="F25" s="72" t="s">
        <v>585</v>
      </c>
      <c r="G25" s="71" t="s">
        <v>613</v>
      </c>
      <c r="H25" s="72" t="s">
        <v>566</v>
      </c>
      <c r="I25" s="264" t="s">
        <v>328</v>
      </c>
      <c r="J25" s="52"/>
      <c r="K25" s="261">
        <f>SUM(Material_PN_Belt!M123)</f>
        <v>0</v>
      </c>
      <c r="L25" s="262" t="s">
        <v>643</v>
      </c>
      <c r="M25" s="263">
        <f>SUM(Material_PN_Belt!N123)</f>
        <v>0</v>
      </c>
    </row>
    <row r="26" spans="2:13" x14ac:dyDescent="0.3">
      <c r="B26" s="229" t="s">
        <v>583</v>
      </c>
      <c r="C26" s="229">
        <v>0</v>
      </c>
      <c r="D26" s="72">
        <v>4</v>
      </c>
      <c r="E26" s="72" t="s">
        <v>593</v>
      </c>
      <c r="F26" s="72" t="s">
        <v>585</v>
      </c>
      <c r="G26" s="71" t="s">
        <v>614</v>
      </c>
      <c r="H26" s="336" t="s">
        <v>567</v>
      </c>
      <c r="I26" s="335" t="s">
        <v>648</v>
      </c>
      <c r="J26" s="52"/>
      <c r="K26" s="261">
        <f>SUM(Material_PN_Belt!M126)</f>
        <v>0</v>
      </c>
      <c r="L26" s="262" t="s">
        <v>643</v>
      </c>
      <c r="M26" s="263">
        <f>SUM(Material_PN_Belt!N126)</f>
        <v>0</v>
      </c>
    </row>
    <row r="27" spans="2:13" x14ac:dyDescent="0.3">
      <c r="B27" s="229" t="s">
        <v>583</v>
      </c>
      <c r="C27" s="229">
        <v>0</v>
      </c>
      <c r="D27" s="72">
        <v>4</v>
      </c>
      <c r="E27" s="72" t="s">
        <v>593</v>
      </c>
      <c r="F27" s="72" t="s">
        <v>585</v>
      </c>
      <c r="G27" s="71" t="s">
        <v>614</v>
      </c>
      <c r="H27" s="336" t="s">
        <v>567</v>
      </c>
      <c r="I27" s="335" t="s">
        <v>649</v>
      </c>
      <c r="J27" s="52"/>
      <c r="K27" s="261">
        <f>SUM(Material_PN_Belt!M127)</f>
        <v>0</v>
      </c>
      <c r="L27" s="262" t="s">
        <v>643</v>
      </c>
      <c r="M27" s="263">
        <f>SUM(Material_PN_Belt!N127)</f>
        <v>0</v>
      </c>
    </row>
    <row r="28" spans="2:13" x14ac:dyDescent="0.3">
      <c r="B28" s="229" t="s">
        <v>583</v>
      </c>
      <c r="C28" s="229">
        <v>0</v>
      </c>
      <c r="D28" s="72">
        <v>4</v>
      </c>
      <c r="E28" s="72" t="s">
        <v>593</v>
      </c>
      <c r="F28" s="72" t="s">
        <v>585</v>
      </c>
      <c r="G28" s="71" t="s">
        <v>614</v>
      </c>
      <c r="H28" s="336" t="s">
        <v>567</v>
      </c>
      <c r="I28" s="335" t="s">
        <v>650</v>
      </c>
      <c r="J28" s="52"/>
      <c r="K28" s="261">
        <f>SUM(Material_PN_Belt!M128)</f>
        <v>0</v>
      </c>
      <c r="L28" s="262" t="s">
        <v>643</v>
      </c>
      <c r="M28" s="263">
        <f>SUM(Material_PN_Belt!N128)</f>
        <v>0</v>
      </c>
    </row>
    <row r="29" spans="2:13" x14ac:dyDescent="0.3">
      <c r="B29" s="229" t="s">
        <v>583</v>
      </c>
      <c r="C29" s="229">
        <v>0</v>
      </c>
      <c r="D29" s="72">
        <v>4</v>
      </c>
      <c r="E29" s="72" t="s">
        <v>593</v>
      </c>
      <c r="F29" s="72" t="s">
        <v>585</v>
      </c>
      <c r="G29" s="71" t="s">
        <v>614</v>
      </c>
      <c r="H29" s="336" t="s">
        <v>567</v>
      </c>
      <c r="I29" s="335" t="s">
        <v>651</v>
      </c>
      <c r="J29" s="52"/>
      <c r="K29" s="261">
        <f>SUM(Material_PN_Belt!M129)</f>
        <v>0</v>
      </c>
      <c r="L29" s="262" t="s">
        <v>643</v>
      </c>
      <c r="M29" s="263">
        <f>SUM(Material_PN_Belt!N129)</f>
        <v>0</v>
      </c>
    </row>
    <row r="30" spans="2:13" x14ac:dyDescent="0.3">
      <c r="B30" s="229" t="s">
        <v>583</v>
      </c>
      <c r="C30" s="229">
        <v>0</v>
      </c>
      <c r="D30" s="72">
        <v>4</v>
      </c>
      <c r="E30" s="72" t="s">
        <v>593</v>
      </c>
      <c r="F30" s="72" t="s">
        <v>585</v>
      </c>
      <c r="G30" s="71" t="s">
        <v>614</v>
      </c>
      <c r="H30" s="336" t="s">
        <v>567</v>
      </c>
      <c r="I30" s="335" t="s">
        <v>652</v>
      </c>
      <c r="J30" s="52"/>
      <c r="K30" s="261">
        <f>SUM(Material_PN_Belt!M130)</f>
        <v>0</v>
      </c>
      <c r="L30" s="262" t="s">
        <v>643</v>
      </c>
      <c r="M30" s="263">
        <f>SUM(Material_PN_Belt!N130)</f>
        <v>0</v>
      </c>
    </row>
    <row r="31" spans="2:13" x14ac:dyDescent="0.3">
      <c r="B31" s="229" t="s">
        <v>583</v>
      </c>
      <c r="C31" s="229">
        <v>0</v>
      </c>
      <c r="D31" s="72">
        <v>4</v>
      </c>
      <c r="E31" s="72" t="s">
        <v>593</v>
      </c>
      <c r="F31" s="72" t="s">
        <v>585</v>
      </c>
      <c r="G31" s="71" t="s">
        <v>614</v>
      </c>
      <c r="H31" s="336" t="s">
        <v>567</v>
      </c>
      <c r="I31" s="335" t="s">
        <v>653</v>
      </c>
      <c r="J31" s="52"/>
      <c r="K31" s="261">
        <f>SUM(Material_PN_Belt!M131)</f>
        <v>0</v>
      </c>
      <c r="L31" s="262" t="s">
        <v>643</v>
      </c>
      <c r="M31" s="263">
        <f>SUM(Material_PN_Belt!N131)</f>
        <v>0</v>
      </c>
    </row>
    <row r="32" spans="2:13" x14ac:dyDescent="0.3">
      <c r="B32" s="229" t="s">
        <v>583</v>
      </c>
      <c r="C32" s="229">
        <v>0</v>
      </c>
      <c r="D32" s="72">
        <v>4</v>
      </c>
      <c r="E32" s="72" t="s">
        <v>593</v>
      </c>
      <c r="F32" s="72" t="s">
        <v>585</v>
      </c>
      <c r="G32" s="71" t="s">
        <v>614</v>
      </c>
      <c r="H32" s="336" t="s">
        <v>567</v>
      </c>
      <c r="I32" s="335" t="s">
        <v>655</v>
      </c>
      <c r="J32" s="52"/>
      <c r="K32" s="261">
        <f>SUM(Material_PN_Belt!M132)</f>
        <v>0</v>
      </c>
      <c r="L32" s="262" t="s">
        <v>643</v>
      </c>
      <c r="M32" s="263">
        <f>SUM(Material_PN_Belt!N132)</f>
        <v>0</v>
      </c>
    </row>
    <row r="33" spans="2:13" x14ac:dyDescent="0.3">
      <c r="B33" s="229" t="s">
        <v>583</v>
      </c>
      <c r="C33" s="229">
        <v>0</v>
      </c>
      <c r="D33" s="72">
        <v>4</v>
      </c>
      <c r="E33" s="72" t="s">
        <v>593</v>
      </c>
      <c r="F33" s="72" t="s">
        <v>585</v>
      </c>
      <c r="G33" s="71" t="s">
        <v>614</v>
      </c>
      <c r="H33" s="336" t="s">
        <v>567</v>
      </c>
      <c r="I33" s="335" t="s">
        <v>656</v>
      </c>
      <c r="J33" s="52"/>
      <c r="K33" s="261">
        <f>SUM(Material_PN_Belt!M133)</f>
        <v>0</v>
      </c>
      <c r="L33" s="262" t="s">
        <v>643</v>
      </c>
      <c r="M33" s="263">
        <f>SUM(Material_PN_Belt!N133)</f>
        <v>0</v>
      </c>
    </row>
    <row r="34" spans="2:13" x14ac:dyDescent="0.3">
      <c r="B34" s="229" t="s">
        <v>583</v>
      </c>
      <c r="C34" s="229">
        <v>0</v>
      </c>
      <c r="D34" s="72">
        <v>4</v>
      </c>
      <c r="E34" s="72" t="s">
        <v>593</v>
      </c>
      <c r="F34" s="72" t="s">
        <v>585</v>
      </c>
      <c r="G34" s="71" t="s">
        <v>614</v>
      </c>
      <c r="H34" s="336" t="s">
        <v>567</v>
      </c>
      <c r="I34" s="335" t="s">
        <v>384</v>
      </c>
      <c r="J34" s="52"/>
      <c r="K34" s="261">
        <f>SUM(Material_PN_Belt!M134)</f>
        <v>5</v>
      </c>
      <c r="L34" s="262" t="s">
        <v>643</v>
      </c>
      <c r="M34" s="263">
        <f>SUM(Material_PN_Belt!N134)</f>
        <v>744.25</v>
      </c>
    </row>
    <row r="35" spans="2:13" x14ac:dyDescent="0.3">
      <c r="B35" s="229" t="s">
        <v>583</v>
      </c>
      <c r="C35" s="229">
        <v>0</v>
      </c>
      <c r="D35" s="72">
        <v>4</v>
      </c>
      <c r="E35" s="72" t="s">
        <v>593</v>
      </c>
      <c r="F35" s="72" t="s">
        <v>585</v>
      </c>
      <c r="G35" s="71" t="s">
        <v>614</v>
      </c>
      <c r="H35" s="336" t="s">
        <v>567</v>
      </c>
      <c r="I35" s="335" t="s">
        <v>387</v>
      </c>
      <c r="J35" s="52"/>
      <c r="K35" s="261">
        <f>SUM(Material_PN_Belt!M135)</f>
        <v>3</v>
      </c>
      <c r="L35" s="262" t="s">
        <v>643</v>
      </c>
      <c r="M35" s="263">
        <f>SUM(Material_PN_Belt!N135)</f>
        <v>577.89</v>
      </c>
    </row>
    <row r="36" spans="2:13" x14ac:dyDescent="0.3">
      <c r="B36" s="229" t="s">
        <v>583</v>
      </c>
      <c r="C36" s="229">
        <v>0</v>
      </c>
      <c r="D36" s="72">
        <v>4</v>
      </c>
      <c r="E36" s="72" t="s">
        <v>593</v>
      </c>
      <c r="F36" s="72" t="s">
        <v>585</v>
      </c>
      <c r="G36" s="71" t="s">
        <v>614</v>
      </c>
      <c r="H36" s="336" t="s">
        <v>567</v>
      </c>
      <c r="I36" s="335" t="s">
        <v>390</v>
      </c>
      <c r="J36" s="52"/>
      <c r="K36" s="261">
        <f>SUM(Material_PN_Belt!M136)</f>
        <v>2</v>
      </c>
      <c r="L36" s="262" t="s">
        <v>643</v>
      </c>
      <c r="M36" s="263">
        <f>SUM(Material_PN_Belt!N136)</f>
        <v>321.58</v>
      </c>
    </row>
    <row r="37" spans="2:13" x14ac:dyDescent="0.3">
      <c r="B37" s="229" t="s">
        <v>583</v>
      </c>
      <c r="C37" s="229">
        <v>0</v>
      </c>
      <c r="D37" s="72">
        <v>4</v>
      </c>
      <c r="E37" s="72" t="s">
        <v>593</v>
      </c>
      <c r="F37" s="72" t="s">
        <v>585</v>
      </c>
      <c r="G37" s="71" t="s">
        <v>614</v>
      </c>
      <c r="H37" s="336" t="s">
        <v>567</v>
      </c>
      <c r="I37" s="335" t="s">
        <v>393</v>
      </c>
      <c r="J37" s="52"/>
      <c r="K37" s="261">
        <f>SUM(Material_PN_Belt!M137)</f>
        <v>0</v>
      </c>
      <c r="L37" s="262" t="s">
        <v>643</v>
      </c>
      <c r="M37" s="263">
        <f>SUM(Material_PN_Belt!N137)</f>
        <v>0</v>
      </c>
    </row>
    <row r="38" spans="2:13" x14ac:dyDescent="0.3">
      <c r="B38" s="229" t="s">
        <v>583</v>
      </c>
      <c r="C38" s="229">
        <v>0</v>
      </c>
      <c r="D38" s="72">
        <v>2</v>
      </c>
      <c r="E38" s="72" t="s">
        <v>823</v>
      </c>
      <c r="F38" s="72" t="s">
        <v>615</v>
      </c>
      <c r="G38" s="71" t="s">
        <v>824</v>
      </c>
      <c r="H38" s="72" t="s">
        <v>809</v>
      </c>
      <c r="I38" s="260" t="s">
        <v>816</v>
      </c>
      <c r="J38" s="52"/>
      <c r="K38" s="261">
        <f>SUM(Material_PN_Belt!M143)</f>
        <v>0</v>
      </c>
      <c r="L38" s="262" t="s">
        <v>643</v>
      </c>
      <c r="M38" s="263">
        <f>SUM(Material_PN_Belt!N143)</f>
        <v>0</v>
      </c>
    </row>
    <row r="39" spans="2:13" x14ac:dyDescent="0.3">
      <c r="B39" s="229" t="s">
        <v>583</v>
      </c>
      <c r="C39" s="229">
        <v>0</v>
      </c>
      <c r="D39" s="72">
        <v>2</v>
      </c>
      <c r="E39" s="72" t="s">
        <v>823</v>
      </c>
      <c r="F39" s="72" t="s">
        <v>615</v>
      </c>
      <c r="G39" s="71" t="s">
        <v>825</v>
      </c>
      <c r="H39" s="72" t="s">
        <v>810</v>
      </c>
      <c r="I39" s="260" t="s">
        <v>817</v>
      </c>
      <c r="J39" s="52"/>
      <c r="K39" s="261">
        <f>SUM(Material_PN_Belt!M144)</f>
        <v>0</v>
      </c>
      <c r="L39" s="262" t="s">
        <v>643</v>
      </c>
      <c r="M39" s="263">
        <f>SUM(Material_PN_Belt!N144)</f>
        <v>0</v>
      </c>
    </row>
    <row r="40" spans="2:13" x14ac:dyDescent="0.3">
      <c r="B40" s="229" t="s">
        <v>583</v>
      </c>
      <c r="C40" s="229">
        <v>0</v>
      </c>
      <c r="D40" s="72">
        <v>2</v>
      </c>
      <c r="E40" s="72" t="s">
        <v>823</v>
      </c>
      <c r="F40" s="72" t="s">
        <v>615</v>
      </c>
      <c r="G40" s="71" t="s">
        <v>826</v>
      </c>
      <c r="H40" s="72" t="s">
        <v>811</v>
      </c>
      <c r="I40" s="260" t="s">
        <v>818</v>
      </c>
      <c r="J40" s="52"/>
      <c r="K40" s="261">
        <f>SUM(Material_PN_Belt!M145)</f>
        <v>0</v>
      </c>
      <c r="L40" s="262" t="s">
        <v>643</v>
      </c>
      <c r="M40" s="263">
        <f>SUM(Material_PN_Belt!N145)</f>
        <v>0</v>
      </c>
    </row>
    <row r="41" spans="2:13" x14ac:dyDescent="0.3">
      <c r="B41" s="229" t="s">
        <v>583</v>
      </c>
      <c r="C41" s="229">
        <v>0</v>
      </c>
      <c r="D41" s="229">
        <v>2</v>
      </c>
      <c r="E41" s="72" t="s">
        <v>823</v>
      </c>
      <c r="F41" s="72" t="s">
        <v>615</v>
      </c>
      <c r="G41" s="71" t="s">
        <v>827</v>
      </c>
      <c r="H41" s="72" t="s">
        <v>812</v>
      </c>
      <c r="I41" s="260" t="s">
        <v>819</v>
      </c>
      <c r="J41" s="52"/>
      <c r="K41" s="261">
        <f>SUM(Material_PN_Belt!M146)</f>
        <v>0</v>
      </c>
      <c r="L41" s="262" t="s">
        <v>643</v>
      </c>
      <c r="M41" s="263">
        <f>SUM(Material_PN_Belt!N146)</f>
        <v>0</v>
      </c>
    </row>
    <row r="42" spans="2:13" x14ac:dyDescent="0.3">
      <c r="B42" s="229" t="s">
        <v>583</v>
      </c>
      <c r="C42" s="229">
        <v>0</v>
      </c>
      <c r="D42" s="72">
        <v>2</v>
      </c>
      <c r="E42" s="72" t="s">
        <v>823</v>
      </c>
      <c r="F42" s="72" t="s">
        <v>615</v>
      </c>
      <c r="G42" s="71" t="s">
        <v>828</v>
      </c>
      <c r="H42" s="72" t="s">
        <v>813</v>
      </c>
      <c r="I42" s="260" t="s">
        <v>820</v>
      </c>
      <c r="J42" s="52"/>
      <c r="K42" s="261">
        <f>SUM(Material_PN_Belt!M147)</f>
        <v>0</v>
      </c>
      <c r="L42" s="262" t="s">
        <v>643</v>
      </c>
      <c r="M42" s="263">
        <f>SUM(Material_PN_Belt!N147)</f>
        <v>0</v>
      </c>
    </row>
    <row r="43" spans="2:13" x14ac:dyDescent="0.3">
      <c r="B43" s="229" t="s">
        <v>583</v>
      </c>
      <c r="C43" s="229">
        <v>0</v>
      </c>
      <c r="D43" s="229">
        <v>2</v>
      </c>
      <c r="E43" s="72" t="s">
        <v>823</v>
      </c>
      <c r="F43" s="72" t="s">
        <v>615</v>
      </c>
      <c r="G43" s="71" t="s">
        <v>829</v>
      </c>
      <c r="H43" s="72" t="s">
        <v>814</v>
      </c>
      <c r="I43" s="260" t="s">
        <v>821</v>
      </c>
      <c r="J43" s="52"/>
      <c r="K43" s="261">
        <f>SUM(Material_PN_Belt!M148)</f>
        <v>0</v>
      </c>
      <c r="L43" s="262" t="s">
        <v>643</v>
      </c>
      <c r="M43" s="263">
        <f>SUM(Material_PN_Belt!N148)</f>
        <v>0</v>
      </c>
    </row>
    <row r="44" spans="2:13" x14ac:dyDescent="0.3">
      <c r="B44" s="229" t="s">
        <v>583</v>
      </c>
      <c r="C44" s="229">
        <v>0</v>
      </c>
      <c r="D44" s="72">
        <v>2</v>
      </c>
      <c r="E44" s="72" t="s">
        <v>823</v>
      </c>
      <c r="F44" s="72" t="s">
        <v>615</v>
      </c>
      <c r="G44" s="71" t="s">
        <v>830</v>
      </c>
      <c r="H44" s="72" t="s">
        <v>815</v>
      </c>
      <c r="I44" s="260" t="s">
        <v>822</v>
      </c>
      <c r="J44" s="52"/>
      <c r="K44" s="261">
        <f>SUM(Material_PN_Belt!M149)</f>
        <v>0</v>
      </c>
      <c r="L44" s="262" t="s">
        <v>643</v>
      </c>
      <c r="M44" s="263">
        <f>SUM(Material_PN_Belt!N149)</f>
        <v>0</v>
      </c>
    </row>
    <row r="45" spans="2:13" x14ac:dyDescent="0.3">
      <c r="B45" s="229" t="s">
        <v>583</v>
      </c>
      <c r="C45" s="229">
        <v>0</v>
      </c>
      <c r="D45" s="229">
        <v>4</v>
      </c>
      <c r="E45" s="72" t="s">
        <v>593</v>
      </c>
      <c r="F45" s="72" t="s">
        <v>615</v>
      </c>
      <c r="G45" s="71" t="s">
        <v>617</v>
      </c>
      <c r="H45" s="72" t="s">
        <v>468</v>
      </c>
      <c r="I45" s="260" t="s">
        <v>469</v>
      </c>
      <c r="J45" s="52"/>
      <c r="K45" s="261">
        <f>SUM(Material_PN_Belt!M150)</f>
        <v>0</v>
      </c>
      <c r="L45" s="262" t="s">
        <v>643</v>
      </c>
      <c r="M45" s="263">
        <f>SUM(Material_PN_Belt!N150)</f>
        <v>0</v>
      </c>
    </row>
    <row r="46" spans="2:13" x14ac:dyDescent="0.3">
      <c r="B46" s="229" t="s">
        <v>583</v>
      </c>
      <c r="C46" s="229">
        <v>0</v>
      </c>
      <c r="D46" s="72">
        <v>4</v>
      </c>
      <c r="E46" s="72" t="s">
        <v>593</v>
      </c>
      <c r="F46" s="72" t="s">
        <v>831</v>
      </c>
      <c r="G46" s="71" t="s">
        <v>618</v>
      </c>
      <c r="H46" s="72" t="s">
        <v>479</v>
      </c>
      <c r="I46" s="260" t="s">
        <v>832</v>
      </c>
      <c r="J46" s="52"/>
      <c r="K46" s="261">
        <f>SUM(Material_PN_Belt!M152)</f>
        <v>0</v>
      </c>
      <c r="L46" s="262" t="s">
        <v>643</v>
      </c>
      <c r="M46" s="263">
        <f>SUM(Material_PN_Belt!N152)</f>
        <v>0</v>
      </c>
    </row>
    <row r="47" spans="2:13" x14ac:dyDescent="0.3">
      <c r="B47" s="229" t="s">
        <v>583</v>
      </c>
      <c r="C47" s="229">
        <v>0</v>
      </c>
      <c r="D47" s="72">
        <v>4</v>
      </c>
      <c r="E47" s="72" t="s">
        <v>593</v>
      </c>
      <c r="F47" s="72" t="s">
        <v>585</v>
      </c>
      <c r="G47" s="71" t="s">
        <v>619</v>
      </c>
      <c r="H47" s="72" t="s">
        <v>569</v>
      </c>
      <c r="I47" s="260" t="s">
        <v>494</v>
      </c>
      <c r="J47" s="52"/>
      <c r="K47" s="261">
        <v>1</v>
      </c>
      <c r="L47" s="262" t="s">
        <v>644</v>
      </c>
      <c r="M47" s="263">
        <f>SUM(Material_PN_Belt!N156:N161)</f>
        <v>0</v>
      </c>
    </row>
    <row r="48" spans="2:13" x14ac:dyDescent="0.3">
      <c r="B48" s="229" t="s">
        <v>583</v>
      </c>
      <c r="C48" s="229">
        <v>0</v>
      </c>
      <c r="D48" s="229">
        <v>4</v>
      </c>
      <c r="E48" s="72" t="s">
        <v>593</v>
      </c>
      <c r="F48" s="72" t="s">
        <v>585</v>
      </c>
      <c r="G48" s="71" t="s">
        <v>620</v>
      </c>
      <c r="H48" s="72" t="s">
        <v>570</v>
      </c>
      <c r="I48" s="260" t="s">
        <v>526</v>
      </c>
      <c r="J48" s="52"/>
      <c r="K48" s="261">
        <v>1</v>
      </c>
      <c r="L48" s="262" t="s">
        <v>644</v>
      </c>
      <c r="M48" s="263">
        <f>SUM(Material_PN_Belt!N162:N169)</f>
        <v>0</v>
      </c>
    </row>
    <row r="49" spans="1:14" x14ac:dyDescent="0.3">
      <c r="B49" s="229" t="s">
        <v>583</v>
      </c>
      <c r="C49" s="229">
        <v>0</v>
      </c>
      <c r="D49" s="229">
        <v>4</v>
      </c>
      <c r="E49" s="72" t="s">
        <v>621</v>
      </c>
      <c r="F49" s="72" t="s">
        <v>585</v>
      </c>
      <c r="G49" s="71" t="s">
        <v>596</v>
      </c>
      <c r="H49" s="72" t="s">
        <v>571</v>
      </c>
      <c r="I49" s="260" t="s">
        <v>553</v>
      </c>
      <c r="J49" s="52"/>
      <c r="K49" s="261">
        <v>1</v>
      </c>
      <c r="L49" s="262" t="s">
        <v>644</v>
      </c>
      <c r="M49" s="263">
        <f>SUM(Material_PN_Belt!N171)</f>
        <v>0</v>
      </c>
    </row>
    <row r="50" spans="1:14" x14ac:dyDescent="0.3">
      <c r="B50" s="295" t="s">
        <v>583</v>
      </c>
      <c r="C50" s="296">
        <v>0</v>
      </c>
      <c r="D50" s="296">
        <v>4</v>
      </c>
      <c r="E50" s="296" t="s">
        <v>593</v>
      </c>
      <c r="F50" s="296" t="s">
        <v>585</v>
      </c>
      <c r="G50" s="296" t="s">
        <v>614</v>
      </c>
      <c r="H50" s="296" t="s">
        <v>567</v>
      </c>
      <c r="I50" s="305" t="s">
        <v>487</v>
      </c>
      <c r="J50" s="297"/>
      <c r="K50" s="306">
        <f>SUM(K3:K17,K19,K23:K46)</f>
        <v>10</v>
      </c>
      <c r="L50" s="306" t="s">
        <v>643</v>
      </c>
      <c r="M50" s="297">
        <f>SUM(Material_PN_Belt!N155)</f>
        <v>0</v>
      </c>
    </row>
    <row r="51" spans="1:14" s="323" customFormat="1" ht="27" customHeight="1" x14ac:dyDescent="0.3">
      <c r="B51" s="324"/>
      <c r="C51" s="325"/>
      <c r="D51" s="325"/>
      <c r="E51" s="325"/>
      <c r="F51" s="325"/>
      <c r="G51" s="325"/>
      <c r="H51" s="325"/>
      <c r="I51" s="326"/>
      <c r="J51" s="327"/>
      <c r="K51" s="327"/>
      <c r="L51" s="327"/>
      <c r="M51" s="328" t="s">
        <v>919</v>
      </c>
      <c r="N51" s="328" t="s">
        <v>920</v>
      </c>
    </row>
    <row r="52" spans="1:14" x14ac:dyDescent="0.3">
      <c r="A52" s="279" t="s">
        <v>707</v>
      </c>
      <c r="B52" s="229" t="s">
        <v>583</v>
      </c>
      <c r="C52" s="72">
        <v>0</v>
      </c>
      <c r="D52" s="72">
        <v>4</v>
      </c>
      <c r="E52" s="72" t="s">
        <v>663</v>
      </c>
      <c r="F52" s="72" t="s">
        <v>585</v>
      </c>
      <c r="G52" s="72" t="s">
        <v>664</v>
      </c>
      <c r="H52" s="265" t="s">
        <v>658</v>
      </c>
      <c r="I52" s="266" t="s">
        <v>669</v>
      </c>
      <c r="J52" s="52"/>
      <c r="K52" s="52"/>
      <c r="L52" s="262" t="s">
        <v>695</v>
      </c>
      <c r="M52" s="267"/>
      <c r="N52" s="267"/>
    </row>
    <row r="53" spans="1:14" x14ac:dyDescent="0.3">
      <c r="B53" s="229" t="s">
        <v>583</v>
      </c>
      <c r="C53" s="72">
        <v>0</v>
      </c>
      <c r="D53" s="72">
        <v>4</v>
      </c>
      <c r="E53" s="72" t="s">
        <v>663</v>
      </c>
      <c r="F53" s="72" t="s">
        <v>585</v>
      </c>
      <c r="G53" s="72" t="s">
        <v>665</v>
      </c>
      <c r="H53" s="265" t="s">
        <v>659</v>
      </c>
      <c r="I53" s="266" t="s">
        <v>670</v>
      </c>
      <c r="J53" s="52"/>
      <c r="K53" s="52"/>
      <c r="L53" s="262" t="s">
        <v>695</v>
      </c>
      <c r="M53" s="267"/>
      <c r="N53" s="267"/>
    </row>
    <row r="54" spans="1:14" x14ac:dyDescent="0.3">
      <c r="B54" s="229" t="s">
        <v>583</v>
      </c>
      <c r="C54" s="72">
        <v>0</v>
      </c>
      <c r="D54" s="72">
        <v>4</v>
      </c>
      <c r="E54" s="72" t="s">
        <v>663</v>
      </c>
      <c r="F54" s="72" t="s">
        <v>585</v>
      </c>
      <c r="G54" s="72" t="s">
        <v>666</v>
      </c>
      <c r="H54" s="265" t="s">
        <v>660</v>
      </c>
      <c r="I54" s="268" t="s">
        <v>671</v>
      </c>
      <c r="J54" s="52"/>
      <c r="K54" s="52"/>
      <c r="L54" s="262" t="s">
        <v>695</v>
      </c>
      <c r="M54" s="267"/>
      <c r="N54" s="267"/>
    </row>
    <row r="55" spans="1:14" x14ac:dyDescent="0.3">
      <c r="B55" s="229" t="s">
        <v>583</v>
      </c>
      <c r="C55" s="72">
        <v>0</v>
      </c>
      <c r="D55" s="72">
        <v>4</v>
      </c>
      <c r="E55" s="72" t="s">
        <v>663</v>
      </c>
      <c r="F55" s="72" t="s">
        <v>585</v>
      </c>
      <c r="G55" s="72" t="s">
        <v>666</v>
      </c>
      <c r="H55" s="265" t="s">
        <v>660</v>
      </c>
      <c r="I55" s="268" t="s">
        <v>672</v>
      </c>
      <c r="J55" s="52"/>
      <c r="K55" s="52"/>
      <c r="L55" s="262" t="s">
        <v>695</v>
      </c>
      <c r="M55" s="267"/>
      <c r="N55" s="267"/>
    </row>
    <row r="56" spans="1:14" x14ac:dyDescent="0.3">
      <c r="B56" s="229" t="s">
        <v>583</v>
      </c>
      <c r="C56" s="72">
        <v>0</v>
      </c>
      <c r="D56" s="72">
        <v>4</v>
      </c>
      <c r="E56" s="72" t="s">
        <v>663</v>
      </c>
      <c r="F56" s="72" t="s">
        <v>585</v>
      </c>
      <c r="G56" s="72" t="s">
        <v>667</v>
      </c>
      <c r="H56" s="265" t="s">
        <v>661</v>
      </c>
      <c r="I56" s="268" t="s">
        <v>673</v>
      </c>
      <c r="J56" s="52"/>
      <c r="K56" s="52"/>
      <c r="L56" s="262" t="s">
        <v>695</v>
      </c>
      <c r="M56" s="267"/>
      <c r="N56" s="267"/>
    </row>
    <row r="57" spans="1:14" x14ac:dyDescent="0.3">
      <c r="B57" s="229" t="s">
        <v>583</v>
      </c>
      <c r="C57" s="72">
        <v>0</v>
      </c>
      <c r="D57" s="72">
        <v>4</v>
      </c>
      <c r="E57" s="72" t="s">
        <v>663</v>
      </c>
      <c r="F57" s="72" t="s">
        <v>585</v>
      </c>
      <c r="G57" s="72" t="s">
        <v>666</v>
      </c>
      <c r="H57" s="265" t="s">
        <v>660</v>
      </c>
      <c r="I57" s="268" t="s">
        <v>674</v>
      </c>
      <c r="J57" s="52"/>
      <c r="K57" s="52"/>
      <c r="L57" s="262" t="s">
        <v>695</v>
      </c>
      <c r="M57" s="267"/>
      <c r="N57" s="267"/>
    </row>
    <row r="58" spans="1:14" x14ac:dyDescent="0.3">
      <c r="B58" s="229" t="s">
        <v>583</v>
      </c>
      <c r="C58" s="72">
        <v>0</v>
      </c>
      <c r="D58" s="72">
        <v>4</v>
      </c>
      <c r="E58" s="72" t="s">
        <v>663</v>
      </c>
      <c r="F58" s="72" t="s">
        <v>585</v>
      </c>
      <c r="G58" s="72" t="s">
        <v>665</v>
      </c>
      <c r="H58" s="265" t="s">
        <v>659</v>
      </c>
      <c r="I58" s="268" t="s">
        <v>675</v>
      </c>
      <c r="J58" s="52"/>
      <c r="K58" s="52"/>
      <c r="L58" s="262" t="s">
        <v>695</v>
      </c>
      <c r="M58" s="267"/>
      <c r="N58" s="267"/>
    </row>
    <row r="59" spans="1:14" x14ac:dyDescent="0.3">
      <c r="B59" s="229" t="s">
        <v>583</v>
      </c>
      <c r="C59" s="72">
        <v>0</v>
      </c>
      <c r="D59" s="72">
        <v>4</v>
      </c>
      <c r="E59" s="72" t="s">
        <v>663</v>
      </c>
      <c r="F59" s="72" t="s">
        <v>585</v>
      </c>
      <c r="G59" s="72" t="s">
        <v>665</v>
      </c>
      <c r="H59" s="265" t="s">
        <v>659</v>
      </c>
      <c r="I59" s="268" t="s">
        <v>676</v>
      </c>
      <c r="J59" s="52"/>
      <c r="K59" s="52"/>
      <c r="L59" s="262" t="s">
        <v>695</v>
      </c>
      <c r="M59" s="267"/>
      <c r="N59" s="267"/>
    </row>
    <row r="60" spans="1:14" x14ac:dyDescent="0.3">
      <c r="B60" s="229" t="s">
        <v>583</v>
      </c>
      <c r="C60" s="72">
        <v>0</v>
      </c>
      <c r="D60" s="72">
        <v>4</v>
      </c>
      <c r="E60" s="72" t="s">
        <v>663</v>
      </c>
      <c r="F60" s="72" t="s">
        <v>585</v>
      </c>
      <c r="G60" s="72" t="s">
        <v>667</v>
      </c>
      <c r="H60" s="265" t="s">
        <v>661</v>
      </c>
      <c r="I60" s="268" t="s">
        <v>677</v>
      </c>
      <c r="J60" s="52"/>
      <c r="K60" s="52"/>
      <c r="L60" s="262" t="s">
        <v>695</v>
      </c>
      <c r="M60" s="267"/>
      <c r="N60" s="267"/>
    </row>
    <row r="61" spans="1:14" x14ac:dyDescent="0.3">
      <c r="B61" s="229" t="s">
        <v>583</v>
      </c>
      <c r="C61" s="72">
        <v>0</v>
      </c>
      <c r="D61" s="72">
        <v>4</v>
      </c>
      <c r="E61" s="72" t="s">
        <v>663</v>
      </c>
      <c r="F61" s="72" t="s">
        <v>585</v>
      </c>
      <c r="G61" s="72" t="s">
        <v>667</v>
      </c>
      <c r="H61" s="265" t="s">
        <v>661</v>
      </c>
      <c r="I61" s="268" t="s">
        <v>678</v>
      </c>
      <c r="J61" s="52"/>
      <c r="K61" s="52"/>
      <c r="L61" s="262" t="s">
        <v>695</v>
      </c>
      <c r="M61" s="267"/>
      <c r="N61" s="267"/>
    </row>
    <row r="62" spans="1:14" x14ac:dyDescent="0.3">
      <c r="B62" s="229" t="s">
        <v>583</v>
      </c>
      <c r="C62" s="72">
        <v>0</v>
      </c>
      <c r="D62" s="72">
        <v>4</v>
      </c>
      <c r="E62" s="72" t="s">
        <v>663</v>
      </c>
      <c r="F62" s="72" t="s">
        <v>585</v>
      </c>
      <c r="G62" s="72" t="s">
        <v>665</v>
      </c>
      <c r="H62" s="265" t="s">
        <v>659</v>
      </c>
      <c r="I62" s="268" t="s">
        <v>679</v>
      </c>
      <c r="J62" s="52"/>
      <c r="K62" s="52"/>
      <c r="L62" s="262" t="s">
        <v>695</v>
      </c>
      <c r="M62" s="267"/>
      <c r="N62" s="267"/>
    </row>
    <row r="63" spans="1:14" x14ac:dyDescent="0.3">
      <c r="B63" s="229" t="s">
        <v>583</v>
      </c>
      <c r="C63" s="72">
        <v>0</v>
      </c>
      <c r="D63" s="72">
        <v>4</v>
      </c>
      <c r="E63" s="72" t="s">
        <v>663</v>
      </c>
      <c r="F63" s="72" t="s">
        <v>585</v>
      </c>
      <c r="G63" s="72" t="s">
        <v>667</v>
      </c>
      <c r="H63" s="265" t="s">
        <v>661</v>
      </c>
      <c r="I63" s="268" t="s">
        <v>680</v>
      </c>
      <c r="J63" s="52"/>
      <c r="K63" s="52"/>
      <c r="L63" s="262" t="s">
        <v>695</v>
      </c>
      <c r="M63" s="267"/>
      <c r="N63" s="267"/>
    </row>
    <row r="64" spans="1:14" x14ac:dyDescent="0.3">
      <c r="B64" s="229" t="s">
        <v>583</v>
      </c>
      <c r="C64" s="72">
        <v>0</v>
      </c>
      <c r="D64" s="72">
        <v>4</v>
      </c>
      <c r="E64" s="72" t="s">
        <v>663</v>
      </c>
      <c r="F64" s="72" t="s">
        <v>585</v>
      </c>
      <c r="G64" s="72" t="s">
        <v>667</v>
      </c>
      <c r="H64" s="265" t="s">
        <v>661</v>
      </c>
      <c r="I64" s="268" t="s">
        <v>681</v>
      </c>
      <c r="J64" s="52"/>
      <c r="K64" s="52"/>
      <c r="L64" s="262" t="s">
        <v>695</v>
      </c>
      <c r="M64" s="267"/>
      <c r="N64" s="267"/>
    </row>
    <row r="65" spans="1:14" x14ac:dyDescent="0.3">
      <c r="B65" s="229" t="s">
        <v>583</v>
      </c>
      <c r="C65" s="72">
        <v>0</v>
      </c>
      <c r="D65" s="72">
        <v>4</v>
      </c>
      <c r="E65" s="72" t="s">
        <v>663</v>
      </c>
      <c r="F65" s="72" t="s">
        <v>585</v>
      </c>
      <c r="G65" s="72" t="s">
        <v>667</v>
      </c>
      <c r="H65" s="265" t="s">
        <v>661</v>
      </c>
      <c r="I65" s="268" t="s">
        <v>682</v>
      </c>
      <c r="J65" s="52"/>
      <c r="K65" s="52"/>
      <c r="L65" s="262" t="s">
        <v>695</v>
      </c>
      <c r="M65" s="267"/>
      <c r="N65" s="267"/>
    </row>
    <row r="66" spans="1:14" x14ac:dyDescent="0.3">
      <c r="B66" s="229" t="s">
        <v>583</v>
      </c>
      <c r="C66" s="72">
        <v>0</v>
      </c>
      <c r="D66" s="72">
        <v>4</v>
      </c>
      <c r="E66" s="72" t="s">
        <v>663</v>
      </c>
      <c r="F66" s="72" t="s">
        <v>585</v>
      </c>
      <c r="G66" s="72" t="s">
        <v>667</v>
      </c>
      <c r="H66" s="265" t="s">
        <v>661</v>
      </c>
      <c r="I66" s="268" t="s">
        <v>683</v>
      </c>
      <c r="J66" s="52"/>
      <c r="K66" s="52"/>
      <c r="L66" s="262" t="s">
        <v>695</v>
      </c>
      <c r="M66" s="267"/>
      <c r="N66" s="267"/>
    </row>
    <row r="67" spans="1:14" x14ac:dyDescent="0.3">
      <c r="B67" s="229" t="s">
        <v>583</v>
      </c>
      <c r="C67" s="72">
        <v>0</v>
      </c>
      <c r="D67" s="72">
        <v>4</v>
      </c>
      <c r="E67" s="72" t="s">
        <v>663</v>
      </c>
      <c r="F67" s="72" t="s">
        <v>585</v>
      </c>
      <c r="G67" s="72" t="s">
        <v>667</v>
      </c>
      <c r="H67" s="265" t="s">
        <v>661</v>
      </c>
      <c r="I67" s="268" t="s">
        <v>684</v>
      </c>
      <c r="J67" s="52"/>
      <c r="K67" s="52"/>
      <c r="L67" s="262" t="s">
        <v>695</v>
      </c>
      <c r="M67" s="267"/>
      <c r="N67" s="267"/>
    </row>
    <row r="68" spans="1:14" x14ac:dyDescent="0.3">
      <c r="B68" s="229" t="s">
        <v>583</v>
      </c>
      <c r="C68" s="72">
        <v>0</v>
      </c>
      <c r="D68" s="72">
        <v>4</v>
      </c>
      <c r="E68" s="72" t="s">
        <v>663</v>
      </c>
      <c r="F68" s="72" t="s">
        <v>585</v>
      </c>
      <c r="G68" s="72" t="s">
        <v>667</v>
      </c>
      <c r="H68" s="265" t="s">
        <v>661</v>
      </c>
      <c r="I68" s="268" t="s">
        <v>685</v>
      </c>
      <c r="J68" s="52"/>
      <c r="K68" s="52"/>
      <c r="L68" s="262" t="s">
        <v>695</v>
      </c>
      <c r="M68" s="267"/>
      <c r="N68" s="267"/>
    </row>
    <row r="69" spans="1:14" x14ac:dyDescent="0.3">
      <c r="B69" s="229" t="s">
        <v>583</v>
      </c>
      <c r="C69" s="72">
        <v>0</v>
      </c>
      <c r="D69" s="72">
        <v>4</v>
      </c>
      <c r="E69" s="72" t="s">
        <v>663</v>
      </c>
      <c r="F69" s="72" t="s">
        <v>585</v>
      </c>
      <c r="G69" s="72" t="s">
        <v>667</v>
      </c>
      <c r="H69" s="265" t="s">
        <v>661</v>
      </c>
      <c r="I69" s="268" t="s">
        <v>686</v>
      </c>
      <c r="J69" s="52"/>
      <c r="K69" s="52"/>
      <c r="L69" s="262" t="s">
        <v>695</v>
      </c>
      <c r="M69" s="267"/>
      <c r="N69" s="267"/>
    </row>
    <row r="70" spans="1:14" x14ac:dyDescent="0.3">
      <c r="B70" s="229" t="s">
        <v>583</v>
      </c>
      <c r="C70" s="72">
        <v>0</v>
      </c>
      <c r="D70" s="72">
        <v>4</v>
      </c>
      <c r="E70" s="72" t="s">
        <v>663</v>
      </c>
      <c r="F70" s="72" t="s">
        <v>585</v>
      </c>
      <c r="G70" s="72" t="s">
        <v>665</v>
      </c>
      <c r="H70" s="265" t="s">
        <v>659</v>
      </c>
      <c r="I70" s="268" t="s">
        <v>687</v>
      </c>
      <c r="J70" s="52"/>
      <c r="K70" s="52"/>
      <c r="L70" s="262" t="s">
        <v>695</v>
      </c>
      <c r="M70" s="267"/>
      <c r="N70" s="267"/>
    </row>
    <row r="71" spans="1:14" x14ac:dyDescent="0.3">
      <c r="B71" s="229" t="s">
        <v>583</v>
      </c>
      <c r="C71" s="72">
        <v>0</v>
      </c>
      <c r="D71" s="72">
        <v>4</v>
      </c>
      <c r="E71" s="72" t="s">
        <v>663</v>
      </c>
      <c r="F71" s="72" t="s">
        <v>585</v>
      </c>
      <c r="G71" s="72" t="s">
        <v>668</v>
      </c>
      <c r="H71" s="265" t="s">
        <v>662</v>
      </c>
      <c r="I71" s="268" t="s">
        <v>688</v>
      </c>
      <c r="J71" s="52"/>
      <c r="K71" s="52"/>
      <c r="L71" s="262" t="s">
        <v>695</v>
      </c>
      <c r="M71" s="267"/>
      <c r="N71" s="267"/>
    </row>
    <row r="72" spans="1:14" ht="27" x14ac:dyDescent="0.3">
      <c r="A72" s="278" t="s">
        <v>834</v>
      </c>
      <c r="B72" s="286"/>
      <c r="C72" s="287"/>
      <c r="D72" s="287"/>
      <c r="E72" s="287"/>
      <c r="F72" s="287"/>
      <c r="G72" s="287"/>
      <c r="H72" s="287"/>
      <c r="I72" s="288"/>
      <c r="J72" s="289"/>
      <c r="K72" s="289"/>
      <c r="L72" s="289"/>
      <c r="M72" s="290"/>
    </row>
    <row r="73" spans="1:14" ht="40.200000000000003" x14ac:dyDescent="0.3">
      <c r="A73" s="279" t="s">
        <v>706</v>
      </c>
      <c r="B73" s="291"/>
      <c r="C73" s="292"/>
      <c r="D73" s="292"/>
      <c r="E73" s="292"/>
      <c r="F73" s="292"/>
      <c r="G73" s="292"/>
      <c r="H73" s="292"/>
      <c r="I73" s="293"/>
      <c r="J73" s="294"/>
      <c r="K73" s="294"/>
      <c r="L73" s="294"/>
      <c r="M73" s="329" t="s">
        <v>921</v>
      </c>
    </row>
    <row r="74" spans="1:14" x14ac:dyDescent="0.3">
      <c r="A74" s="277" t="s">
        <v>835</v>
      </c>
      <c r="B74" s="281" t="s">
        <v>583</v>
      </c>
      <c r="C74" s="282"/>
      <c r="D74" s="282"/>
      <c r="E74" s="282"/>
      <c r="F74" s="282"/>
      <c r="G74" s="282"/>
      <c r="H74" s="282"/>
      <c r="I74" s="276" t="s">
        <v>708</v>
      </c>
      <c r="J74" s="283"/>
      <c r="K74" s="283"/>
      <c r="L74" s="284" t="s">
        <v>643</v>
      </c>
      <c r="M74" s="285"/>
    </row>
    <row r="75" spans="1:14" x14ac:dyDescent="0.3">
      <c r="A75" s="277" t="s">
        <v>589</v>
      </c>
      <c r="B75" s="229" t="s">
        <v>583</v>
      </c>
      <c r="C75" s="72"/>
      <c r="D75" s="72"/>
      <c r="E75" s="72"/>
      <c r="F75" s="72"/>
      <c r="G75" s="72"/>
      <c r="H75" s="72"/>
      <c r="I75" s="276" t="s">
        <v>709</v>
      </c>
      <c r="J75" s="52"/>
      <c r="K75" s="52"/>
      <c r="L75" s="262" t="s">
        <v>643</v>
      </c>
      <c r="M75" s="267"/>
    </row>
    <row r="76" spans="1:14" x14ac:dyDescent="0.3">
      <c r="A76" s="277" t="s">
        <v>836</v>
      </c>
      <c r="B76" s="229" t="s">
        <v>583</v>
      </c>
      <c r="C76" s="72"/>
      <c r="D76" s="72"/>
      <c r="E76" s="72"/>
      <c r="F76" s="72"/>
      <c r="G76" s="72"/>
      <c r="H76" s="72"/>
      <c r="I76" s="276" t="s">
        <v>710</v>
      </c>
      <c r="J76" s="52"/>
      <c r="K76" s="52"/>
      <c r="L76" s="262" t="s">
        <v>643</v>
      </c>
      <c r="M76" s="267"/>
    </row>
    <row r="77" spans="1:14" x14ac:dyDescent="0.3">
      <c r="A77" s="277" t="s">
        <v>837</v>
      </c>
      <c r="B77" s="229" t="s">
        <v>583</v>
      </c>
      <c r="C77" s="72"/>
      <c r="D77" s="72"/>
      <c r="E77" s="72"/>
      <c r="F77" s="72"/>
      <c r="G77" s="72"/>
      <c r="H77" s="72"/>
      <c r="I77" s="276" t="s">
        <v>711</v>
      </c>
      <c r="J77" s="52"/>
      <c r="K77" s="52"/>
      <c r="L77" s="262" t="s">
        <v>643</v>
      </c>
      <c r="M77" s="267"/>
    </row>
    <row r="78" spans="1:14" x14ac:dyDescent="0.3">
      <c r="A78" s="277" t="s">
        <v>838</v>
      </c>
      <c r="B78" s="229" t="s">
        <v>583</v>
      </c>
      <c r="C78" s="72"/>
      <c r="D78" s="72"/>
      <c r="E78" s="72"/>
      <c r="F78" s="72"/>
      <c r="G78" s="72"/>
      <c r="H78" s="72"/>
      <c r="I78" s="276" t="s">
        <v>712</v>
      </c>
      <c r="J78" s="52"/>
      <c r="K78" s="52"/>
      <c r="L78" s="262" t="s">
        <v>643</v>
      </c>
      <c r="M78" s="267"/>
    </row>
    <row r="79" spans="1:14" x14ac:dyDescent="0.3">
      <c r="A79" s="277" t="s">
        <v>839</v>
      </c>
      <c r="B79" s="229" t="s">
        <v>583</v>
      </c>
      <c r="C79" s="72"/>
      <c r="D79" s="72"/>
      <c r="E79" s="72"/>
      <c r="F79" s="72"/>
      <c r="G79" s="72"/>
      <c r="H79" s="72"/>
      <c r="I79" s="276" t="s">
        <v>713</v>
      </c>
      <c r="J79" s="52"/>
      <c r="K79" s="52"/>
      <c r="L79" s="262" t="s">
        <v>643</v>
      </c>
      <c r="M79" s="267"/>
    </row>
    <row r="80" spans="1:14" x14ac:dyDescent="0.3">
      <c r="A80" s="277" t="s">
        <v>840</v>
      </c>
      <c r="B80" s="229" t="s">
        <v>583</v>
      </c>
      <c r="C80" s="72"/>
      <c r="D80" s="72"/>
      <c r="E80" s="72"/>
      <c r="F80" s="72"/>
      <c r="G80" s="72"/>
      <c r="H80" s="72"/>
      <c r="I80" s="276" t="s">
        <v>714</v>
      </c>
      <c r="J80" s="52"/>
      <c r="K80" s="52"/>
      <c r="L80" s="262" t="s">
        <v>643</v>
      </c>
      <c r="M80" s="267"/>
    </row>
    <row r="81" spans="1:13" x14ac:dyDescent="0.3">
      <c r="A81" s="277" t="s">
        <v>841</v>
      </c>
      <c r="B81" s="229" t="s">
        <v>583</v>
      </c>
      <c r="C81" s="72"/>
      <c r="D81" s="72"/>
      <c r="E81" s="72"/>
      <c r="F81" s="72"/>
      <c r="G81" s="72"/>
      <c r="H81" s="72"/>
      <c r="I81" s="276" t="s">
        <v>715</v>
      </c>
      <c r="J81" s="52"/>
      <c r="K81" s="52"/>
      <c r="L81" s="262" t="s">
        <v>643</v>
      </c>
      <c r="M81" s="267"/>
    </row>
    <row r="82" spans="1:13" x14ac:dyDescent="0.3">
      <c r="A82" s="277" t="s">
        <v>842</v>
      </c>
      <c r="B82" s="229" t="s">
        <v>583</v>
      </c>
      <c r="C82" s="72"/>
      <c r="D82" s="72"/>
      <c r="E82" s="72"/>
      <c r="F82" s="72"/>
      <c r="G82" s="72"/>
      <c r="H82" s="72"/>
      <c r="I82" s="276" t="s">
        <v>716</v>
      </c>
      <c r="J82" s="52"/>
      <c r="K82" s="52"/>
      <c r="L82" s="262" t="s">
        <v>643</v>
      </c>
      <c r="M82" s="267"/>
    </row>
    <row r="83" spans="1:13" x14ac:dyDescent="0.3">
      <c r="A83" s="277" t="s">
        <v>843</v>
      </c>
      <c r="B83" s="229" t="s">
        <v>583</v>
      </c>
      <c r="C83" s="72"/>
      <c r="D83" s="72"/>
      <c r="E83" s="72"/>
      <c r="F83" s="72"/>
      <c r="G83" s="72"/>
      <c r="H83" s="72"/>
      <c r="I83" s="276" t="s">
        <v>717</v>
      </c>
      <c r="J83" s="52"/>
      <c r="K83" s="52"/>
      <c r="L83" s="262" t="s">
        <v>643</v>
      </c>
      <c r="M83" s="267"/>
    </row>
    <row r="84" spans="1:13" x14ac:dyDescent="0.3">
      <c r="A84" s="277" t="s">
        <v>844</v>
      </c>
      <c r="B84" s="229" t="s">
        <v>583</v>
      </c>
      <c r="C84" s="72"/>
      <c r="D84" s="72"/>
      <c r="E84" s="72"/>
      <c r="F84" s="72"/>
      <c r="G84" s="72"/>
      <c r="H84" s="72"/>
      <c r="I84" s="276" t="s">
        <v>718</v>
      </c>
      <c r="J84" s="52"/>
      <c r="K84" s="52"/>
      <c r="L84" s="262" t="s">
        <v>643</v>
      </c>
      <c r="M84" s="267"/>
    </row>
    <row r="85" spans="1:13" x14ac:dyDescent="0.3">
      <c r="A85" s="277" t="s">
        <v>845</v>
      </c>
      <c r="B85" s="229" t="s">
        <v>583</v>
      </c>
      <c r="C85" s="72"/>
      <c r="D85" s="72"/>
      <c r="E85" s="72"/>
      <c r="F85" s="72"/>
      <c r="G85" s="72"/>
      <c r="H85" s="72"/>
      <c r="I85" s="276" t="s">
        <v>719</v>
      </c>
      <c r="J85" s="52"/>
      <c r="K85" s="52"/>
      <c r="L85" s="262" t="s">
        <v>643</v>
      </c>
      <c r="M85" s="267"/>
    </row>
    <row r="86" spans="1:13" x14ac:dyDescent="0.3">
      <c r="A86" s="277" t="s">
        <v>846</v>
      </c>
      <c r="B86" s="229" t="s">
        <v>583</v>
      </c>
      <c r="C86" s="72"/>
      <c r="D86" s="72"/>
      <c r="E86" s="72"/>
      <c r="F86" s="72"/>
      <c r="G86" s="72"/>
      <c r="H86" s="72"/>
      <c r="I86" s="276" t="s">
        <v>720</v>
      </c>
      <c r="J86" s="52"/>
      <c r="K86" s="52"/>
      <c r="L86" s="262" t="s">
        <v>643</v>
      </c>
      <c r="M86" s="267"/>
    </row>
    <row r="87" spans="1:13" x14ac:dyDescent="0.3">
      <c r="A87" s="277" t="s">
        <v>847</v>
      </c>
      <c r="B87" s="229" t="s">
        <v>583</v>
      </c>
      <c r="C87" s="72"/>
      <c r="D87" s="72"/>
      <c r="E87" s="72"/>
      <c r="F87" s="72"/>
      <c r="G87" s="72"/>
      <c r="H87" s="72"/>
      <c r="I87" s="276" t="s">
        <v>721</v>
      </c>
      <c r="J87" s="52"/>
      <c r="K87" s="52"/>
      <c r="L87" s="262" t="s">
        <v>643</v>
      </c>
      <c r="M87" s="267"/>
    </row>
    <row r="88" spans="1:13" x14ac:dyDescent="0.3">
      <c r="A88" s="277" t="s">
        <v>848</v>
      </c>
      <c r="B88" s="229" t="s">
        <v>583</v>
      </c>
      <c r="C88" s="72"/>
      <c r="D88" s="72"/>
      <c r="E88" s="72"/>
      <c r="F88" s="72"/>
      <c r="G88" s="72"/>
      <c r="H88" s="72"/>
      <c r="I88" s="276" t="s">
        <v>722</v>
      </c>
      <c r="J88" s="52"/>
      <c r="K88" s="52"/>
      <c r="L88" s="262" t="s">
        <v>643</v>
      </c>
      <c r="M88" s="267"/>
    </row>
    <row r="89" spans="1:13" x14ac:dyDescent="0.3">
      <c r="A89" s="277" t="s">
        <v>849</v>
      </c>
      <c r="B89" s="229" t="s">
        <v>583</v>
      </c>
      <c r="C89" s="72"/>
      <c r="D89" s="72"/>
      <c r="E89" s="72"/>
      <c r="F89" s="72"/>
      <c r="G89" s="72"/>
      <c r="H89" s="72"/>
      <c r="I89" s="276" t="s">
        <v>723</v>
      </c>
      <c r="J89" s="52"/>
      <c r="K89" s="52"/>
      <c r="L89" s="262" t="s">
        <v>643</v>
      </c>
      <c r="M89" s="267"/>
    </row>
    <row r="90" spans="1:13" x14ac:dyDescent="0.3">
      <c r="A90" s="277" t="s">
        <v>850</v>
      </c>
      <c r="B90" s="229" t="s">
        <v>583</v>
      </c>
      <c r="C90" s="72"/>
      <c r="D90" s="72"/>
      <c r="E90" s="72"/>
      <c r="F90" s="72"/>
      <c r="G90" s="72"/>
      <c r="H90" s="72"/>
      <c r="I90" s="276" t="s">
        <v>724</v>
      </c>
      <c r="J90" s="52"/>
      <c r="K90" s="52"/>
      <c r="L90" s="262" t="s">
        <v>643</v>
      </c>
      <c r="M90" s="267"/>
    </row>
    <row r="91" spans="1:13" x14ac:dyDescent="0.3">
      <c r="A91" s="277" t="s">
        <v>851</v>
      </c>
      <c r="B91" s="229" t="s">
        <v>583</v>
      </c>
      <c r="C91" s="72"/>
      <c r="D91" s="72"/>
      <c r="E91" s="72"/>
      <c r="F91" s="72"/>
      <c r="G91" s="72"/>
      <c r="H91" s="72"/>
      <c r="I91" s="276" t="s">
        <v>725</v>
      </c>
      <c r="J91" s="52"/>
      <c r="K91" s="52"/>
      <c r="L91" s="262" t="s">
        <v>643</v>
      </c>
      <c r="M91" s="267"/>
    </row>
    <row r="92" spans="1:13" x14ac:dyDescent="0.3">
      <c r="A92" s="277" t="s">
        <v>852</v>
      </c>
      <c r="B92" s="229" t="s">
        <v>583</v>
      </c>
      <c r="C92" s="72"/>
      <c r="D92" s="72"/>
      <c r="E92" s="72"/>
      <c r="F92" s="72"/>
      <c r="G92" s="72"/>
      <c r="H92" s="72"/>
      <c r="I92" s="276" t="s">
        <v>726</v>
      </c>
      <c r="J92" s="52"/>
      <c r="K92" s="52"/>
      <c r="L92" s="262" t="s">
        <v>643</v>
      </c>
      <c r="M92" s="267"/>
    </row>
    <row r="93" spans="1:13" x14ac:dyDescent="0.3">
      <c r="A93" s="277" t="s">
        <v>853</v>
      </c>
      <c r="B93" s="229" t="s">
        <v>583</v>
      </c>
      <c r="C93" s="72"/>
      <c r="D93" s="72"/>
      <c r="E93" s="72"/>
      <c r="F93" s="72"/>
      <c r="G93" s="72"/>
      <c r="H93" s="72"/>
      <c r="I93" s="276" t="s">
        <v>727</v>
      </c>
      <c r="J93" s="52"/>
      <c r="K93" s="52"/>
      <c r="L93" s="262" t="s">
        <v>643</v>
      </c>
      <c r="M93" s="267"/>
    </row>
    <row r="94" spans="1:13" x14ac:dyDescent="0.3">
      <c r="A94" s="277" t="s">
        <v>854</v>
      </c>
      <c r="B94" s="229" t="s">
        <v>583</v>
      </c>
      <c r="C94" s="72"/>
      <c r="D94" s="72"/>
      <c r="E94" s="72"/>
      <c r="F94" s="72"/>
      <c r="G94" s="72"/>
      <c r="H94" s="72"/>
      <c r="I94" s="276" t="s">
        <v>728</v>
      </c>
      <c r="J94" s="52"/>
      <c r="K94" s="52"/>
      <c r="L94" s="262" t="s">
        <v>643</v>
      </c>
      <c r="M94" s="267"/>
    </row>
    <row r="95" spans="1:13" x14ac:dyDescent="0.3">
      <c r="A95" s="277" t="s">
        <v>855</v>
      </c>
      <c r="B95" s="229" t="s">
        <v>583</v>
      </c>
      <c r="C95" s="72"/>
      <c r="D95" s="72"/>
      <c r="E95" s="72"/>
      <c r="F95" s="72"/>
      <c r="G95" s="72"/>
      <c r="H95" s="72"/>
      <c r="I95" s="276" t="s">
        <v>729</v>
      </c>
      <c r="J95" s="52"/>
      <c r="K95" s="52"/>
      <c r="L95" s="262" t="s">
        <v>643</v>
      </c>
      <c r="M95" s="267"/>
    </row>
    <row r="96" spans="1:13" x14ac:dyDescent="0.3">
      <c r="A96" s="277" t="s">
        <v>856</v>
      </c>
      <c r="B96" s="229" t="s">
        <v>583</v>
      </c>
      <c r="C96" s="72"/>
      <c r="D96" s="72"/>
      <c r="E96" s="72"/>
      <c r="F96" s="72"/>
      <c r="G96" s="72"/>
      <c r="H96" s="72"/>
      <c r="I96" s="276" t="s">
        <v>730</v>
      </c>
      <c r="J96" s="52"/>
      <c r="K96" s="52"/>
      <c r="L96" s="262" t="s">
        <v>643</v>
      </c>
      <c r="M96" s="267"/>
    </row>
    <row r="97" spans="1:14" x14ac:dyDescent="0.3">
      <c r="A97" s="277" t="s">
        <v>857</v>
      </c>
      <c r="B97" s="229" t="s">
        <v>583</v>
      </c>
      <c r="C97" s="72"/>
      <c r="D97" s="72"/>
      <c r="E97" s="72"/>
      <c r="F97" s="72"/>
      <c r="G97" s="72"/>
      <c r="H97" s="72"/>
      <c r="I97" s="276" t="s">
        <v>731</v>
      </c>
      <c r="J97" s="52"/>
      <c r="K97" s="52"/>
      <c r="L97" s="262" t="s">
        <v>643</v>
      </c>
      <c r="M97" s="267"/>
    </row>
    <row r="98" spans="1:14" x14ac:dyDescent="0.3">
      <c r="A98" s="277" t="s">
        <v>858</v>
      </c>
      <c r="B98" s="229" t="s">
        <v>583</v>
      </c>
      <c r="C98" s="72"/>
      <c r="D98" s="72"/>
      <c r="E98" s="72"/>
      <c r="F98" s="72"/>
      <c r="G98" s="72"/>
      <c r="H98" s="72"/>
      <c r="I98" s="276" t="s">
        <v>732</v>
      </c>
      <c r="J98" s="52"/>
      <c r="K98" s="52"/>
      <c r="L98" s="262" t="s">
        <v>643</v>
      </c>
      <c r="M98" s="267"/>
    </row>
    <row r="99" spans="1:14" x14ac:dyDescent="0.3">
      <c r="A99" s="277" t="s">
        <v>859</v>
      </c>
      <c r="B99" s="229" t="s">
        <v>583</v>
      </c>
      <c r="C99" s="72"/>
      <c r="D99" s="72"/>
      <c r="E99" s="72"/>
      <c r="F99" s="72"/>
      <c r="G99" s="72"/>
      <c r="H99" s="72"/>
      <c r="I99" s="276" t="s">
        <v>733</v>
      </c>
      <c r="J99" s="52"/>
      <c r="K99" s="52"/>
      <c r="L99" s="262" t="s">
        <v>643</v>
      </c>
      <c r="M99" s="267"/>
    </row>
    <row r="100" spans="1:14" x14ac:dyDescent="0.3">
      <c r="A100" s="277" t="s">
        <v>860</v>
      </c>
      <c r="B100" s="229" t="s">
        <v>583</v>
      </c>
      <c r="C100" s="72"/>
      <c r="D100" s="72"/>
      <c r="E100" s="72"/>
      <c r="F100" s="72"/>
      <c r="G100" s="72"/>
      <c r="H100" s="72"/>
      <c r="I100" s="276" t="s">
        <v>734</v>
      </c>
      <c r="J100" s="52"/>
      <c r="K100" s="52"/>
      <c r="L100" s="262" t="s">
        <v>643</v>
      </c>
      <c r="M100" s="267"/>
    </row>
    <row r="101" spans="1:14" x14ac:dyDescent="0.3">
      <c r="A101" s="277" t="s">
        <v>861</v>
      </c>
      <c r="B101" s="229" t="s">
        <v>583</v>
      </c>
      <c r="C101" s="72"/>
      <c r="D101" s="72"/>
      <c r="E101" s="72"/>
      <c r="F101" s="72"/>
      <c r="G101" s="72"/>
      <c r="H101" s="72"/>
      <c r="I101" s="276" t="s">
        <v>735</v>
      </c>
      <c r="J101" s="52"/>
      <c r="K101" s="52"/>
      <c r="L101" s="262" t="s">
        <v>643</v>
      </c>
      <c r="M101" s="267"/>
    </row>
    <row r="102" spans="1:14" x14ac:dyDescent="0.3">
      <c r="A102" s="277" t="s">
        <v>862</v>
      </c>
      <c r="B102" s="229" t="s">
        <v>583</v>
      </c>
      <c r="C102" s="72"/>
      <c r="D102" s="72"/>
      <c r="E102" s="72"/>
      <c r="F102" s="72"/>
      <c r="G102" s="72"/>
      <c r="H102" s="72"/>
      <c r="I102" s="276" t="s">
        <v>736</v>
      </c>
      <c r="J102" s="52"/>
      <c r="K102" s="52"/>
      <c r="L102" s="262" t="s">
        <v>643</v>
      </c>
      <c r="M102" s="267"/>
    </row>
    <row r="103" spans="1:14" x14ac:dyDescent="0.3">
      <c r="A103" s="277" t="s">
        <v>863</v>
      </c>
      <c r="B103" s="229" t="s">
        <v>583</v>
      </c>
      <c r="C103" s="72"/>
      <c r="D103" s="72"/>
      <c r="E103" s="72"/>
      <c r="F103" s="72"/>
      <c r="G103" s="72"/>
      <c r="H103" s="72"/>
      <c r="I103" s="276" t="s">
        <v>737</v>
      </c>
      <c r="J103" s="52"/>
      <c r="K103" s="52"/>
      <c r="L103" s="262" t="s">
        <v>643</v>
      </c>
      <c r="M103" s="267"/>
    </row>
    <row r="104" spans="1:14" x14ac:dyDescent="0.3">
      <c r="A104" s="277" t="s">
        <v>864</v>
      </c>
      <c r="B104" s="229" t="s">
        <v>583</v>
      </c>
      <c r="C104" s="72"/>
      <c r="D104" s="72"/>
      <c r="E104" s="72"/>
      <c r="F104" s="72"/>
      <c r="G104" s="72"/>
      <c r="H104" s="72"/>
      <c r="I104" s="276" t="s">
        <v>738</v>
      </c>
      <c r="J104" s="52"/>
      <c r="K104" s="52"/>
      <c r="L104" s="262" t="s">
        <v>643</v>
      </c>
      <c r="M104" s="267"/>
    </row>
    <row r="105" spans="1:14" x14ac:dyDescent="0.3">
      <c r="A105" s="277" t="s">
        <v>865</v>
      </c>
      <c r="B105" s="229" t="s">
        <v>583</v>
      </c>
      <c r="C105" s="72"/>
      <c r="D105" s="72"/>
      <c r="E105" s="72"/>
      <c r="F105" s="72"/>
      <c r="G105" s="72"/>
      <c r="H105" s="72"/>
      <c r="I105" s="276" t="s">
        <v>739</v>
      </c>
      <c r="J105" s="52"/>
      <c r="K105" s="52"/>
      <c r="L105" s="262" t="s">
        <v>643</v>
      </c>
      <c r="M105" s="267"/>
    </row>
    <row r="106" spans="1:14" x14ac:dyDescent="0.3">
      <c r="A106" s="277" t="s">
        <v>866</v>
      </c>
      <c r="B106" s="229" t="s">
        <v>583</v>
      </c>
      <c r="C106" s="72"/>
      <c r="D106" s="72"/>
      <c r="E106" s="72"/>
      <c r="F106" s="72"/>
      <c r="G106" s="72"/>
      <c r="H106" s="72"/>
      <c r="I106" s="276" t="s">
        <v>740</v>
      </c>
      <c r="J106" s="52"/>
      <c r="K106" s="52"/>
      <c r="L106" s="262" t="s">
        <v>643</v>
      </c>
      <c r="M106" s="267"/>
    </row>
    <row r="107" spans="1:14" x14ac:dyDescent="0.3">
      <c r="A107" s="277" t="s">
        <v>867</v>
      </c>
      <c r="B107" s="229" t="s">
        <v>583</v>
      </c>
      <c r="C107" s="72"/>
      <c r="D107" s="72"/>
      <c r="E107" s="72"/>
      <c r="F107" s="72"/>
      <c r="G107" s="72"/>
      <c r="H107" s="72"/>
      <c r="I107" s="276" t="s">
        <v>741</v>
      </c>
      <c r="J107" s="52"/>
      <c r="K107" s="52"/>
      <c r="L107" s="262" t="s">
        <v>643</v>
      </c>
      <c r="M107" s="267"/>
    </row>
    <row r="108" spans="1:14" x14ac:dyDescent="0.3">
      <c r="A108" s="277" t="s">
        <v>868</v>
      </c>
      <c r="B108" s="229" t="s">
        <v>583</v>
      </c>
      <c r="C108" s="72"/>
      <c r="D108" s="72"/>
      <c r="E108" s="72"/>
      <c r="F108" s="72"/>
      <c r="G108" s="72"/>
      <c r="H108" s="72"/>
      <c r="I108" s="276" t="s">
        <v>742</v>
      </c>
      <c r="J108" s="52"/>
      <c r="K108" s="52"/>
      <c r="L108" s="262" t="s">
        <v>643</v>
      </c>
      <c r="M108" s="267"/>
    </row>
    <row r="109" spans="1:14" x14ac:dyDescent="0.3">
      <c r="A109" s="277" t="s">
        <v>869</v>
      </c>
      <c r="B109" s="229" t="s">
        <v>583</v>
      </c>
      <c r="C109" s="72"/>
      <c r="D109" s="72"/>
      <c r="E109" s="72"/>
      <c r="F109" s="72"/>
      <c r="G109" s="72"/>
      <c r="H109" s="72"/>
      <c r="I109" s="276" t="s">
        <v>743</v>
      </c>
      <c r="J109" s="52"/>
      <c r="K109" s="52"/>
      <c r="L109" s="262" t="s">
        <v>643</v>
      </c>
      <c r="M109" s="267"/>
      <c r="N109" s="239"/>
    </row>
    <row r="110" spans="1:14" x14ac:dyDescent="0.3">
      <c r="A110" s="277" t="s">
        <v>870</v>
      </c>
      <c r="B110" s="229" t="s">
        <v>583</v>
      </c>
      <c r="C110" s="72"/>
      <c r="D110" s="72"/>
      <c r="E110" s="72"/>
      <c r="F110" s="72"/>
      <c r="G110" s="72"/>
      <c r="H110" s="72"/>
      <c r="I110" s="276" t="s">
        <v>744</v>
      </c>
      <c r="J110" s="52"/>
      <c r="K110" s="52"/>
      <c r="L110" s="262" t="s">
        <v>643</v>
      </c>
      <c r="M110" s="267"/>
    </row>
    <row r="111" spans="1:14" x14ac:dyDescent="0.3">
      <c r="A111" s="277" t="s">
        <v>871</v>
      </c>
      <c r="B111" s="229" t="s">
        <v>583</v>
      </c>
      <c r="C111" s="72"/>
      <c r="D111" s="72"/>
      <c r="E111" s="72"/>
      <c r="F111" s="72"/>
      <c r="G111" s="72"/>
      <c r="H111" s="72"/>
      <c r="I111" s="276" t="s">
        <v>745</v>
      </c>
      <c r="J111" s="52"/>
      <c r="K111" s="52"/>
      <c r="L111" s="262" t="s">
        <v>643</v>
      </c>
      <c r="M111" s="267"/>
    </row>
    <row r="112" spans="1:14" x14ac:dyDescent="0.3">
      <c r="A112" s="277" t="s">
        <v>872</v>
      </c>
      <c r="B112" s="229" t="s">
        <v>583</v>
      </c>
      <c r="C112" s="72"/>
      <c r="D112" s="72"/>
      <c r="E112" s="72"/>
      <c r="F112" s="72"/>
      <c r="G112" s="72"/>
      <c r="H112" s="72"/>
      <c r="I112" s="276" t="s">
        <v>746</v>
      </c>
      <c r="J112" s="52"/>
      <c r="K112" s="52"/>
      <c r="L112" s="262" t="s">
        <v>643</v>
      </c>
      <c r="M112" s="267"/>
    </row>
    <row r="113" spans="1:13" x14ac:dyDescent="0.3">
      <c r="A113" s="277" t="s">
        <v>873</v>
      </c>
      <c r="B113" s="229" t="s">
        <v>583</v>
      </c>
      <c r="C113" s="72"/>
      <c r="D113" s="72"/>
      <c r="E113" s="72"/>
      <c r="F113" s="72"/>
      <c r="G113" s="72"/>
      <c r="H113" s="72"/>
      <c r="I113" s="276" t="s">
        <v>747</v>
      </c>
      <c r="J113" s="52"/>
      <c r="K113" s="52"/>
      <c r="L113" s="262" t="s">
        <v>643</v>
      </c>
      <c r="M113" s="267"/>
    </row>
    <row r="114" spans="1:13" x14ac:dyDescent="0.3">
      <c r="A114" s="277" t="s">
        <v>874</v>
      </c>
      <c r="B114" s="229" t="s">
        <v>583</v>
      </c>
      <c r="C114" s="72"/>
      <c r="D114" s="72"/>
      <c r="E114" s="72"/>
      <c r="F114" s="72"/>
      <c r="G114" s="72"/>
      <c r="H114" s="72"/>
      <c r="I114" s="276" t="s">
        <v>748</v>
      </c>
      <c r="J114" s="52"/>
      <c r="K114" s="52"/>
      <c r="L114" s="262" t="s">
        <v>643</v>
      </c>
      <c r="M114" s="267"/>
    </row>
    <row r="115" spans="1:13" x14ac:dyDescent="0.3">
      <c r="A115" s="277" t="s">
        <v>875</v>
      </c>
      <c r="B115" s="229" t="s">
        <v>583</v>
      </c>
      <c r="C115" s="72"/>
      <c r="D115" s="72"/>
      <c r="E115" s="72"/>
      <c r="F115" s="72"/>
      <c r="G115" s="72"/>
      <c r="H115" s="72"/>
      <c r="I115" s="276" t="s">
        <v>749</v>
      </c>
      <c r="J115" s="52"/>
      <c r="K115" s="52"/>
      <c r="L115" s="262" t="s">
        <v>643</v>
      </c>
      <c r="M115" s="267"/>
    </row>
    <row r="116" spans="1:13" x14ac:dyDescent="0.3">
      <c r="A116" s="277" t="s">
        <v>876</v>
      </c>
      <c r="B116" s="229" t="s">
        <v>583</v>
      </c>
      <c r="C116" s="72"/>
      <c r="D116" s="72"/>
      <c r="E116" s="72"/>
      <c r="F116" s="72"/>
      <c r="G116" s="72"/>
      <c r="H116" s="72"/>
      <c r="I116" s="276" t="s">
        <v>750</v>
      </c>
      <c r="J116" s="52"/>
      <c r="K116" s="52"/>
      <c r="L116" s="262" t="s">
        <v>643</v>
      </c>
      <c r="M116" s="267"/>
    </row>
    <row r="117" spans="1:13" x14ac:dyDescent="0.3">
      <c r="A117" s="277" t="s">
        <v>877</v>
      </c>
      <c r="B117" s="229" t="s">
        <v>583</v>
      </c>
      <c r="C117" s="72"/>
      <c r="D117" s="72"/>
      <c r="E117" s="72"/>
      <c r="F117" s="72"/>
      <c r="G117" s="72"/>
      <c r="H117" s="72"/>
      <c r="I117" s="276" t="s">
        <v>751</v>
      </c>
      <c r="J117" s="52"/>
      <c r="K117" s="52"/>
      <c r="L117" s="262" t="s">
        <v>643</v>
      </c>
      <c r="M117" s="267"/>
    </row>
    <row r="118" spans="1:13" x14ac:dyDescent="0.3">
      <c r="A118" s="277" t="s">
        <v>878</v>
      </c>
      <c r="B118" s="229" t="s">
        <v>583</v>
      </c>
      <c r="C118" s="72"/>
      <c r="D118" s="72"/>
      <c r="E118" s="72"/>
      <c r="F118" s="72"/>
      <c r="G118" s="72"/>
      <c r="H118" s="72"/>
      <c r="I118" s="276" t="s">
        <v>752</v>
      </c>
      <c r="J118" s="52"/>
      <c r="K118" s="52"/>
      <c r="L118" s="262" t="s">
        <v>643</v>
      </c>
      <c r="M118" s="267"/>
    </row>
    <row r="119" spans="1:13" x14ac:dyDescent="0.3">
      <c r="A119" s="277" t="s">
        <v>879</v>
      </c>
      <c r="B119" s="229" t="s">
        <v>583</v>
      </c>
      <c r="C119" s="72"/>
      <c r="D119" s="72"/>
      <c r="E119" s="72"/>
      <c r="F119" s="72"/>
      <c r="G119" s="72"/>
      <c r="H119" s="72"/>
      <c r="I119" s="276" t="s">
        <v>753</v>
      </c>
      <c r="J119" s="52"/>
      <c r="K119" s="52"/>
      <c r="L119" s="262" t="s">
        <v>643</v>
      </c>
      <c r="M119" s="267"/>
    </row>
    <row r="120" spans="1:13" x14ac:dyDescent="0.3">
      <c r="A120" s="277" t="s">
        <v>880</v>
      </c>
      <c r="B120" s="229" t="s">
        <v>583</v>
      </c>
      <c r="C120" s="72"/>
      <c r="D120" s="72"/>
      <c r="E120" s="72"/>
      <c r="F120" s="72"/>
      <c r="G120" s="72"/>
      <c r="H120" s="72"/>
      <c r="I120" s="276" t="s">
        <v>754</v>
      </c>
      <c r="J120" s="52"/>
      <c r="K120" s="52"/>
      <c r="L120" s="262" t="s">
        <v>643</v>
      </c>
      <c r="M120" s="267"/>
    </row>
    <row r="121" spans="1:13" x14ac:dyDescent="0.3">
      <c r="A121" s="277" t="s">
        <v>881</v>
      </c>
      <c r="B121" s="229" t="s">
        <v>583</v>
      </c>
      <c r="C121" s="72"/>
      <c r="D121" s="72"/>
      <c r="E121" s="72"/>
      <c r="F121" s="72"/>
      <c r="G121" s="72"/>
      <c r="H121" s="72"/>
      <c r="I121" s="276" t="s">
        <v>755</v>
      </c>
      <c r="J121" s="52"/>
      <c r="K121" s="52"/>
      <c r="L121" s="262" t="s">
        <v>643</v>
      </c>
      <c r="M121" s="267"/>
    </row>
    <row r="122" spans="1:13" x14ac:dyDescent="0.3">
      <c r="A122" s="277" t="s">
        <v>882</v>
      </c>
      <c r="B122" s="229" t="s">
        <v>583</v>
      </c>
      <c r="C122" s="72"/>
      <c r="D122" s="72"/>
      <c r="E122" s="72"/>
      <c r="F122" s="72"/>
      <c r="G122" s="72"/>
      <c r="H122" s="72"/>
      <c r="I122" s="276" t="s">
        <v>756</v>
      </c>
      <c r="J122" s="52"/>
      <c r="K122" s="52"/>
      <c r="L122" s="262" t="s">
        <v>643</v>
      </c>
      <c r="M122" s="267"/>
    </row>
    <row r="123" spans="1:13" x14ac:dyDescent="0.3">
      <c r="A123" s="277" t="s">
        <v>883</v>
      </c>
      <c r="B123" s="229" t="s">
        <v>583</v>
      </c>
      <c r="C123" s="72"/>
      <c r="D123" s="72"/>
      <c r="E123" s="72"/>
      <c r="F123" s="72"/>
      <c r="G123" s="72"/>
      <c r="H123" s="72"/>
      <c r="I123" s="276" t="s">
        <v>757</v>
      </c>
      <c r="J123" s="52"/>
      <c r="K123" s="52"/>
      <c r="L123" s="262" t="s">
        <v>643</v>
      </c>
      <c r="M123" s="267"/>
    </row>
    <row r="124" spans="1:13" x14ac:dyDescent="0.3">
      <c r="A124" s="277" t="s">
        <v>884</v>
      </c>
      <c r="B124" s="229" t="s">
        <v>583</v>
      </c>
      <c r="C124" s="72"/>
      <c r="D124" s="72"/>
      <c r="E124" s="72"/>
      <c r="F124" s="72"/>
      <c r="G124" s="72"/>
      <c r="H124" s="72"/>
      <c r="I124" s="276" t="s">
        <v>758</v>
      </c>
      <c r="J124" s="52"/>
      <c r="K124" s="52"/>
      <c r="L124" s="262" t="s">
        <v>643</v>
      </c>
      <c r="M124" s="267"/>
    </row>
    <row r="125" spans="1:13" x14ac:dyDescent="0.3">
      <c r="A125" s="277" t="s">
        <v>885</v>
      </c>
      <c r="B125" s="229" t="s">
        <v>583</v>
      </c>
      <c r="C125" s="72"/>
      <c r="D125" s="72"/>
      <c r="E125" s="72"/>
      <c r="F125" s="72"/>
      <c r="G125" s="72"/>
      <c r="H125" s="72"/>
      <c r="I125" s="276" t="s">
        <v>759</v>
      </c>
      <c r="J125" s="52"/>
      <c r="K125" s="52"/>
      <c r="L125" s="262" t="s">
        <v>643</v>
      </c>
      <c r="M125" s="267"/>
    </row>
    <row r="126" spans="1:13" x14ac:dyDescent="0.3">
      <c r="A126" s="277" t="s">
        <v>886</v>
      </c>
      <c r="B126" s="229" t="s">
        <v>583</v>
      </c>
      <c r="C126" s="72"/>
      <c r="D126" s="72"/>
      <c r="E126" s="72"/>
      <c r="F126" s="72"/>
      <c r="G126" s="72"/>
      <c r="H126" s="72"/>
      <c r="I126" s="276" t="s">
        <v>760</v>
      </c>
      <c r="J126" s="52"/>
      <c r="K126" s="52"/>
      <c r="L126" s="262" t="s">
        <v>643</v>
      </c>
      <c r="M126" s="267"/>
    </row>
    <row r="127" spans="1:13" x14ac:dyDescent="0.3">
      <c r="A127" s="277" t="s">
        <v>887</v>
      </c>
      <c r="B127" s="229" t="s">
        <v>583</v>
      </c>
      <c r="C127" s="72"/>
      <c r="D127" s="72"/>
      <c r="E127" s="72"/>
      <c r="F127" s="72"/>
      <c r="G127" s="72"/>
      <c r="H127" s="72"/>
      <c r="I127" s="276" t="s">
        <v>761</v>
      </c>
      <c r="J127" s="52"/>
      <c r="K127" s="52"/>
      <c r="L127" s="262" t="s">
        <v>643</v>
      </c>
      <c r="M127" s="267"/>
    </row>
    <row r="128" spans="1:13" x14ac:dyDescent="0.3">
      <c r="A128" s="277" t="s">
        <v>888</v>
      </c>
      <c r="B128" s="229" t="s">
        <v>583</v>
      </c>
      <c r="C128" s="72"/>
      <c r="D128" s="72"/>
      <c r="E128" s="72"/>
      <c r="F128" s="72"/>
      <c r="G128" s="72"/>
      <c r="H128" s="72"/>
      <c r="I128" s="276" t="s">
        <v>762</v>
      </c>
      <c r="J128" s="52"/>
      <c r="K128" s="52"/>
      <c r="L128" s="262" t="s">
        <v>643</v>
      </c>
      <c r="M128" s="267"/>
    </row>
    <row r="129" spans="1:14" x14ac:dyDescent="0.3">
      <c r="A129" s="277" t="s">
        <v>889</v>
      </c>
      <c r="B129" s="229" t="s">
        <v>583</v>
      </c>
      <c r="C129" s="72"/>
      <c r="D129" s="72"/>
      <c r="E129" s="72"/>
      <c r="F129" s="72"/>
      <c r="G129" s="72"/>
      <c r="H129" s="72"/>
      <c r="I129" s="276" t="s">
        <v>763</v>
      </c>
      <c r="J129" s="52"/>
      <c r="K129" s="52"/>
      <c r="L129" s="262" t="s">
        <v>643</v>
      </c>
      <c r="M129" s="267"/>
    </row>
    <row r="130" spans="1:14" x14ac:dyDescent="0.3">
      <c r="A130" s="277" t="s">
        <v>890</v>
      </c>
      <c r="B130" s="229" t="s">
        <v>583</v>
      </c>
      <c r="C130" s="72"/>
      <c r="D130" s="72"/>
      <c r="E130" s="72"/>
      <c r="F130" s="72"/>
      <c r="G130" s="72"/>
      <c r="H130" s="72"/>
      <c r="I130" s="276" t="s">
        <v>764</v>
      </c>
      <c r="J130" s="52"/>
      <c r="K130" s="52"/>
      <c r="L130" s="262" t="s">
        <v>643</v>
      </c>
      <c r="M130" s="267"/>
    </row>
    <row r="131" spans="1:14" x14ac:dyDescent="0.3">
      <c r="A131" s="277" t="s">
        <v>891</v>
      </c>
      <c r="B131" s="229" t="s">
        <v>583</v>
      </c>
      <c r="C131" s="72"/>
      <c r="D131" s="72"/>
      <c r="E131" s="72"/>
      <c r="F131" s="72"/>
      <c r="G131" s="72"/>
      <c r="H131" s="72"/>
      <c r="I131" s="276" t="s">
        <v>765</v>
      </c>
      <c r="J131" s="52"/>
      <c r="K131" s="52"/>
      <c r="L131" s="262" t="s">
        <v>643</v>
      </c>
      <c r="M131" s="267"/>
    </row>
    <row r="132" spans="1:14" x14ac:dyDescent="0.3">
      <c r="A132" s="277" t="s">
        <v>892</v>
      </c>
      <c r="B132" s="295" t="s">
        <v>583</v>
      </c>
      <c r="C132" s="296"/>
      <c r="D132" s="296"/>
      <c r="E132" s="296"/>
      <c r="F132" s="296"/>
      <c r="G132" s="296"/>
      <c r="H132" s="296"/>
      <c r="I132" s="276" t="s">
        <v>766</v>
      </c>
      <c r="J132" s="297"/>
      <c r="K132" s="297"/>
      <c r="L132" s="298" t="s">
        <v>643</v>
      </c>
      <c r="M132" s="299"/>
    </row>
    <row r="133" spans="1:14" ht="27" x14ac:dyDescent="0.3">
      <c r="A133" s="279" t="s">
        <v>767</v>
      </c>
      <c r="B133" s="300"/>
      <c r="C133" s="301"/>
      <c r="D133" s="301"/>
      <c r="E133" s="301"/>
      <c r="F133" s="301"/>
      <c r="G133" s="301"/>
      <c r="H133" s="301"/>
      <c r="I133" s="302"/>
      <c r="J133" s="303"/>
      <c r="K133" s="303"/>
      <c r="L133" s="303"/>
      <c r="M133" s="304"/>
    </row>
    <row r="134" spans="1:14" x14ac:dyDescent="0.3">
      <c r="A134" s="277" t="s">
        <v>893</v>
      </c>
      <c r="B134" s="281" t="s">
        <v>583</v>
      </c>
      <c r="C134" s="282"/>
      <c r="D134" s="282"/>
      <c r="E134" s="282"/>
      <c r="F134" s="282"/>
      <c r="G134" s="282"/>
      <c r="H134" s="282"/>
      <c r="I134" s="276" t="s">
        <v>768</v>
      </c>
      <c r="J134" s="283"/>
      <c r="K134" s="283"/>
      <c r="L134" s="284" t="s">
        <v>643</v>
      </c>
      <c r="M134" s="285"/>
      <c r="N134" s="239"/>
    </row>
    <row r="135" spans="1:14" x14ac:dyDescent="0.3">
      <c r="A135" s="277" t="s">
        <v>894</v>
      </c>
      <c r="B135" s="229" t="s">
        <v>583</v>
      </c>
      <c r="C135" s="72"/>
      <c r="D135" s="72"/>
      <c r="E135" s="72"/>
      <c r="F135" s="72"/>
      <c r="G135" s="72"/>
      <c r="H135" s="72"/>
      <c r="I135" s="276" t="s">
        <v>769</v>
      </c>
      <c r="J135" s="52"/>
      <c r="K135" s="52"/>
      <c r="L135" s="262" t="s">
        <v>643</v>
      </c>
      <c r="M135" s="267"/>
    </row>
    <row r="136" spans="1:14" x14ac:dyDescent="0.3">
      <c r="A136" s="277" t="s">
        <v>895</v>
      </c>
      <c r="B136" s="229" t="s">
        <v>583</v>
      </c>
      <c r="C136" s="72"/>
      <c r="D136" s="72"/>
      <c r="E136" s="72"/>
      <c r="F136" s="72"/>
      <c r="G136" s="72"/>
      <c r="H136" s="72"/>
      <c r="I136" s="276" t="s">
        <v>770</v>
      </c>
      <c r="J136" s="52"/>
      <c r="K136" s="52"/>
      <c r="L136" s="262" t="s">
        <v>643</v>
      </c>
      <c r="M136" s="267"/>
    </row>
    <row r="137" spans="1:14" x14ac:dyDescent="0.3">
      <c r="A137" s="277" t="s">
        <v>896</v>
      </c>
      <c r="B137" s="229" t="s">
        <v>583</v>
      </c>
      <c r="C137" s="72"/>
      <c r="D137" s="72"/>
      <c r="E137" s="72"/>
      <c r="F137" s="72"/>
      <c r="G137" s="72"/>
      <c r="H137" s="72"/>
      <c r="I137" s="276" t="s">
        <v>771</v>
      </c>
      <c r="J137" s="52"/>
      <c r="K137" s="52"/>
      <c r="L137" s="262" t="s">
        <v>643</v>
      </c>
      <c r="M137" s="267"/>
    </row>
    <row r="138" spans="1:14" x14ac:dyDescent="0.3">
      <c r="A138" s="277" t="s">
        <v>897</v>
      </c>
      <c r="B138" s="229" t="s">
        <v>583</v>
      </c>
      <c r="C138" s="72"/>
      <c r="D138" s="72"/>
      <c r="E138" s="72"/>
      <c r="F138" s="72"/>
      <c r="G138" s="72"/>
      <c r="H138" s="72"/>
      <c r="I138" s="276" t="s">
        <v>772</v>
      </c>
      <c r="J138" s="52"/>
      <c r="K138" s="52"/>
      <c r="L138" s="262" t="s">
        <v>643</v>
      </c>
      <c r="M138" s="267"/>
    </row>
    <row r="139" spans="1:14" x14ac:dyDescent="0.3">
      <c r="A139" s="277" t="s">
        <v>898</v>
      </c>
      <c r="B139" s="229" t="s">
        <v>583</v>
      </c>
      <c r="C139" s="72"/>
      <c r="D139" s="72"/>
      <c r="E139" s="72"/>
      <c r="F139" s="72"/>
      <c r="G139" s="72"/>
      <c r="H139" s="72"/>
      <c r="I139" s="276" t="s">
        <v>773</v>
      </c>
      <c r="J139" s="52"/>
      <c r="K139" s="52"/>
      <c r="L139" s="262" t="s">
        <v>643</v>
      </c>
      <c r="M139" s="267"/>
    </row>
    <row r="140" spans="1:14" x14ac:dyDescent="0.3">
      <c r="A140" s="277" t="s">
        <v>899</v>
      </c>
      <c r="B140" s="229" t="s">
        <v>583</v>
      </c>
      <c r="C140" s="72"/>
      <c r="D140" s="72"/>
      <c r="E140" s="72"/>
      <c r="F140" s="72"/>
      <c r="G140" s="72"/>
      <c r="H140" s="72"/>
      <c r="I140" s="276" t="s">
        <v>774</v>
      </c>
      <c r="J140" s="52"/>
      <c r="K140" s="52"/>
      <c r="L140" s="262" t="s">
        <v>643</v>
      </c>
      <c r="M140" s="267"/>
    </row>
    <row r="141" spans="1:14" x14ac:dyDescent="0.3">
      <c r="A141" s="277" t="s">
        <v>900</v>
      </c>
      <c r="B141" s="229" t="s">
        <v>583</v>
      </c>
      <c r="C141" s="72"/>
      <c r="D141" s="72"/>
      <c r="E141" s="72"/>
      <c r="F141" s="72"/>
      <c r="G141" s="72"/>
      <c r="H141" s="72"/>
      <c r="I141" s="276" t="s">
        <v>775</v>
      </c>
      <c r="J141" s="52"/>
      <c r="K141" s="52"/>
      <c r="L141" s="262" t="s">
        <v>643</v>
      </c>
      <c r="M141" s="267"/>
    </row>
    <row r="142" spans="1:14" x14ac:dyDescent="0.3">
      <c r="A142" s="277" t="s">
        <v>901</v>
      </c>
      <c r="B142" s="229" t="s">
        <v>583</v>
      </c>
      <c r="C142" s="72"/>
      <c r="D142" s="72"/>
      <c r="E142" s="72"/>
      <c r="F142" s="72"/>
      <c r="G142" s="72"/>
      <c r="H142" s="72"/>
      <c r="I142" s="276" t="s">
        <v>776</v>
      </c>
      <c r="J142" s="52"/>
      <c r="K142" s="52"/>
      <c r="L142" s="262" t="s">
        <v>643</v>
      </c>
      <c r="M142" s="267"/>
    </row>
    <row r="143" spans="1:14" x14ac:dyDescent="0.3">
      <c r="A143" s="277" t="s">
        <v>902</v>
      </c>
      <c r="B143" s="229" t="s">
        <v>583</v>
      </c>
      <c r="C143" s="72"/>
      <c r="D143" s="72"/>
      <c r="E143" s="72"/>
      <c r="F143" s="72"/>
      <c r="G143" s="72"/>
      <c r="H143" s="72"/>
      <c r="I143" s="276" t="s">
        <v>777</v>
      </c>
      <c r="J143" s="52"/>
      <c r="K143" s="52"/>
      <c r="L143" s="262" t="s">
        <v>643</v>
      </c>
      <c r="M143" s="267"/>
    </row>
    <row r="144" spans="1:14" x14ac:dyDescent="0.3">
      <c r="A144" s="277" t="s">
        <v>903</v>
      </c>
      <c r="B144" s="229" t="s">
        <v>583</v>
      </c>
      <c r="C144" s="72"/>
      <c r="D144" s="72"/>
      <c r="E144" s="72"/>
      <c r="F144" s="72"/>
      <c r="G144" s="72"/>
      <c r="H144" s="72"/>
      <c r="I144" s="276" t="s">
        <v>778</v>
      </c>
      <c r="J144" s="52"/>
      <c r="K144" s="52"/>
      <c r="L144" s="262" t="s">
        <v>643</v>
      </c>
      <c r="M144" s="267"/>
    </row>
    <row r="145" spans="1:13" x14ac:dyDescent="0.3">
      <c r="A145" s="277" t="s">
        <v>904</v>
      </c>
      <c r="B145" s="229" t="s">
        <v>583</v>
      </c>
      <c r="C145" s="72"/>
      <c r="D145" s="72"/>
      <c r="E145" s="72"/>
      <c r="F145" s="72"/>
      <c r="G145" s="72"/>
      <c r="H145" s="72"/>
      <c r="I145" s="276" t="s">
        <v>779</v>
      </c>
      <c r="J145" s="52"/>
      <c r="K145" s="52"/>
      <c r="L145" s="262" t="s">
        <v>643</v>
      </c>
      <c r="M145" s="267"/>
    </row>
    <row r="146" spans="1:13" x14ac:dyDescent="0.3">
      <c r="A146" s="277" t="s">
        <v>905</v>
      </c>
      <c r="B146" s="229" t="s">
        <v>583</v>
      </c>
      <c r="C146" s="72"/>
      <c r="D146" s="72"/>
      <c r="E146" s="72"/>
      <c r="F146" s="72"/>
      <c r="G146" s="72"/>
      <c r="H146" s="72"/>
      <c r="I146" s="276" t="s">
        <v>780</v>
      </c>
      <c r="J146" s="52"/>
      <c r="K146" s="52"/>
      <c r="L146" s="262" t="s">
        <v>643</v>
      </c>
      <c r="M146" s="267"/>
    </row>
    <row r="147" spans="1:13" x14ac:dyDescent="0.3">
      <c r="A147" s="277" t="s">
        <v>906</v>
      </c>
      <c r="B147" s="229" t="s">
        <v>583</v>
      </c>
      <c r="C147" s="72"/>
      <c r="D147" s="72"/>
      <c r="E147" s="72"/>
      <c r="F147" s="72"/>
      <c r="G147" s="72"/>
      <c r="H147" s="72"/>
      <c r="I147" s="276" t="s">
        <v>781</v>
      </c>
      <c r="J147" s="52"/>
      <c r="K147" s="52"/>
      <c r="L147" s="262" t="s">
        <v>643</v>
      </c>
      <c r="M147" s="267"/>
    </row>
    <row r="148" spans="1:13" x14ac:dyDescent="0.3">
      <c r="A148" s="277" t="s">
        <v>907</v>
      </c>
      <c r="B148" s="229" t="s">
        <v>583</v>
      </c>
      <c r="C148" s="72"/>
      <c r="D148" s="72"/>
      <c r="E148" s="72"/>
      <c r="F148" s="72"/>
      <c r="G148" s="72"/>
      <c r="H148" s="72"/>
      <c r="I148" s="276" t="s">
        <v>782</v>
      </c>
      <c r="J148" s="52"/>
      <c r="K148" s="52"/>
      <c r="L148" s="262" t="s">
        <v>643</v>
      </c>
      <c r="M148" s="267"/>
    </row>
    <row r="149" spans="1:13" x14ac:dyDescent="0.3">
      <c r="A149" s="277" t="s">
        <v>908</v>
      </c>
      <c r="B149" s="229" t="s">
        <v>583</v>
      </c>
      <c r="C149" s="72"/>
      <c r="D149" s="72"/>
      <c r="E149" s="72"/>
      <c r="F149" s="72"/>
      <c r="G149" s="72"/>
      <c r="H149" s="72"/>
      <c r="I149" s="276" t="s">
        <v>783</v>
      </c>
      <c r="J149" s="52"/>
      <c r="K149" s="52"/>
      <c r="L149" s="262" t="s">
        <v>643</v>
      </c>
      <c r="M149" s="267"/>
    </row>
    <row r="150" spans="1:13" x14ac:dyDescent="0.3">
      <c r="A150" s="277" t="s">
        <v>909</v>
      </c>
      <c r="B150" s="229" t="s">
        <v>583</v>
      </c>
      <c r="C150" s="72"/>
      <c r="D150" s="72"/>
      <c r="E150" s="72"/>
      <c r="F150" s="72"/>
      <c r="G150" s="72"/>
      <c r="H150" s="72"/>
      <c r="I150" s="276" t="s">
        <v>784</v>
      </c>
      <c r="J150" s="52"/>
      <c r="K150" s="52"/>
      <c r="L150" s="262" t="s">
        <v>643</v>
      </c>
      <c r="M150" s="267"/>
    </row>
    <row r="151" spans="1:13" x14ac:dyDescent="0.3">
      <c r="A151" s="277" t="s">
        <v>910</v>
      </c>
      <c r="B151" s="229" t="s">
        <v>583</v>
      </c>
      <c r="C151" s="72"/>
      <c r="D151" s="72"/>
      <c r="E151" s="72"/>
      <c r="F151" s="72"/>
      <c r="G151" s="72"/>
      <c r="H151" s="72"/>
      <c r="I151" s="276" t="s">
        <v>785</v>
      </c>
      <c r="J151" s="52"/>
      <c r="K151" s="52"/>
      <c r="L151" s="262" t="s">
        <v>643</v>
      </c>
      <c r="M151" s="267"/>
    </row>
    <row r="152" spans="1:13" x14ac:dyDescent="0.3">
      <c r="A152" s="277" t="s">
        <v>911</v>
      </c>
      <c r="B152" s="229" t="s">
        <v>583</v>
      </c>
      <c r="C152" s="72"/>
      <c r="D152" s="72"/>
      <c r="E152" s="72"/>
      <c r="F152" s="72"/>
      <c r="G152" s="72"/>
      <c r="H152" s="72"/>
      <c r="I152" s="276" t="s">
        <v>786</v>
      </c>
      <c r="J152" s="52"/>
      <c r="K152" s="52"/>
      <c r="L152" s="262" t="s">
        <v>643</v>
      </c>
      <c r="M152" s="267"/>
    </row>
    <row r="153" spans="1:13" x14ac:dyDescent="0.3">
      <c r="A153" s="277" t="s">
        <v>912</v>
      </c>
      <c r="B153" s="229" t="s">
        <v>583</v>
      </c>
      <c r="C153" s="72"/>
      <c r="D153" s="72"/>
      <c r="E153" s="72"/>
      <c r="F153" s="72"/>
      <c r="G153" s="72"/>
      <c r="H153" s="72"/>
      <c r="I153" s="276" t="s">
        <v>787</v>
      </c>
      <c r="J153" s="52"/>
      <c r="K153" s="52"/>
      <c r="L153" s="262" t="s">
        <v>643</v>
      </c>
      <c r="M153" s="267"/>
    </row>
    <row r="154" spans="1:13" x14ac:dyDescent="0.3">
      <c r="A154" s="277" t="s">
        <v>913</v>
      </c>
      <c r="B154" s="229" t="s">
        <v>583</v>
      </c>
      <c r="C154" s="72"/>
      <c r="D154" s="72"/>
      <c r="E154" s="72"/>
      <c r="F154" s="72"/>
      <c r="G154" s="72"/>
      <c r="H154" s="72"/>
      <c r="I154" s="276" t="s">
        <v>788</v>
      </c>
      <c r="J154" s="52"/>
      <c r="K154" s="52"/>
      <c r="L154" s="262" t="s">
        <v>643</v>
      </c>
      <c r="M154" s="267"/>
    </row>
    <row r="155" spans="1:13" x14ac:dyDescent="0.3">
      <c r="A155" s="277" t="s">
        <v>914</v>
      </c>
      <c r="B155" s="229" t="s">
        <v>583</v>
      </c>
      <c r="C155" s="72"/>
      <c r="D155" s="72"/>
      <c r="E155" s="72"/>
      <c r="F155" s="72"/>
      <c r="G155" s="72"/>
      <c r="H155" s="72"/>
      <c r="I155" s="276" t="s">
        <v>789</v>
      </c>
      <c r="J155" s="52"/>
      <c r="K155" s="52"/>
      <c r="L155" s="262" t="s">
        <v>643</v>
      </c>
      <c r="M155" s="267"/>
    </row>
    <row r="156" spans="1:13" x14ac:dyDescent="0.3">
      <c r="A156" s="277" t="s">
        <v>915</v>
      </c>
      <c r="B156" s="229" t="s">
        <v>583</v>
      </c>
      <c r="C156" s="72"/>
      <c r="D156" s="72"/>
      <c r="E156" s="72"/>
      <c r="F156" s="72"/>
      <c r="G156" s="72"/>
      <c r="H156" s="72"/>
      <c r="I156" s="280" t="s">
        <v>790</v>
      </c>
      <c r="J156" s="52"/>
      <c r="K156" s="52"/>
      <c r="L156" s="262" t="s">
        <v>643</v>
      </c>
      <c r="M156" s="267"/>
    </row>
  </sheetData>
  <mergeCells count="4">
    <mergeCell ref="K1:K2"/>
    <mergeCell ref="L1:L2"/>
    <mergeCell ref="M1:M2"/>
    <mergeCell ref="N1:N2"/>
  </mergeCells>
  <phoneticPr fontId="9" type="noConversion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24592" r:id="rId4" name="cmd_goto_BCT_ICS">
          <controlPr defaultSize="0" autoLine="0" r:id="rId5">
            <anchor>
              <from>
                <xdr:col>13</xdr:col>
                <xdr:colOff>99060</xdr:colOff>
                <xdr:row>0</xdr:row>
                <xdr:rowOff>419100</xdr:rowOff>
              </from>
              <to>
                <xdr:col>13</xdr:col>
                <xdr:colOff>1196340</xdr:colOff>
                <xdr:row>0</xdr:row>
                <xdr:rowOff>960120</xdr:rowOff>
              </to>
            </anchor>
          </controlPr>
        </control>
      </mc:Choice>
      <mc:Fallback>
        <control shapeId="24592" r:id="rId4" name="cmd_goto_BCT_IC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B942-52FA-4076-B4C7-50369DBC7E00}">
  <sheetPr codeName="Sheet8"/>
  <dimension ref="A1:R150"/>
  <sheetViews>
    <sheetView tabSelected="1" zoomScale="60" zoomScaleNormal="60" workbookViewId="0">
      <pane ySplit="2" topLeftCell="A3" activePane="bottomLeft" state="frozen"/>
      <selection pane="bottomLeft" activeCell="E12" sqref="E12"/>
    </sheetView>
  </sheetViews>
  <sheetFormatPr defaultColWidth="0" defaultRowHeight="14.4" outlineLevelCol="1" x14ac:dyDescent="0.3"/>
  <cols>
    <col min="1" max="1" width="18.109375" customWidth="1"/>
    <col min="2" max="2" width="24.109375" customWidth="1"/>
    <col min="3" max="3" width="4.33203125" customWidth="1"/>
    <col min="4" max="4" width="3.6640625" customWidth="1"/>
    <col min="5" max="5" width="9.109375" customWidth="1"/>
    <col min="6" max="6" width="8.44140625" customWidth="1"/>
    <col min="7" max="7" width="9.109375" customWidth="1"/>
    <col min="8" max="8" width="13.109375" customWidth="1"/>
    <col min="9" max="9" width="76.5546875" bestFit="1" customWidth="1"/>
    <col min="10" max="10" width="17.44140625" hidden="1" customWidth="1" outlineLevel="1"/>
    <col min="11" max="11" width="9.6640625" customWidth="1" collapsed="1"/>
    <col min="12" max="12" width="7.33203125" customWidth="1"/>
    <col min="13" max="13" width="17.88671875" bestFit="1" customWidth="1"/>
    <col min="14" max="14" width="23.6640625" bestFit="1" customWidth="1"/>
    <col min="15" max="15" width="14.33203125" customWidth="1"/>
    <col min="16" max="16" width="21.6640625" customWidth="1"/>
    <col min="17" max="18" width="0" hidden="1" customWidth="1"/>
    <col min="19" max="16384" width="9.109375" hidden="1"/>
  </cols>
  <sheetData>
    <row r="1" spans="1:16" s="26" customFormat="1" ht="96.6" customHeight="1" thickBot="1" x14ac:dyDescent="0.3">
      <c r="B1" s="274" t="s">
        <v>572</v>
      </c>
      <c r="C1" s="269" t="s">
        <v>573</v>
      </c>
      <c r="D1" s="269" t="s">
        <v>574</v>
      </c>
      <c r="E1" s="269" t="s">
        <v>575</v>
      </c>
      <c r="F1" s="269" t="s">
        <v>576</v>
      </c>
      <c r="G1" s="269" t="s">
        <v>577</v>
      </c>
      <c r="H1" s="271" t="s">
        <v>578</v>
      </c>
      <c r="I1" s="269" t="s">
        <v>579</v>
      </c>
      <c r="J1" s="271" t="s">
        <v>20</v>
      </c>
      <c r="K1" s="349" t="s">
        <v>580</v>
      </c>
      <c r="L1" s="349" t="s">
        <v>642</v>
      </c>
      <c r="M1" s="351" t="s">
        <v>694</v>
      </c>
      <c r="N1" s="352"/>
      <c r="O1" s="222" t="s">
        <v>794</v>
      </c>
      <c r="P1" s="223" t="s">
        <v>917</v>
      </c>
    </row>
    <row r="2" spans="1:16" ht="24" thickBot="1" x14ac:dyDescent="0.5">
      <c r="A2" s="219" t="s">
        <v>5</v>
      </c>
      <c r="B2" s="224" t="s">
        <v>582</v>
      </c>
      <c r="C2" s="231"/>
      <c r="D2" s="231"/>
      <c r="E2" s="231"/>
      <c r="F2" s="231"/>
      <c r="G2" s="231"/>
      <c r="H2" s="231"/>
      <c r="I2" s="231"/>
      <c r="J2" s="233"/>
      <c r="K2" s="350"/>
      <c r="L2" s="350"/>
      <c r="M2" s="351"/>
      <c r="N2" s="352"/>
      <c r="O2" s="322">
        <f>SUM(M3:M150)</f>
        <v>1643.7199999999998</v>
      </c>
      <c r="P2" s="273">
        <f>SUM(M46:N150)</f>
        <v>0</v>
      </c>
    </row>
    <row r="3" spans="1:16" x14ac:dyDescent="0.3">
      <c r="B3" s="229" t="s">
        <v>583</v>
      </c>
      <c r="C3" s="229">
        <v>0</v>
      </c>
      <c r="D3" s="229">
        <v>4</v>
      </c>
      <c r="E3" s="229" t="s">
        <v>584</v>
      </c>
      <c r="F3" s="229" t="s">
        <v>622</v>
      </c>
      <c r="G3" s="234" t="s">
        <v>586</v>
      </c>
      <c r="H3" s="52" t="s">
        <v>31</v>
      </c>
      <c r="I3" s="264" t="s">
        <v>32</v>
      </c>
      <c r="J3" s="230" t="s">
        <v>587</v>
      </c>
      <c r="K3" s="261">
        <f>SUM(Material_PN_ICS!M8)</f>
        <v>0</v>
      </c>
      <c r="L3" s="262" t="s">
        <v>643</v>
      </c>
      <c r="M3" s="267">
        <f>SUM(Material_PN_ICS!N8)</f>
        <v>0</v>
      </c>
      <c r="N3" s="26"/>
    </row>
    <row r="4" spans="1:16" x14ac:dyDescent="0.3">
      <c r="B4" s="229" t="s">
        <v>583</v>
      </c>
      <c r="C4" s="229">
        <v>0</v>
      </c>
      <c r="D4" s="72">
        <v>4</v>
      </c>
      <c r="E4" s="72" t="s">
        <v>588</v>
      </c>
      <c r="F4" s="229" t="s">
        <v>622</v>
      </c>
      <c r="G4" s="71" t="s">
        <v>589</v>
      </c>
      <c r="H4" s="52" t="s">
        <v>37</v>
      </c>
      <c r="I4" s="264" t="s">
        <v>38</v>
      </c>
      <c r="J4" s="52"/>
      <c r="K4" s="261">
        <f>SUM(Material_PN_ICS!M10:M11)</f>
        <v>0</v>
      </c>
      <c r="L4" s="262" t="s">
        <v>643</v>
      </c>
      <c r="M4" s="267">
        <f>SUM(Material_PN_ICS!N10:N11)</f>
        <v>0</v>
      </c>
      <c r="N4" s="26"/>
    </row>
    <row r="5" spans="1:16" x14ac:dyDescent="0.3">
      <c r="B5" s="229" t="s">
        <v>583</v>
      </c>
      <c r="C5" s="229">
        <v>0</v>
      </c>
      <c r="D5" s="229">
        <v>4</v>
      </c>
      <c r="E5" s="72" t="s">
        <v>584</v>
      </c>
      <c r="F5" s="229" t="s">
        <v>622</v>
      </c>
      <c r="G5" s="71" t="s">
        <v>590</v>
      </c>
      <c r="H5" s="52" t="s">
        <v>47</v>
      </c>
      <c r="I5" s="264" t="s">
        <v>48</v>
      </c>
      <c r="J5" s="52"/>
      <c r="K5" s="261">
        <f>SUM(Material_PN_ICS!M13:M14)</f>
        <v>0</v>
      </c>
      <c r="L5" s="262" t="s">
        <v>643</v>
      </c>
      <c r="M5" s="267">
        <f>SUM(Material_PN_ICS!N13:N14)</f>
        <v>0</v>
      </c>
      <c r="N5" s="26"/>
    </row>
    <row r="6" spans="1:16" x14ac:dyDescent="0.3">
      <c r="B6" s="229" t="s">
        <v>583</v>
      </c>
      <c r="C6" s="229">
        <v>0</v>
      </c>
      <c r="D6" s="72">
        <v>4</v>
      </c>
      <c r="E6" s="72" t="s">
        <v>591</v>
      </c>
      <c r="F6" s="229" t="s">
        <v>622</v>
      </c>
      <c r="G6" s="71" t="s">
        <v>592</v>
      </c>
      <c r="H6" s="52" t="s">
        <v>58</v>
      </c>
      <c r="I6" s="264" t="s">
        <v>59</v>
      </c>
      <c r="J6" s="52"/>
      <c r="K6" s="261">
        <f>SUM(Material_PN_ICS!M17:M18)</f>
        <v>0</v>
      </c>
      <c r="L6" s="262" t="s">
        <v>643</v>
      </c>
      <c r="M6" s="267">
        <f>SUM(Material_PN_ICS!N17:N18)</f>
        <v>0</v>
      </c>
      <c r="N6" s="26"/>
    </row>
    <row r="7" spans="1:16" x14ac:dyDescent="0.3">
      <c r="B7" s="229" t="s">
        <v>583</v>
      </c>
      <c r="C7" s="229">
        <v>0</v>
      </c>
      <c r="D7" s="229">
        <v>4</v>
      </c>
      <c r="E7" s="72" t="s">
        <v>591</v>
      </c>
      <c r="F7" s="229" t="s">
        <v>622</v>
      </c>
      <c r="G7" s="71" t="s">
        <v>593</v>
      </c>
      <c r="H7" s="52" t="s">
        <v>69</v>
      </c>
      <c r="I7" s="264" t="s">
        <v>70</v>
      </c>
      <c r="J7" s="52"/>
      <c r="K7" s="261">
        <f>SUM(Material_PN_ICS!M22:M23)</f>
        <v>0</v>
      </c>
      <c r="L7" s="262" t="s">
        <v>643</v>
      </c>
      <c r="M7" s="267">
        <f>SUM(Material_PN_ICS!N22:N23)</f>
        <v>0</v>
      </c>
      <c r="N7" s="26"/>
    </row>
    <row r="8" spans="1:16" x14ac:dyDescent="0.3">
      <c r="B8" s="229" t="s">
        <v>583</v>
      </c>
      <c r="C8" s="229">
        <v>0</v>
      </c>
      <c r="D8" s="72">
        <v>4</v>
      </c>
      <c r="E8" s="72" t="s">
        <v>594</v>
      </c>
      <c r="F8" s="72" t="s">
        <v>623</v>
      </c>
      <c r="G8" s="333" t="s">
        <v>925</v>
      </c>
      <c r="H8" s="24" t="s">
        <v>924</v>
      </c>
      <c r="I8" s="264" t="s">
        <v>106</v>
      </c>
      <c r="J8" s="52"/>
      <c r="K8" s="261">
        <f>SUM(Material_PN_ICS!M24)</f>
        <v>0</v>
      </c>
      <c r="L8" s="262" t="s">
        <v>643</v>
      </c>
      <c r="M8" s="267">
        <f>SUM(Material_PN_ICS!N24)</f>
        <v>0</v>
      </c>
      <c r="N8" s="26"/>
    </row>
    <row r="9" spans="1:16" x14ac:dyDescent="0.3">
      <c r="B9" s="229" t="s">
        <v>583</v>
      </c>
      <c r="C9" s="229">
        <v>0</v>
      </c>
      <c r="D9" s="72">
        <v>4</v>
      </c>
      <c r="E9" s="72" t="s">
        <v>594</v>
      </c>
      <c r="F9" s="72" t="s">
        <v>623</v>
      </c>
      <c r="G9" s="71" t="s">
        <v>616</v>
      </c>
      <c r="H9" s="52" t="s">
        <v>109</v>
      </c>
      <c r="I9" s="264" t="s">
        <v>926</v>
      </c>
      <c r="J9" s="52"/>
      <c r="K9" s="261">
        <f>SUM(Material_PN_ICS!M25)</f>
        <v>0</v>
      </c>
      <c r="L9" s="262" t="s">
        <v>643</v>
      </c>
      <c r="M9" s="267">
        <f>SUM(Material_PN_ICS!N25)</f>
        <v>0</v>
      </c>
      <c r="N9" s="26"/>
    </row>
    <row r="10" spans="1:16" x14ac:dyDescent="0.3">
      <c r="B10" s="229" t="s">
        <v>583</v>
      </c>
      <c r="C10" s="229">
        <v>0</v>
      </c>
      <c r="D10" s="229">
        <v>4</v>
      </c>
      <c r="E10" s="72" t="s">
        <v>594</v>
      </c>
      <c r="F10" s="72" t="s">
        <v>623</v>
      </c>
      <c r="G10" s="71" t="s">
        <v>624</v>
      </c>
      <c r="H10" s="52" t="s">
        <v>113</v>
      </c>
      <c r="I10" s="264" t="s">
        <v>114</v>
      </c>
      <c r="J10" s="52"/>
      <c r="K10" s="261">
        <f>SUM(Material_PN_ICS!M26)</f>
        <v>0</v>
      </c>
      <c r="L10" s="262" t="s">
        <v>643</v>
      </c>
      <c r="M10" s="267">
        <f>SUM(Material_PN_ICS!N26)</f>
        <v>0</v>
      </c>
      <c r="N10" s="26"/>
    </row>
    <row r="11" spans="1:16" x14ac:dyDescent="0.3">
      <c r="B11" s="229" t="s">
        <v>583</v>
      </c>
      <c r="C11" s="229">
        <v>0</v>
      </c>
      <c r="D11" s="72">
        <v>4</v>
      </c>
      <c r="E11" s="72" t="s">
        <v>594</v>
      </c>
      <c r="F11" s="72" t="s">
        <v>623</v>
      </c>
      <c r="G11" s="71" t="s">
        <v>596</v>
      </c>
      <c r="H11" s="52" t="s">
        <v>119</v>
      </c>
      <c r="I11" s="264" t="s">
        <v>120</v>
      </c>
      <c r="J11" s="52"/>
      <c r="K11" s="261">
        <f>SUM(Material_PN_ICS!M27)</f>
        <v>0</v>
      </c>
      <c r="L11" s="262" t="s">
        <v>643</v>
      </c>
      <c r="M11" s="267">
        <f>SUM(Material_PN_ICS!N27)</f>
        <v>0</v>
      </c>
      <c r="N11" s="26"/>
    </row>
    <row r="12" spans="1:16" x14ac:dyDescent="0.3">
      <c r="B12" s="229" t="s">
        <v>583</v>
      </c>
      <c r="C12" s="229">
        <v>0</v>
      </c>
      <c r="D12" s="229">
        <v>4</v>
      </c>
      <c r="E12" s="72" t="s">
        <v>594</v>
      </c>
      <c r="F12" s="72" t="s">
        <v>623</v>
      </c>
      <c r="G12" s="71" t="s">
        <v>597</v>
      </c>
      <c r="H12" s="52" t="s">
        <v>125</v>
      </c>
      <c r="I12" s="264" t="s">
        <v>126</v>
      </c>
      <c r="J12" s="52"/>
      <c r="K12" s="261">
        <f>SUM(Material_PN_ICS!M28)</f>
        <v>0</v>
      </c>
      <c r="L12" s="262" t="s">
        <v>643</v>
      </c>
      <c r="M12" s="267">
        <f>SUM(Material_PN_ICS!N28)</f>
        <v>0</v>
      </c>
      <c r="N12" s="26"/>
    </row>
    <row r="13" spans="1:16" x14ac:dyDescent="0.3">
      <c r="B13" s="229" t="s">
        <v>583</v>
      </c>
      <c r="C13" s="229">
        <v>0</v>
      </c>
      <c r="D13" s="72">
        <v>4</v>
      </c>
      <c r="E13" s="72" t="s">
        <v>594</v>
      </c>
      <c r="F13" s="72" t="s">
        <v>623</v>
      </c>
      <c r="G13" s="71" t="s">
        <v>625</v>
      </c>
      <c r="H13" s="52" t="s">
        <v>129</v>
      </c>
      <c r="I13" s="264" t="s">
        <v>92</v>
      </c>
      <c r="J13" s="52"/>
      <c r="K13" s="261">
        <f>SUM(Material_PN_ICS!M29)</f>
        <v>0</v>
      </c>
      <c r="L13" s="262" t="s">
        <v>643</v>
      </c>
      <c r="M13" s="267">
        <f>SUM(Material_PN_ICS!N29)</f>
        <v>0</v>
      </c>
      <c r="N13" s="26"/>
    </row>
    <row r="14" spans="1:16" x14ac:dyDescent="0.3">
      <c r="B14" s="229" t="s">
        <v>583</v>
      </c>
      <c r="C14" s="229">
        <v>0</v>
      </c>
      <c r="D14" s="229">
        <v>4</v>
      </c>
      <c r="E14" s="72" t="s">
        <v>594</v>
      </c>
      <c r="F14" s="72" t="s">
        <v>626</v>
      </c>
      <c r="G14" s="71" t="s">
        <v>596</v>
      </c>
      <c r="H14" s="52" t="s">
        <v>132</v>
      </c>
      <c r="I14" s="264" t="s">
        <v>133</v>
      </c>
      <c r="J14" s="52"/>
      <c r="K14" s="261">
        <f>SUM(Material_PN_ICS!M30)</f>
        <v>0</v>
      </c>
      <c r="L14" s="262" t="s">
        <v>643</v>
      </c>
      <c r="M14" s="267">
        <f>SUM(Material_PN_ICS!N30)</f>
        <v>0</v>
      </c>
      <c r="N14" s="26"/>
    </row>
    <row r="15" spans="1:16" x14ac:dyDescent="0.3">
      <c r="B15" s="229" t="s">
        <v>583</v>
      </c>
      <c r="C15" s="229">
        <v>0</v>
      </c>
      <c r="D15" s="72">
        <v>4</v>
      </c>
      <c r="E15" s="72" t="s">
        <v>594</v>
      </c>
      <c r="F15" s="72" t="s">
        <v>626</v>
      </c>
      <c r="G15" s="71" t="s">
        <v>597</v>
      </c>
      <c r="H15" s="52" t="s">
        <v>136</v>
      </c>
      <c r="I15" s="264" t="s">
        <v>85</v>
      </c>
      <c r="J15" s="52"/>
      <c r="K15" s="261">
        <f>SUM(Material_PN_ICS!M31)</f>
        <v>0</v>
      </c>
      <c r="L15" s="262" t="s">
        <v>643</v>
      </c>
      <c r="M15" s="267">
        <f>SUM(Material_PN_ICS!N31)</f>
        <v>0</v>
      </c>
      <c r="N15" s="26"/>
    </row>
    <row r="16" spans="1:16" x14ac:dyDescent="0.3">
      <c r="B16" s="229" t="s">
        <v>583</v>
      </c>
      <c r="C16" s="229">
        <v>0</v>
      </c>
      <c r="D16" s="229">
        <v>4</v>
      </c>
      <c r="E16" s="72" t="s">
        <v>603</v>
      </c>
      <c r="F16" s="72" t="s">
        <v>622</v>
      </c>
      <c r="G16" s="71" t="s">
        <v>592</v>
      </c>
      <c r="H16" s="52" t="s">
        <v>141</v>
      </c>
      <c r="I16" s="264" t="s">
        <v>142</v>
      </c>
      <c r="J16" s="52"/>
      <c r="K16" s="261">
        <f>SUM(Material_PN_ICS!M34:M35)</f>
        <v>0</v>
      </c>
      <c r="L16" s="262" t="s">
        <v>643</v>
      </c>
      <c r="M16" s="267">
        <f>SUM(Material_PN_ICS!N34:N35)</f>
        <v>0</v>
      </c>
      <c r="N16" s="26"/>
    </row>
    <row r="17" spans="2:14" x14ac:dyDescent="0.3">
      <c r="B17" s="229" t="s">
        <v>583</v>
      </c>
      <c r="C17" s="229">
        <v>0</v>
      </c>
      <c r="D17" s="72">
        <v>4</v>
      </c>
      <c r="E17" s="72" t="s">
        <v>603</v>
      </c>
      <c r="F17" s="72" t="s">
        <v>622</v>
      </c>
      <c r="G17" s="71" t="s">
        <v>604</v>
      </c>
      <c r="H17" s="52" t="s">
        <v>149</v>
      </c>
      <c r="I17" s="264" t="s">
        <v>150</v>
      </c>
      <c r="J17" s="52"/>
      <c r="K17" s="261">
        <f>SUM(Material_PN_ICS!M36)</f>
        <v>0</v>
      </c>
      <c r="L17" s="262" t="s">
        <v>643</v>
      </c>
      <c r="M17" s="267">
        <f>SUM(Material_PN_ICS!N36)</f>
        <v>0</v>
      </c>
      <c r="N17" s="26"/>
    </row>
    <row r="18" spans="2:14" x14ac:dyDescent="0.3">
      <c r="B18" s="229" t="s">
        <v>583</v>
      </c>
      <c r="C18" s="229">
        <v>0</v>
      </c>
      <c r="D18" s="229">
        <v>4</v>
      </c>
      <c r="E18" s="72" t="s">
        <v>591</v>
      </c>
      <c r="F18" s="72" t="s">
        <v>622</v>
      </c>
      <c r="G18" s="71" t="s">
        <v>627</v>
      </c>
      <c r="H18" s="52" t="s">
        <v>156</v>
      </c>
      <c r="I18" s="264" t="s">
        <v>157</v>
      </c>
      <c r="J18" s="52"/>
      <c r="K18" s="261">
        <f>SUM(Material_PN_ICS!M39:M41)</f>
        <v>0</v>
      </c>
      <c r="L18" s="262" t="s">
        <v>643</v>
      </c>
      <c r="M18" s="267">
        <f>SUM(Material_PN_ICS!N39:N41)</f>
        <v>0</v>
      </c>
      <c r="N18" s="26"/>
    </row>
    <row r="19" spans="2:14" x14ac:dyDescent="0.3">
      <c r="B19" s="229" t="s">
        <v>583</v>
      </c>
      <c r="C19" s="229">
        <v>0</v>
      </c>
      <c r="D19" s="229">
        <v>4</v>
      </c>
      <c r="E19" s="72" t="s">
        <v>608</v>
      </c>
      <c r="F19" s="72" t="s">
        <v>622</v>
      </c>
      <c r="G19" s="71" t="s">
        <v>609</v>
      </c>
      <c r="H19" s="52" t="s">
        <v>186</v>
      </c>
      <c r="I19" s="264" t="s">
        <v>187</v>
      </c>
      <c r="J19" s="52"/>
      <c r="K19" s="261">
        <v>1</v>
      </c>
      <c r="L19" s="262" t="s">
        <v>644</v>
      </c>
      <c r="M19" s="267">
        <f>SUM(Material_PN_ICS!N47:N56,Material_PN_ICS!N59)</f>
        <v>0</v>
      </c>
      <c r="N19" s="26"/>
    </row>
    <row r="20" spans="2:14" x14ac:dyDescent="0.3">
      <c r="B20" s="229" t="s">
        <v>583</v>
      </c>
      <c r="C20" s="229">
        <v>0</v>
      </c>
      <c r="D20" s="229">
        <v>4</v>
      </c>
      <c r="E20" s="72" t="s">
        <v>593</v>
      </c>
      <c r="F20" s="72" t="s">
        <v>622</v>
      </c>
      <c r="G20" s="71" t="s">
        <v>609</v>
      </c>
      <c r="H20" s="52" t="s">
        <v>221</v>
      </c>
      <c r="I20" s="264" t="s">
        <v>187</v>
      </c>
      <c r="J20" s="52"/>
      <c r="K20" s="261">
        <v>1</v>
      </c>
      <c r="L20" s="262" t="s">
        <v>644</v>
      </c>
      <c r="M20" s="267">
        <f>SUM(Material_PN_ICS!N60:N64)</f>
        <v>0</v>
      </c>
      <c r="N20" s="26"/>
    </row>
    <row r="21" spans="2:14" x14ac:dyDescent="0.3">
      <c r="B21" s="229" t="s">
        <v>583</v>
      </c>
      <c r="C21" s="229">
        <v>0</v>
      </c>
      <c r="D21" s="72">
        <v>4</v>
      </c>
      <c r="E21" s="72" t="s">
        <v>593</v>
      </c>
      <c r="F21" s="72" t="s">
        <v>622</v>
      </c>
      <c r="G21" s="71" t="s">
        <v>610</v>
      </c>
      <c r="H21" s="52" t="s">
        <v>243</v>
      </c>
      <c r="I21" s="264" t="s">
        <v>244</v>
      </c>
      <c r="J21" s="52"/>
      <c r="K21" s="261">
        <v>1</v>
      </c>
      <c r="L21" s="262" t="s">
        <v>644</v>
      </c>
      <c r="M21" s="267">
        <f>SUM(Material_PN_ICS!N67:N71,Material_PN_ICS!N73:N78,Material_PN_ICS!N80:N86,Material_PN_ICS!N88:N95,Material_PN_ICS!N97:N105)</f>
        <v>0</v>
      </c>
      <c r="N21" s="26"/>
    </row>
    <row r="22" spans="2:14" x14ac:dyDescent="0.3">
      <c r="B22" s="229" t="s">
        <v>583</v>
      </c>
      <c r="C22" s="229">
        <v>0</v>
      </c>
      <c r="D22" s="229">
        <v>4</v>
      </c>
      <c r="E22" s="72" t="s">
        <v>593</v>
      </c>
      <c r="F22" s="72" t="s">
        <v>622</v>
      </c>
      <c r="G22" s="71" t="s">
        <v>611</v>
      </c>
      <c r="H22" s="52" t="s">
        <v>285</v>
      </c>
      <c r="I22" s="264" t="s">
        <v>286</v>
      </c>
      <c r="J22" s="52"/>
      <c r="K22" s="261">
        <v>1</v>
      </c>
      <c r="L22" s="262" t="s">
        <v>644</v>
      </c>
      <c r="M22" s="267">
        <f>SUM(Material_PN_ICS!N108:N116)</f>
        <v>0</v>
      </c>
      <c r="N22" s="26"/>
    </row>
    <row r="23" spans="2:14" x14ac:dyDescent="0.3">
      <c r="B23" s="229" t="s">
        <v>583</v>
      </c>
      <c r="C23" s="229">
        <v>0</v>
      </c>
      <c r="D23" s="72">
        <v>4</v>
      </c>
      <c r="E23" s="72" t="s">
        <v>593</v>
      </c>
      <c r="F23" s="72" t="s">
        <v>605</v>
      </c>
      <c r="G23" s="71" t="s">
        <v>612</v>
      </c>
      <c r="H23" s="52" t="s">
        <v>316</v>
      </c>
      <c r="I23" s="264" t="s">
        <v>317</v>
      </c>
      <c r="J23" s="52"/>
      <c r="K23" s="261">
        <f>SUM(Material_PN_ICS!M117)</f>
        <v>0</v>
      </c>
      <c r="L23" s="262" t="s">
        <v>643</v>
      </c>
      <c r="M23" s="267">
        <f>SUM(Material_PN_ICS!N117)</f>
        <v>0</v>
      </c>
      <c r="N23" s="26"/>
    </row>
    <row r="24" spans="2:14" x14ac:dyDescent="0.3">
      <c r="B24" s="229" t="s">
        <v>583</v>
      </c>
      <c r="C24" s="229">
        <v>0</v>
      </c>
      <c r="D24" s="229">
        <v>4</v>
      </c>
      <c r="E24" s="72" t="s">
        <v>593</v>
      </c>
      <c r="F24" s="72" t="s">
        <v>622</v>
      </c>
      <c r="G24" s="71" t="s">
        <v>613</v>
      </c>
      <c r="H24" s="52" t="s">
        <v>322</v>
      </c>
      <c r="I24" s="264" t="s">
        <v>328</v>
      </c>
      <c r="J24" s="52"/>
      <c r="K24" s="261">
        <f>SUM(Material_PN_ICS!M118)</f>
        <v>0</v>
      </c>
      <c r="L24" s="262" t="s">
        <v>643</v>
      </c>
      <c r="M24" s="267">
        <f>SUM(Material_PN_ICS!N118)</f>
        <v>0</v>
      </c>
      <c r="N24" s="26"/>
    </row>
    <row r="25" spans="2:14" x14ac:dyDescent="0.3">
      <c r="B25" s="229" t="s">
        <v>583</v>
      </c>
      <c r="C25" s="229">
        <v>0</v>
      </c>
      <c r="D25" s="72">
        <v>4</v>
      </c>
      <c r="E25" s="72" t="s">
        <v>593</v>
      </c>
      <c r="F25" s="72" t="s">
        <v>622</v>
      </c>
      <c r="G25" s="71" t="s">
        <v>614</v>
      </c>
      <c r="H25" s="334" t="s">
        <v>355</v>
      </c>
      <c r="I25" s="335" t="s">
        <v>648</v>
      </c>
      <c r="J25" s="52"/>
      <c r="K25" s="261">
        <f>SUM(Material_PN_ICS!M121)</f>
        <v>0</v>
      </c>
      <c r="L25" s="262" t="s">
        <v>643</v>
      </c>
      <c r="M25" s="267">
        <f>SUM(Material_PN_ICS!N121)</f>
        <v>0</v>
      </c>
      <c r="N25" s="26"/>
    </row>
    <row r="26" spans="2:14" x14ac:dyDescent="0.3">
      <c r="B26" s="229" t="s">
        <v>583</v>
      </c>
      <c r="C26" s="229">
        <v>0</v>
      </c>
      <c r="D26" s="72">
        <v>4</v>
      </c>
      <c r="E26" s="72" t="s">
        <v>593</v>
      </c>
      <c r="F26" s="72" t="s">
        <v>622</v>
      </c>
      <c r="G26" s="71" t="s">
        <v>614</v>
      </c>
      <c r="H26" s="334" t="s">
        <v>355</v>
      </c>
      <c r="I26" s="335" t="s">
        <v>649</v>
      </c>
      <c r="J26" s="52"/>
      <c r="K26" s="261">
        <f>SUM(Material_PN_ICS!M122)</f>
        <v>0</v>
      </c>
      <c r="L26" s="262" t="s">
        <v>643</v>
      </c>
      <c r="M26" s="267">
        <f>SUM(Material_PN_ICS!N122)</f>
        <v>0</v>
      </c>
      <c r="N26" s="26"/>
    </row>
    <row r="27" spans="2:14" x14ac:dyDescent="0.3">
      <c r="B27" s="229" t="s">
        <v>583</v>
      </c>
      <c r="C27" s="229">
        <v>0</v>
      </c>
      <c r="D27" s="72">
        <v>4</v>
      </c>
      <c r="E27" s="72" t="s">
        <v>593</v>
      </c>
      <c r="F27" s="72" t="s">
        <v>622</v>
      </c>
      <c r="G27" s="71" t="s">
        <v>614</v>
      </c>
      <c r="H27" s="334" t="s">
        <v>355</v>
      </c>
      <c r="I27" s="335" t="s">
        <v>650</v>
      </c>
      <c r="J27" s="52"/>
      <c r="K27" s="261">
        <f>SUM(Material_PN_ICS!M123)</f>
        <v>0</v>
      </c>
      <c r="L27" s="262" t="s">
        <v>643</v>
      </c>
      <c r="M27" s="267">
        <f>SUM(Material_PN_ICS!N123)</f>
        <v>0</v>
      </c>
      <c r="N27" s="26"/>
    </row>
    <row r="28" spans="2:14" x14ac:dyDescent="0.3">
      <c r="B28" s="229" t="s">
        <v>583</v>
      </c>
      <c r="C28" s="229">
        <v>0</v>
      </c>
      <c r="D28" s="72">
        <v>4</v>
      </c>
      <c r="E28" s="72" t="s">
        <v>593</v>
      </c>
      <c r="F28" s="72" t="s">
        <v>622</v>
      </c>
      <c r="G28" s="71" t="s">
        <v>614</v>
      </c>
      <c r="H28" s="334" t="s">
        <v>355</v>
      </c>
      <c r="I28" s="335" t="s">
        <v>651</v>
      </c>
      <c r="J28" s="52"/>
      <c r="K28" s="261">
        <f>SUM(Material_PN_ICS!M124)</f>
        <v>0</v>
      </c>
      <c r="L28" s="262" t="s">
        <v>643</v>
      </c>
      <c r="M28" s="267">
        <f>SUM(Material_PN_ICS!N124)</f>
        <v>0</v>
      </c>
      <c r="N28" s="26"/>
    </row>
    <row r="29" spans="2:14" x14ac:dyDescent="0.3">
      <c r="B29" s="229" t="s">
        <v>583</v>
      </c>
      <c r="C29" s="229">
        <v>0</v>
      </c>
      <c r="D29" s="72">
        <v>4</v>
      </c>
      <c r="E29" s="72" t="s">
        <v>593</v>
      </c>
      <c r="F29" s="72" t="s">
        <v>622</v>
      </c>
      <c r="G29" s="71" t="s">
        <v>614</v>
      </c>
      <c r="H29" s="334" t="s">
        <v>355</v>
      </c>
      <c r="I29" s="335" t="s">
        <v>652</v>
      </c>
      <c r="J29" s="52"/>
      <c r="K29" s="261">
        <f>SUM(Material_PN_ICS!M125)</f>
        <v>0</v>
      </c>
      <c r="L29" s="262" t="s">
        <v>643</v>
      </c>
      <c r="M29" s="267">
        <f>SUM(Material_PN_ICS!N125)</f>
        <v>0</v>
      </c>
      <c r="N29" s="26"/>
    </row>
    <row r="30" spans="2:14" x14ac:dyDescent="0.3">
      <c r="B30" s="229" t="s">
        <v>583</v>
      </c>
      <c r="C30" s="229">
        <v>0</v>
      </c>
      <c r="D30" s="72">
        <v>4</v>
      </c>
      <c r="E30" s="72" t="s">
        <v>593</v>
      </c>
      <c r="F30" s="72" t="s">
        <v>622</v>
      </c>
      <c r="G30" s="71" t="s">
        <v>614</v>
      </c>
      <c r="H30" s="334" t="s">
        <v>355</v>
      </c>
      <c r="I30" s="335" t="s">
        <v>653</v>
      </c>
      <c r="J30" s="52"/>
      <c r="K30" s="261">
        <f>SUM(Material_PN_ICS!M126)</f>
        <v>0</v>
      </c>
      <c r="L30" s="262" t="s">
        <v>643</v>
      </c>
      <c r="M30" s="267">
        <f>SUM(Material_PN_ICS!N126)</f>
        <v>0</v>
      </c>
      <c r="N30" s="26"/>
    </row>
    <row r="31" spans="2:14" x14ac:dyDescent="0.3">
      <c r="B31" s="229" t="s">
        <v>583</v>
      </c>
      <c r="C31" s="229">
        <v>0</v>
      </c>
      <c r="D31" s="72">
        <v>4</v>
      </c>
      <c r="E31" s="72" t="s">
        <v>593</v>
      </c>
      <c r="F31" s="72" t="s">
        <v>622</v>
      </c>
      <c r="G31" s="71" t="s">
        <v>614</v>
      </c>
      <c r="H31" s="334" t="s">
        <v>355</v>
      </c>
      <c r="I31" s="335" t="s">
        <v>655</v>
      </c>
      <c r="J31" s="52"/>
      <c r="K31" s="261">
        <f>SUM(Material_PN_ICS!M127)</f>
        <v>0</v>
      </c>
      <c r="L31" s="262" t="s">
        <v>643</v>
      </c>
      <c r="M31" s="267">
        <f>SUM(Material_PN_ICS!N127)</f>
        <v>0</v>
      </c>
      <c r="N31" s="26"/>
    </row>
    <row r="32" spans="2:14" x14ac:dyDescent="0.3">
      <c r="B32" s="229" t="s">
        <v>583</v>
      </c>
      <c r="C32" s="229">
        <v>0</v>
      </c>
      <c r="D32" s="72">
        <v>4</v>
      </c>
      <c r="E32" s="72" t="s">
        <v>593</v>
      </c>
      <c r="F32" s="72" t="s">
        <v>622</v>
      </c>
      <c r="G32" s="71" t="s">
        <v>614</v>
      </c>
      <c r="H32" s="334" t="s">
        <v>355</v>
      </c>
      <c r="I32" s="335" t="s">
        <v>656</v>
      </c>
      <c r="J32" s="52"/>
      <c r="K32" s="261">
        <f>SUM(Material_PN_ICS!M128)</f>
        <v>0</v>
      </c>
      <c r="L32" s="262" t="s">
        <v>643</v>
      </c>
      <c r="M32" s="267">
        <f>SUM(Material_PN_ICS!N128)</f>
        <v>0</v>
      </c>
      <c r="N32" s="26"/>
    </row>
    <row r="33" spans="1:14" x14ac:dyDescent="0.3">
      <c r="B33" s="229" t="s">
        <v>583</v>
      </c>
      <c r="C33" s="229">
        <v>0</v>
      </c>
      <c r="D33" s="72">
        <v>4</v>
      </c>
      <c r="E33" s="72" t="s">
        <v>593</v>
      </c>
      <c r="F33" s="72" t="s">
        <v>622</v>
      </c>
      <c r="G33" s="71" t="s">
        <v>614</v>
      </c>
      <c r="H33" s="334" t="s">
        <v>355</v>
      </c>
      <c r="I33" s="335" t="s">
        <v>384</v>
      </c>
      <c r="J33" s="52"/>
      <c r="K33" s="261">
        <f>SUM(Material_PN_ICS!M129)</f>
        <v>5</v>
      </c>
      <c r="L33" s="262" t="s">
        <v>643</v>
      </c>
      <c r="M33" s="267">
        <f>SUM(Material_PN_ICS!N129)</f>
        <v>744.25</v>
      </c>
      <c r="N33" s="26"/>
    </row>
    <row r="34" spans="1:14" x14ac:dyDescent="0.3">
      <c r="B34" s="229" t="s">
        <v>583</v>
      </c>
      <c r="C34" s="229">
        <v>0</v>
      </c>
      <c r="D34" s="72">
        <v>4</v>
      </c>
      <c r="E34" s="72" t="s">
        <v>593</v>
      </c>
      <c r="F34" s="72" t="s">
        <v>622</v>
      </c>
      <c r="G34" s="71" t="s">
        <v>614</v>
      </c>
      <c r="H34" s="334" t="s">
        <v>355</v>
      </c>
      <c r="I34" s="335" t="s">
        <v>387</v>
      </c>
      <c r="J34" s="52"/>
      <c r="K34" s="261">
        <f>SUM(Material_PN_ICS!M130)</f>
        <v>3</v>
      </c>
      <c r="L34" s="262" t="s">
        <v>643</v>
      </c>
      <c r="M34" s="267">
        <f>SUM(Material_PN_ICS!N130)</f>
        <v>577.89</v>
      </c>
      <c r="N34" s="26"/>
    </row>
    <row r="35" spans="1:14" x14ac:dyDescent="0.3">
      <c r="B35" s="229" t="s">
        <v>583</v>
      </c>
      <c r="C35" s="229">
        <v>0</v>
      </c>
      <c r="D35" s="72">
        <v>4</v>
      </c>
      <c r="E35" s="72" t="s">
        <v>593</v>
      </c>
      <c r="F35" s="72" t="s">
        <v>622</v>
      </c>
      <c r="G35" s="71" t="s">
        <v>614</v>
      </c>
      <c r="H35" s="334" t="s">
        <v>355</v>
      </c>
      <c r="I35" s="335" t="s">
        <v>390</v>
      </c>
      <c r="J35" s="52"/>
      <c r="K35" s="261">
        <f>SUM(Material_PN_ICS!M131)</f>
        <v>2</v>
      </c>
      <c r="L35" s="262" t="s">
        <v>643</v>
      </c>
      <c r="M35" s="267">
        <f>SUM(Material_PN_ICS!N131)</f>
        <v>321.58</v>
      </c>
      <c r="N35" s="26"/>
    </row>
    <row r="36" spans="1:14" x14ac:dyDescent="0.3">
      <c r="B36" s="229" t="s">
        <v>583</v>
      </c>
      <c r="C36" s="229">
        <v>0</v>
      </c>
      <c r="D36" s="72">
        <v>4</v>
      </c>
      <c r="E36" s="72" t="s">
        <v>593</v>
      </c>
      <c r="F36" s="72" t="s">
        <v>622</v>
      </c>
      <c r="G36" s="71" t="s">
        <v>614</v>
      </c>
      <c r="H36" s="334" t="s">
        <v>355</v>
      </c>
      <c r="I36" s="335" t="s">
        <v>393</v>
      </c>
      <c r="J36" s="52"/>
      <c r="K36" s="261">
        <f>SUM(Material_PN_ICS!M132)</f>
        <v>0</v>
      </c>
      <c r="L36" s="262" t="s">
        <v>643</v>
      </c>
      <c r="M36" s="267">
        <f>SUM(Material_PN_ICS!N132)</f>
        <v>0</v>
      </c>
      <c r="N36" s="26"/>
    </row>
    <row r="37" spans="1:14" x14ac:dyDescent="0.3">
      <c r="B37" s="229" t="s">
        <v>583</v>
      </c>
      <c r="C37" s="229">
        <v>0</v>
      </c>
      <c r="D37" s="72">
        <v>4</v>
      </c>
      <c r="E37" s="72" t="s">
        <v>593</v>
      </c>
      <c r="F37" s="72" t="s">
        <v>622</v>
      </c>
      <c r="G37" s="71" t="s">
        <v>614</v>
      </c>
      <c r="H37" s="52" t="s">
        <v>355</v>
      </c>
      <c r="I37" s="264" t="s">
        <v>654</v>
      </c>
      <c r="J37" s="52"/>
      <c r="K37" s="261">
        <f>SUM(Material_PN_ICS!M147)</f>
        <v>0</v>
      </c>
      <c r="L37" s="262" t="s">
        <v>643</v>
      </c>
      <c r="M37" s="267">
        <f>SUM(Material_PN_ICS!N147)</f>
        <v>0</v>
      </c>
      <c r="N37" s="26"/>
    </row>
    <row r="38" spans="1:14" x14ac:dyDescent="0.3">
      <c r="B38" s="229" t="s">
        <v>583</v>
      </c>
      <c r="C38" s="229">
        <v>0</v>
      </c>
      <c r="D38" s="229">
        <v>4</v>
      </c>
      <c r="E38" s="72" t="s">
        <v>593</v>
      </c>
      <c r="F38" s="72" t="s">
        <v>622</v>
      </c>
      <c r="G38" s="71" t="s">
        <v>628</v>
      </c>
      <c r="H38" s="52" t="s">
        <v>401</v>
      </c>
      <c r="I38" s="264" t="s">
        <v>645</v>
      </c>
      <c r="J38" s="52"/>
      <c r="K38" s="261">
        <f>SUM(Material_PN_ICS!M136)</f>
        <v>0</v>
      </c>
      <c r="L38" s="262" t="s">
        <v>643</v>
      </c>
      <c r="M38" s="267">
        <f>SUM(Material_PN_ICS!N136)</f>
        <v>0</v>
      </c>
      <c r="N38" s="26"/>
    </row>
    <row r="39" spans="1:14" x14ac:dyDescent="0.3">
      <c r="B39" s="229" t="s">
        <v>583</v>
      </c>
      <c r="C39" s="229">
        <v>0</v>
      </c>
      <c r="D39" s="229">
        <v>4</v>
      </c>
      <c r="E39" s="72" t="s">
        <v>593</v>
      </c>
      <c r="F39" s="72" t="s">
        <v>622</v>
      </c>
      <c r="G39" s="71" t="s">
        <v>628</v>
      </c>
      <c r="H39" s="52" t="s">
        <v>401</v>
      </c>
      <c r="I39" s="264" t="s">
        <v>646</v>
      </c>
      <c r="J39" s="52"/>
      <c r="K39" s="261">
        <f>SUM(Material_PN_ICS!M137)</f>
        <v>0</v>
      </c>
      <c r="L39" s="262" t="s">
        <v>643</v>
      </c>
      <c r="M39" s="267">
        <f>SUM(Material_PN_ICS!N137)</f>
        <v>0</v>
      </c>
      <c r="N39" s="26"/>
    </row>
    <row r="40" spans="1:14" x14ac:dyDescent="0.3">
      <c r="B40" s="229" t="s">
        <v>583</v>
      </c>
      <c r="C40" s="229">
        <v>0</v>
      </c>
      <c r="D40" s="229">
        <v>4</v>
      </c>
      <c r="E40" s="72" t="s">
        <v>593</v>
      </c>
      <c r="F40" s="72" t="s">
        <v>622</v>
      </c>
      <c r="G40" s="71" t="s">
        <v>628</v>
      </c>
      <c r="H40" s="52" t="s">
        <v>401</v>
      </c>
      <c r="I40" s="264" t="s">
        <v>647</v>
      </c>
      <c r="J40" s="52"/>
      <c r="K40" s="261">
        <f>SUM(Material_PN_ICS!M138)</f>
        <v>0</v>
      </c>
      <c r="L40" s="262" t="s">
        <v>643</v>
      </c>
      <c r="M40" s="267">
        <f>SUM(Material_PN_ICS!N138)</f>
        <v>0</v>
      </c>
      <c r="N40" s="26"/>
    </row>
    <row r="41" spans="1:14" x14ac:dyDescent="0.3">
      <c r="B41" s="235" t="s">
        <v>583</v>
      </c>
      <c r="C41" s="235">
        <v>0</v>
      </c>
      <c r="D41" s="73">
        <v>4</v>
      </c>
      <c r="E41" s="73" t="s">
        <v>593</v>
      </c>
      <c r="F41" s="73" t="s">
        <v>629</v>
      </c>
      <c r="G41" s="236" t="s">
        <v>628</v>
      </c>
      <c r="H41" s="237" t="s">
        <v>416</v>
      </c>
      <c r="I41" s="275" t="s">
        <v>402</v>
      </c>
      <c r="J41" s="52"/>
      <c r="K41" s="261">
        <f>SUM(Material_PN_ICS!M139:M141)</f>
        <v>0</v>
      </c>
      <c r="L41" s="262" t="s">
        <v>643</v>
      </c>
      <c r="M41" s="267">
        <f>SUM(Material_PN_ICS!N139:N141)</f>
        <v>0</v>
      </c>
      <c r="N41" s="26"/>
    </row>
    <row r="42" spans="1:14" x14ac:dyDescent="0.3">
      <c r="B42" s="235" t="s">
        <v>583</v>
      </c>
      <c r="C42" s="235">
        <v>0</v>
      </c>
      <c r="D42" s="73">
        <v>4</v>
      </c>
      <c r="E42" s="73" t="s">
        <v>593</v>
      </c>
      <c r="F42" s="73" t="s">
        <v>622</v>
      </c>
      <c r="G42" s="236" t="s">
        <v>619</v>
      </c>
      <c r="H42" s="237" t="s">
        <v>493</v>
      </c>
      <c r="I42" s="275" t="s">
        <v>494</v>
      </c>
      <c r="J42" s="52"/>
      <c r="K42" s="261">
        <v>1</v>
      </c>
      <c r="L42" s="262" t="s">
        <v>644</v>
      </c>
      <c r="M42" s="267">
        <f>SUM(Material_PN_ICS!N148:N153)</f>
        <v>0</v>
      </c>
      <c r="N42" s="26"/>
    </row>
    <row r="43" spans="1:14" x14ac:dyDescent="0.3">
      <c r="B43" s="235" t="s">
        <v>583</v>
      </c>
      <c r="C43" s="235">
        <v>0</v>
      </c>
      <c r="D43" s="73">
        <v>4</v>
      </c>
      <c r="E43" s="73" t="s">
        <v>593</v>
      </c>
      <c r="F43" s="73" t="s">
        <v>622</v>
      </c>
      <c r="G43" s="236" t="s">
        <v>620</v>
      </c>
      <c r="H43" s="237" t="s">
        <v>525</v>
      </c>
      <c r="I43" s="275" t="s">
        <v>526</v>
      </c>
      <c r="J43" s="52"/>
      <c r="K43" s="261">
        <v>1</v>
      </c>
      <c r="L43" s="262" t="s">
        <v>644</v>
      </c>
      <c r="M43" s="267">
        <f>SUM(Material_PN_ICS!N154:N161)</f>
        <v>0</v>
      </c>
      <c r="N43" s="26"/>
    </row>
    <row r="44" spans="1:14" x14ac:dyDescent="0.3">
      <c r="B44" s="309" t="s">
        <v>583</v>
      </c>
      <c r="C44" s="309">
        <v>0</v>
      </c>
      <c r="D44" s="310">
        <v>4</v>
      </c>
      <c r="E44" s="310" t="s">
        <v>621</v>
      </c>
      <c r="F44" s="310" t="s">
        <v>622</v>
      </c>
      <c r="G44" s="311" t="s">
        <v>596</v>
      </c>
      <c r="H44" s="312" t="s">
        <v>552</v>
      </c>
      <c r="I44" s="313" t="s">
        <v>553</v>
      </c>
      <c r="J44" s="297"/>
      <c r="K44" s="306">
        <v>1</v>
      </c>
      <c r="L44" s="298" t="s">
        <v>644</v>
      </c>
      <c r="M44" s="299">
        <f>SUM(Material_PN_ICS!N163)</f>
        <v>0</v>
      </c>
      <c r="N44" s="26"/>
    </row>
    <row r="45" spans="1:14" x14ac:dyDescent="0.3">
      <c r="B45" s="314"/>
      <c r="C45" s="307"/>
      <c r="D45" s="307"/>
      <c r="E45" s="307"/>
      <c r="F45" s="307"/>
      <c r="G45" s="307"/>
      <c r="H45" s="307"/>
      <c r="I45" s="307"/>
      <c r="J45" s="307"/>
      <c r="K45" s="315"/>
      <c r="L45" s="315"/>
      <c r="M45" s="210" t="s">
        <v>916</v>
      </c>
      <c r="N45" s="308" t="s">
        <v>696</v>
      </c>
    </row>
    <row r="46" spans="1:14" ht="19.2" customHeight="1" x14ac:dyDescent="0.3">
      <c r="A46" s="279" t="s">
        <v>657</v>
      </c>
      <c r="B46" s="235" t="s">
        <v>583</v>
      </c>
      <c r="C46" s="235">
        <v>0</v>
      </c>
      <c r="D46" s="73">
        <v>4</v>
      </c>
      <c r="E46" s="73" t="s">
        <v>663</v>
      </c>
      <c r="F46" s="73" t="s">
        <v>622</v>
      </c>
      <c r="G46" s="236" t="s">
        <v>664</v>
      </c>
      <c r="H46" s="80" t="s">
        <v>689</v>
      </c>
      <c r="I46" s="268" t="s">
        <v>669</v>
      </c>
      <c r="J46" s="52"/>
      <c r="K46" s="52"/>
      <c r="L46" s="262" t="s">
        <v>695</v>
      </c>
      <c r="M46" s="267"/>
      <c r="N46" s="267"/>
    </row>
    <row r="47" spans="1:14" x14ac:dyDescent="0.3">
      <c r="B47" s="235" t="s">
        <v>583</v>
      </c>
      <c r="C47" s="235">
        <v>0</v>
      </c>
      <c r="D47" s="73">
        <v>4</v>
      </c>
      <c r="E47" s="73" t="s">
        <v>663</v>
      </c>
      <c r="F47" s="73" t="s">
        <v>622</v>
      </c>
      <c r="G47" s="236" t="s">
        <v>665</v>
      </c>
      <c r="H47" s="80" t="s">
        <v>690</v>
      </c>
      <c r="I47" s="268" t="s">
        <v>670</v>
      </c>
      <c r="J47" s="52"/>
      <c r="K47" s="52"/>
      <c r="L47" s="262" t="s">
        <v>695</v>
      </c>
      <c r="M47" s="267"/>
      <c r="N47" s="267"/>
    </row>
    <row r="48" spans="1:14" x14ac:dyDescent="0.3">
      <c r="B48" s="235" t="s">
        <v>583</v>
      </c>
      <c r="C48" s="235">
        <v>0</v>
      </c>
      <c r="D48" s="73">
        <v>4</v>
      </c>
      <c r="E48" s="73" t="s">
        <v>663</v>
      </c>
      <c r="F48" s="73" t="s">
        <v>622</v>
      </c>
      <c r="G48" s="236" t="s">
        <v>666</v>
      </c>
      <c r="H48" s="80" t="s">
        <v>691</v>
      </c>
      <c r="I48" s="268" t="s">
        <v>671</v>
      </c>
      <c r="J48" s="52"/>
      <c r="K48" s="52"/>
      <c r="L48" s="262" t="s">
        <v>695</v>
      </c>
      <c r="M48" s="267"/>
      <c r="N48" s="267"/>
    </row>
    <row r="49" spans="2:14" x14ac:dyDescent="0.3">
      <c r="B49" s="235" t="s">
        <v>583</v>
      </c>
      <c r="C49" s="235">
        <v>0</v>
      </c>
      <c r="D49" s="73">
        <v>4</v>
      </c>
      <c r="E49" s="73" t="s">
        <v>663</v>
      </c>
      <c r="F49" s="73" t="s">
        <v>622</v>
      </c>
      <c r="G49" s="236" t="s">
        <v>666</v>
      </c>
      <c r="H49" s="80" t="s">
        <v>691</v>
      </c>
      <c r="I49" s="268" t="s">
        <v>672</v>
      </c>
      <c r="J49" s="52"/>
      <c r="K49" s="52"/>
      <c r="L49" s="262" t="s">
        <v>695</v>
      </c>
      <c r="M49" s="267"/>
      <c r="N49" s="267"/>
    </row>
    <row r="50" spans="2:14" x14ac:dyDescent="0.3">
      <c r="B50" s="235" t="s">
        <v>583</v>
      </c>
      <c r="C50" s="235">
        <v>0</v>
      </c>
      <c r="D50" s="73">
        <v>4</v>
      </c>
      <c r="E50" s="73" t="s">
        <v>663</v>
      </c>
      <c r="F50" s="73" t="s">
        <v>622</v>
      </c>
      <c r="G50" s="236" t="s">
        <v>667</v>
      </c>
      <c r="H50" s="80" t="s">
        <v>692</v>
      </c>
      <c r="I50" s="268" t="s">
        <v>673</v>
      </c>
      <c r="J50" s="52"/>
      <c r="K50" s="52"/>
      <c r="L50" s="262" t="s">
        <v>695</v>
      </c>
      <c r="M50" s="267"/>
      <c r="N50" s="267"/>
    </row>
    <row r="51" spans="2:14" x14ac:dyDescent="0.3">
      <c r="B51" s="235" t="s">
        <v>583</v>
      </c>
      <c r="C51" s="235">
        <v>0</v>
      </c>
      <c r="D51" s="73">
        <v>4</v>
      </c>
      <c r="E51" s="73" t="s">
        <v>663</v>
      </c>
      <c r="F51" s="73" t="s">
        <v>622</v>
      </c>
      <c r="G51" s="236" t="s">
        <v>666</v>
      </c>
      <c r="H51" s="80" t="s">
        <v>691</v>
      </c>
      <c r="I51" s="268" t="s">
        <v>674</v>
      </c>
      <c r="J51" s="52"/>
      <c r="K51" s="52"/>
      <c r="L51" s="262" t="s">
        <v>695</v>
      </c>
      <c r="M51" s="267"/>
      <c r="N51" s="267"/>
    </row>
    <row r="52" spans="2:14" x14ac:dyDescent="0.3">
      <c r="B52" s="235" t="s">
        <v>583</v>
      </c>
      <c r="C52" s="235">
        <v>0</v>
      </c>
      <c r="D52" s="73">
        <v>4</v>
      </c>
      <c r="E52" s="73" t="s">
        <v>663</v>
      </c>
      <c r="F52" s="73" t="s">
        <v>622</v>
      </c>
      <c r="G52" s="236" t="s">
        <v>665</v>
      </c>
      <c r="H52" s="80" t="s">
        <v>690</v>
      </c>
      <c r="I52" s="268" t="s">
        <v>675</v>
      </c>
      <c r="J52" s="52"/>
      <c r="K52" s="52"/>
      <c r="L52" s="262" t="s">
        <v>695</v>
      </c>
      <c r="M52" s="267"/>
      <c r="N52" s="267"/>
    </row>
    <row r="53" spans="2:14" x14ac:dyDescent="0.3">
      <c r="B53" s="235" t="s">
        <v>583</v>
      </c>
      <c r="C53" s="235">
        <v>0</v>
      </c>
      <c r="D53" s="73">
        <v>4</v>
      </c>
      <c r="E53" s="73" t="s">
        <v>663</v>
      </c>
      <c r="F53" s="73" t="s">
        <v>622</v>
      </c>
      <c r="G53" s="236" t="s">
        <v>665</v>
      </c>
      <c r="H53" s="80" t="s">
        <v>690</v>
      </c>
      <c r="I53" s="268" t="s">
        <v>676</v>
      </c>
      <c r="J53" s="52"/>
      <c r="K53" s="52"/>
      <c r="L53" s="262" t="s">
        <v>695</v>
      </c>
      <c r="M53" s="267"/>
      <c r="N53" s="267"/>
    </row>
    <row r="54" spans="2:14" x14ac:dyDescent="0.3">
      <c r="B54" s="235" t="s">
        <v>583</v>
      </c>
      <c r="C54" s="235">
        <v>0</v>
      </c>
      <c r="D54" s="73">
        <v>4</v>
      </c>
      <c r="E54" s="73" t="s">
        <v>663</v>
      </c>
      <c r="F54" s="73" t="s">
        <v>622</v>
      </c>
      <c r="G54" s="236" t="s">
        <v>667</v>
      </c>
      <c r="H54" s="80" t="s">
        <v>692</v>
      </c>
      <c r="I54" s="268" t="s">
        <v>677</v>
      </c>
      <c r="J54" s="52"/>
      <c r="K54" s="52"/>
      <c r="L54" s="262" t="s">
        <v>695</v>
      </c>
      <c r="M54" s="267"/>
      <c r="N54" s="267"/>
    </row>
    <row r="55" spans="2:14" x14ac:dyDescent="0.3">
      <c r="B55" s="235" t="s">
        <v>583</v>
      </c>
      <c r="C55" s="235">
        <v>0</v>
      </c>
      <c r="D55" s="73">
        <v>4</v>
      </c>
      <c r="E55" s="73" t="s">
        <v>663</v>
      </c>
      <c r="F55" s="73" t="s">
        <v>622</v>
      </c>
      <c r="G55" s="236" t="s">
        <v>667</v>
      </c>
      <c r="H55" s="80" t="s">
        <v>692</v>
      </c>
      <c r="I55" s="268" t="s">
        <v>678</v>
      </c>
      <c r="J55" s="52"/>
      <c r="K55" s="52"/>
      <c r="L55" s="262" t="s">
        <v>695</v>
      </c>
      <c r="M55" s="267"/>
      <c r="N55" s="267"/>
    </row>
    <row r="56" spans="2:14" x14ac:dyDescent="0.3">
      <c r="B56" s="235" t="s">
        <v>583</v>
      </c>
      <c r="C56" s="235">
        <v>0</v>
      </c>
      <c r="D56" s="73">
        <v>4</v>
      </c>
      <c r="E56" s="73" t="s">
        <v>663</v>
      </c>
      <c r="F56" s="73" t="s">
        <v>622</v>
      </c>
      <c r="G56" s="236" t="s">
        <v>665</v>
      </c>
      <c r="H56" s="80" t="s">
        <v>690</v>
      </c>
      <c r="I56" s="268" t="s">
        <v>679</v>
      </c>
      <c r="J56" s="52"/>
      <c r="K56" s="52"/>
      <c r="L56" s="262" t="s">
        <v>695</v>
      </c>
      <c r="M56" s="267"/>
      <c r="N56" s="267"/>
    </row>
    <row r="57" spans="2:14" x14ac:dyDescent="0.3">
      <c r="B57" s="235" t="s">
        <v>583</v>
      </c>
      <c r="C57" s="235">
        <v>0</v>
      </c>
      <c r="D57" s="73">
        <v>4</v>
      </c>
      <c r="E57" s="73" t="s">
        <v>663</v>
      </c>
      <c r="F57" s="73" t="s">
        <v>622</v>
      </c>
      <c r="G57" s="236" t="s">
        <v>667</v>
      </c>
      <c r="H57" s="80" t="s">
        <v>692</v>
      </c>
      <c r="I57" s="268" t="s">
        <v>680</v>
      </c>
      <c r="J57" s="52"/>
      <c r="K57" s="52"/>
      <c r="L57" s="262" t="s">
        <v>695</v>
      </c>
      <c r="M57" s="267"/>
      <c r="N57" s="267"/>
    </row>
    <row r="58" spans="2:14" x14ac:dyDescent="0.3">
      <c r="B58" s="235" t="s">
        <v>583</v>
      </c>
      <c r="C58" s="235">
        <v>0</v>
      </c>
      <c r="D58" s="73">
        <v>4</v>
      </c>
      <c r="E58" s="73" t="s">
        <v>663</v>
      </c>
      <c r="F58" s="73" t="s">
        <v>622</v>
      </c>
      <c r="G58" s="236" t="s">
        <v>667</v>
      </c>
      <c r="H58" s="80" t="s">
        <v>692</v>
      </c>
      <c r="I58" s="268" t="s">
        <v>681</v>
      </c>
      <c r="J58" s="52"/>
      <c r="K58" s="52"/>
      <c r="L58" s="262" t="s">
        <v>695</v>
      </c>
      <c r="M58" s="267"/>
      <c r="N58" s="267"/>
    </row>
    <row r="59" spans="2:14" x14ac:dyDescent="0.3">
      <c r="B59" s="235" t="s">
        <v>583</v>
      </c>
      <c r="C59" s="235">
        <v>0</v>
      </c>
      <c r="D59" s="73">
        <v>4</v>
      </c>
      <c r="E59" s="73" t="s">
        <v>663</v>
      </c>
      <c r="F59" s="73" t="s">
        <v>622</v>
      </c>
      <c r="G59" s="236" t="s">
        <v>667</v>
      </c>
      <c r="H59" s="80" t="s">
        <v>692</v>
      </c>
      <c r="I59" s="268" t="s">
        <v>682</v>
      </c>
      <c r="J59" s="52"/>
      <c r="K59" s="52"/>
      <c r="L59" s="262" t="s">
        <v>695</v>
      </c>
      <c r="M59" s="267"/>
      <c r="N59" s="267"/>
    </row>
    <row r="60" spans="2:14" x14ac:dyDescent="0.3">
      <c r="B60" s="235" t="s">
        <v>583</v>
      </c>
      <c r="C60" s="235">
        <v>0</v>
      </c>
      <c r="D60" s="73">
        <v>4</v>
      </c>
      <c r="E60" s="73" t="s">
        <v>663</v>
      </c>
      <c r="F60" s="73" t="s">
        <v>622</v>
      </c>
      <c r="G60" s="236" t="s">
        <v>667</v>
      </c>
      <c r="H60" s="80" t="s">
        <v>692</v>
      </c>
      <c r="I60" s="268" t="s">
        <v>683</v>
      </c>
      <c r="J60" s="52"/>
      <c r="K60" s="52"/>
      <c r="L60" s="262" t="s">
        <v>695</v>
      </c>
      <c r="M60" s="267"/>
      <c r="N60" s="267"/>
    </row>
    <row r="61" spans="2:14" x14ac:dyDescent="0.3">
      <c r="B61" s="235" t="s">
        <v>583</v>
      </c>
      <c r="C61" s="235">
        <v>0</v>
      </c>
      <c r="D61" s="73">
        <v>4</v>
      </c>
      <c r="E61" s="73" t="s">
        <v>663</v>
      </c>
      <c r="F61" s="73" t="s">
        <v>622</v>
      </c>
      <c r="G61" s="236" t="s">
        <v>667</v>
      </c>
      <c r="H61" s="80" t="s">
        <v>692</v>
      </c>
      <c r="I61" s="268" t="s">
        <v>684</v>
      </c>
      <c r="J61" s="52"/>
      <c r="K61" s="52"/>
      <c r="L61" s="262" t="s">
        <v>695</v>
      </c>
      <c r="M61" s="267"/>
      <c r="N61" s="267"/>
    </row>
    <row r="62" spans="2:14" x14ac:dyDescent="0.3">
      <c r="B62" s="235" t="s">
        <v>583</v>
      </c>
      <c r="C62" s="235">
        <v>0</v>
      </c>
      <c r="D62" s="73">
        <v>4</v>
      </c>
      <c r="E62" s="73" t="s">
        <v>663</v>
      </c>
      <c r="F62" s="73" t="s">
        <v>622</v>
      </c>
      <c r="G62" s="236" t="s">
        <v>667</v>
      </c>
      <c r="H62" s="80" t="s">
        <v>692</v>
      </c>
      <c r="I62" s="268" t="s">
        <v>685</v>
      </c>
      <c r="J62" s="52"/>
      <c r="K62" s="52"/>
      <c r="L62" s="262" t="s">
        <v>695</v>
      </c>
      <c r="M62" s="267"/>
      <c r="N62" s="267"/>
    </row>
    <row r="63" spans="2:14" x14ac:dyDescent="0.3">
      <c r="B63" s="235" t="s">
        <v>583</v>
      </c>
      <c r="C63" s="235">
        <v>0</v>
      </c>
      <c r="D63" s="73">
        <v>4</v>
      </c>
      <c r="E63" s="73" t="s">
        <v>663</v>
      </c>
      <c r="F63" s="73" t="s">
        <v>622</v>
      </c>
      <c r="G63" s="236" t="s">
        <v>667</v>
      </c>
      <c r="H63" s="80" t="s">
        <v>692</v>
      </c>
      <c r="I63" s="268" t="s">
        <v>686</v>
      </c>
      <c r="J63" s="52"/>
      <c r="K63" s="52"/>
      <c r="L63" s="262" t="s">
        <v>695</v>
      </c>
      <c r="M63" s="267"/>
      <c r="N63" s="267"/>
    </row>
    <row r="64" spans="2:14" x14ac:dyDescent="0.3">
      <c r="B64" s="235" t="s">
        <v>583</v>
      </c>
      <c r="C64" s="235">
        <v>0</v>
      </c>
      <c r="D64" s="73">
        <v>4</v>
      </c>
      <c r="E64" s="73" t="s">
        <v>663</v>
      </c>
      <c r="F64" s="73" t="s">
        <v>622</v>
      </c>
      <c r="G64" s="236" t="s">
        <v>665</v>
      </c>
      <c r="H64" s="80" t="s">
        <v>690</v>
      </c>
      <c r="I64" s="268" t="s">
        <v>687</v>
      </c>
      <c r="J64" s="52"/>
      <c r="K64" s="52"/>
      <c r="L64" s="262" t="s">
        <v>695</v>
      </c>
      <c r="M64" s="267"/>
      <c r="N64" s="267"/>
    </row>
    <row r="65" spans="1:14" x14ac:dyDescent="0.3">
      <c r="B65" s="235" t="s">
        <v>583</v>
      </c>
      <c r="C65" s="235">
        <v>0</v>
      </c>
      <c r="D65" s="73">
        <v>4</v>
      </c>
      <c r="E65" s="73" t="s">
        <v>663</v>
      </c>
      <c r="F65" s="73" t="s">
        <v>622</v>
      </c>
      <c r="G65" s="236" t="s">
        <v>668</v>
      </c>
      <c r="H65" s="80" t="s">
        <v>693</v>
      </c>
      <c r="I65" s="268" t="s">
        <v>688</v>
      </c>
      <c r="J65" s="52"/>
      <c r="K65" s="52"/>
      <c r="L65" s="262" t="s">
        <v>695</v>
      </c>
      <c r="M65" s="267"/>
      <c r="N65" s="267"/>
    </row>
    <row r="66" spans="1:14" ht="40.200000000000003" x14ac:dyDescent="0.3">
      <c r="A66" s="278" t="s">
        <v>834</v>
      </c>
      <c r="B66" s="316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8"/>
      <c r="N66" s="30"/>
    </row>
    <row r="67" spans="1:14" ht="40.200000000000003" x14ac:dyDescent="0.3">
      <c r="A67" s="279" t="s">
        <v>706</v>
      </c>
      <c r="B67" s="319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9" t="s">
        <v>921</v>
      </c>
      <c r="N67" s="30"/>
    </row>
    <row r="68" spans="1:14" x14ac:dyDescent="0.3">
      <c r="A68" s="277" t="s">
        <v>835</v>
      </c>
      <c r="B68" s="235" t="s">
        <v>583</v>
      </c>
      <c r="C68" s="52"/>
      <c r="D68" s="52"/>
      <c r="E68" s="52"/>
      <c r="F68" s="52"/>
      <c r="G68" s="52"/>
      <c r="H68" s="19"/>
      <c r="I68" s="266" t="s">
        <v>708</v>
      </c>
      <c r="J68" s="52"/>
      <c r="K68" s="52"/>
      <c r="L68" s="262" t="s">
        <v>643</v>
      </c>
      <c r="M68" s="267"/>
      <c r="N68" s="30"/>
    </row>
    <row r="69" spans="1:14" x14ac:dyDescent="0.3">
      <c r="A69" s="277" t="s">
        <v>589</v>
      </c>
      <c r="B69" s="235" t="s">
        <v>583</v>
      </c>
      <c r="C69" s="52"/>
      <c r="D69" s="52"/>
      <c r="E69" s="52"/>
      <c r="F69" s="52"/>
      <c r="G69" s="52"/>
      <c r="H69" s="19"/>
      <c r="I69" s="266" t="s">
        <v>709</v>
      </c>
      <c r="J69" s="52"/>
      <c r="K69" s="52"/>
      <c r="L69" s="262" t="s">
        <v>643</v>
      </c>
      <c r="M69" s="267"/>
      <c r="N69" s="26"/>
    </row>
    <row r="70" spans="1:14" x14ac:dyDescent="0.3">
      <c r="A70" s="277" t="s">
        <v>836</v>
      </c>
      <c r="B70" s="235" t="s">
        <v>583</v>
      </c>
      <c r="C70" s="52"/>
      <c r="D70" s="52"/>
      <c r="E70" s="52"/>
      <c r="F70" s="52"/>
      <c r="G70" s="52"/>
      <c r="H70" s="19"/>
      <c r="I70" s="266" t="s">
        <v>710</v>
      </c>
      <c r="J70" s="52"/>
      <c r="K70" s="52"/>
      <c r="L70" s="262" t="s">
        <v>643</v>
      </c>
      <c r="M70" s="267"/>
      <c r="N70" s="26"/>
    </row>
    <row r="71" spans="1:14" x14ac:dyDescent="0.3">
      <c r="A71" s="277" t="s">
        <v>837</v>
      </c>
      <c r="B71" s="235" t="s">
        <v>583</v>
      </c>
      <c r="C71" s="52"/>
      <c r="D71" s="52"/>
      <c r="E71" s="52"/>
      <c r="F71" s="52"/>
      <c r="G71" s="52"/>
      <c r="H71" s="19"/>
      <c r="I71" s="266" t="s">
        <v>711</v>
      </c>
      <c r="J71" s="52"/>
      <c r="K71" s="52"/>
      <c r="L71" s="262" t="s">
        <v>643</v>
      </c>
      <c r="M71" s="267"/>
      <c r="N71" s="26"/>
    </row>
    <row r="72" spans="1:14" x14ac:dyDescent="0.3">
      <c r="A72" s="277" t="s">
        <v>838</v>
      </c>
      <c r="B72" s="235" t="s">
        <v>583</v>
      </c>
      <c r="C72" s="52"/>
      <c r="D72" s="52"/>
      <c r="E72" s="52"/>
      <c r="F72" s="52"/>
      <c r="G72" s="52"/>
      <c r="H72" s="19"/>
      <c r="I72" s="266" t="s">
        <v>712</v>
      </c>
      <c r="J72" s="52"/>
      <c r="K72" s="52"/>
      <c r="L72" s="262" t="s">
        <v>643</v>
      </c>
      <c r="M72" s="267"/>
      <c r="N72" s="26"/>
    </row>
    <row r="73" spans="1:14" x14ac:dyDescent="0.3">
      <c r="A73" s="277" t="s">
        <v>839</v>
      </c>
      <c r="B73" s="235" t="s">
        <v>583</v>
      </c>
      <c r="C73" s="52"/>
      <c r="D73" s="52"/>
      <c r="E73" s="52"/>
      <c r="F73" s="52"/>
      <c r="G73" s="52"/>
      <c r="H73" s="19"/>
      <c r="I73" s="266" t="s">
        <v>713</v>
      </c>
      <c r="J73" s="52"/>
      <c r="K73" s="52"/>
      <c r="L73" s="262" t="s">
        <v>643</v>
      </c>
      <c r="M73" s="267"/>
      <c r="N73" s="26"/>
    </row>
    <row r="74" spans="1:14" x14ac:dyDescent="0.3">
      <c r="A74" s="277" t="s">
        <v>840</v>
      </c>
      <c r="B74" s="235" t="s">
        <v>583</v>
      </c>
      <c r="C74" s="52"/>
      <c r="D74" s="52"/>
      <c r="E74" s="52"/>
      <c r="F74" s="52"/>
      <c r="G74" s="52"/>
      <c r="H74" s="19"/>
      <c r="I74" s="266" t="s">
        <v>791</v>
      </c>
      <c r="J74" s="52"/>
      <c r="K74" s="52"/>
      <c r="L74" s="262" t="s">
        <v>643</v>
      </c>
      <c r="M74" s="267"/>
      <c r="N74" s="26"/>
    </row>
    <row r="75" spans="1:14" x14ac:dyDescent="0.3">
      <c r="A75" s="277" t="s">
        <v>841</v>
      </c>
      <c r="B75" s="235" t="s">
        <v>583</v>
      </c>
      <c r="C75" s="52"/>
      <c r="D75" s="52"/>
      <c r="E75" s="52"/>
      <c r="F75" s="52"/>
      <c r="G75" s="52"/>
      <c r="H75" s="19"/>
      <c r="I75" s="266" t="s">
        <v>715</v>
      </c>
      <c r="J75" s="52"/>
      <c r="K75" s="52"/>
      <c r="L75" s="262" t="s">
        <v>643</v>
      </c>
      <c r="M75" s="267"/>
      <c r="N75" s="26"/>
    </row>
    <row r="76" spans="1:14" x14ac:dyDescent="0.3">
      <c r="A76" s="277" t="s">
        <v>842</v>
      </c>
      <c r="B76" s="235" t="s">
        <v>583</v>
      </c>
      <c r="C76" s="52"/>
      <c r="D76" s="52"/>
      <c r="E76" s="52"/>
      <c r="F76" s="52"/>
      <c r="G76" s="52"/>
      <c r="H76" s="19"/>
      <c r="I76" s="266" t="s">
        <v>716</v>
      </c>
      <c r="J76" s="52"/>
      <c r="K76" s="52"/>
      <c r="L76" s="262" t="s">
        <v>643</v>
      </c>
      <c r="M76" s="267"/>
      <c r="N76" s="26"/>
    </row>
    <row r="77" spans="1:14" x14ac:dyDescent="0.3">
      <c r="A77" s="277" t="s">
        <v>843</v>
      </c>
      <c r="B77" s="235" t="s">
        <v>583</v>
      </c>
      <c r="C77" s="52"/>
      <c r="D77" s="52"/>
      <c r="E77" s="52"/>
      <c r="F77" s="52"/>
      <c r="G77" s="52"/>
      <c r="H77" s="19"/>
      <c r="I77" s="266" t="s">
        <v>717</v>
      </c>
      <c r="J77" s="52"/>
      <c r="K77" s="52"/>
      <c r="L77" s="262" t="s">
        <v>643</v>
      </c>
      <c r="M77" s="267"/>
      <c r="N77" s="26"/>
    </row>
    <row r="78" spans="1:14" x14ac:dyDescent="0.3">
      <c r="A78" s="277" t="s">
        <v>844</v>
      </c>
      <c r="B78" s="235" t="s">
        <v>583</v>
      </c>
      <c r="C78" s="52"/>
      <c r="D78" s="52"/>
      <c r="E78" s="52"/>
      <c r="F78" s="52"/>
      <c r="G78" s="52"/>
      <c r="H78" s="19"/>
      <c r="I78" s="266" t="s">
        <v>718</v>
      </c>
      <c r="J78" s="52"/>
      <c r="K78" s="52"/>
      <c r="L78" s="262" t="s">
        <v>643</v>
      </c>
      <c r="M78" s="267"/>
      <c r="N78" s="26"/>
    </row>
    <row r="79" spans="1:14" x14ac:dyDescent="0.3">
      <c r="A79" s="277" t="s">
        <v>845</v>
      </c>
      <c r="B79" s="235" t="s">
        <v>583</v>
      </c>
      <c r="C79" s="52"/>
      <c r="D79" s="52"/>
      <c r="E79" s="52"/>
      <c r="F79" s="52"/>
      <c r="G79" s="52"/>
      <c r="H79" s="19"/>
      <c r="I79" s="266" t="s">
        <v>719</v>
      </c>
      <c r="J79" s="52"/>
      <c r="K79" s="52"/>
      <c r="L79" s="262" t="s">
        <v>643</v>
      </c>
      <c r="M79" s="267"/>
      <c r="N79" s="26"/>
    </row>
    <row r="80" spans="1:14" x14ac:dyDescent="0.3">
      <c r="A80" s="277" t="s">
        <v>846</v>
      </c>
      <c r="B80" s="235" t="s">
        <v>583</v>
      </c>
      <c r="C80" s="52"/>
      <c r="D80" s="52"/>
      <c r="E80" s="52"/>
      <c r="F80" s="52"/>
      <c r="G80" s="52"/>
      <c r="H80" s="19"/>
      <c r="I80" s="266" t="s">
        <v>720</v>
      </c>
      <c r="J80" s="52"/>
      <c r="K80" s="52"/>
      <c r="L80" s="262" t="s">
        <v>643</v>
      </c>
      <c r="M80" s="267"/>
      <c r="N80" s="26"/>
    </row>
    <row r="81" spans="1:14" x14ac:dyDescent="0.3">
      <c r="A81" s="277" t="s">
        <v>847</v>
      </c>
      <c r="B81" s="235" t="s">
        <v>583</v>
      </c>
      <c r="C81" s="52"/>
      <c r="D81" s="52"/>
      <c r="E81" s="52"/>
      <c r="F81" s="52"/>
      <c r="G81" s="52"/>
      <c r="H81" s="19"/>
      <c r="I81" s="266" t="s">
        <v>721</v>
      </c>
      <c r="J81" s="52"/>
      <c r="K81" s="52"/>
      <c r="L81" s="262" t="s">
        <v>643</v>
      </c>
      <c r="M81" s="267"/>
      <c r="N81" s="26"/>
    </row>
    <row r="82" spans="1:14" x14ac:dyDescent="0.3">
      <c r="A82" s="277" t="s">
        <v>848</v>
      </c>
      <c r="B82" s="235" t="s">
        <v>583</v>
      </c>
      <c r="C82" s="52"/>
      <c r="D82" s="52"/>
      <c r="E82" s="52"/>
      <c r="F82" s="52"/>
      <c r="G82" s="52"/>
      <c r="H82" s="19"/>
      <c r="I82" s="266" t="s">
        <v>722</v>
      </c>
      <c r="J82" s="52"/>
      <c r="K82" s="52"/>
      <c r="L82" s="262" t="s">
        <v>643</v>
      </c>
      <c r="M82" s="267"/>
      <c r="N82" s="26"/>
    </row>
    <row r="83" spans="1:14" x14ac:dyDescent="0.3">
      <c r="A83" s="277" t="s">
        <v>849</v>
      </c>
      <c r="B83" s="235" t="s">
        <v>583</v>
      </c>
      <c r="C83" s="52"/>
      <c r="D83" s="52"/>
      <c r="E83" s="52"/>
      <c r="F83" s="52"/>
      <c r="G83" s="52"/>
      <c r="H83" s="19"/>
      <c r="I83" s="266" t="s">
        <v>723</v>
      </c>
      <c r="J83" s="52"/>
      <c r="K83" s="52"/>
      <c r="L83" s="262" t="s">
        <v>643</v>
      </c>
      <c r="M83" s="267"/>
      <c r="N83" s="26"/>
    </row>
    <row r="84" spans="1:14" x14ac:dyDescent="0.3">
      <c r="A84" s="277" t="s">
        <v>850</v>
      </c>
      <c r="B84" s="235" t="s">
        <v>583</v>
      </c>
      <c r="C84" s="52"/>
      <c r="D84" s="52"/>
      <c r="E84" s="52"/>
      <c r="F84" s="52"/>
      <c r="G84" s="52"/>
      <c r="H84" s="19"/>
      <c r="I84" s="266" t="s">
        <v>724</v>
      </c>
      <c r="J84" s="52"/>
      <c r="K84" s="52"/>
      <c r="L84" s="262" t="s">
        <v>643</v>
      </c>
      <c r="M84" s="267"/>
      <c r="N84" s="26"/>
    </row>
    <row r="85" spans="1:14" x14ac:dyDescent="0.3">
      <c r="A85" s="277" t="s">
        <v>851</v>
      </c>
      <c r="B85" s="235" t="s">
        <v>583</v>
      </c>
      <c r="C85" s="52"/>
      <c r="D85" s="52"/>
      <c r="E85" s="52"/>
      <c r="F85" s="52"/>
      <c r="G85" s="52"/>
      <c r="H85" s="19"/>
      <c r="I85" s="266" t="s">
        <v>725</v>
      </c>
      <c r="J85" s="52"/>
      <c r="K85" s="52"/>
      <c r="L85" s="262" t="s">
        <v>643</v>
      </c>
      <c r="M85" s="267"/>
      <c r="N85" s="26"/>
    </row>
    <row r="86" spans="1:14" x14ac:dyDescent="0.3">
      <c r="A86" s="277" t="s">
        <v>852</v>
      </c>
      <c r="B86" s="235" t="s">
        <v>583</v>
      </c>
      <c r="C86" s="52"/>
      <c r="D86" s="52"/>
      <c r="E86" s="52"/>
      <c r="F86" s="52"/>
      <c r="G86" s="52"/>
      <c r="H86" s="19"/>
      <c r="I86" s="266" t="s">
        <v>726</v>
      </c>
      <c r="J86" s="52"/>
      <c r="K86" s="52"/>
      <c r="L86" s="262" t="s">
        <v>643</v>
      </c>
      <c r="M86" s="267"/>
      <c r="N86" s="26"/>
    </row>
    <row r="87" spans="1:14" x14ac:dyDescent="0.3">
      <c r="A87" s="277" t="s">
        <v>853</v>
      </c>
      <c r="B87" s="235" t="s">
        <v>583</v>
      </c>
      <c r="C87" s="52"/>
      <c r="D87" s="52"/>
      <c r="E87" s="52"/>
      <c r="F87" s="52"/>
      <c r="G87" s="52"/>
      <c r="H87" s="19"/>
      <c r="I87" s="266" t="s">
        <v>727</v>
      </c>
      <c r="J87" s="52"/>
      <c r="K87" s="52"/>
      <c r="L87" s="262" t="s">
        <v>643</v>
      </c>
      <c r="M87" s="267"/>
      <c r="N87" s="26"/>
    </row>
    <row r="88" spans="1:14" x14ac:dyDescent="0.3">
      <c r="A88" s="277" t="s">
        <v>854</v>
      </c>
      <c r="B88" s="235" t="s">
        <v>583</v>
      </c>
      <c r="C88" s="52"/>
      <c r="D88" s="52"/>
      <c r="E88" s="52"/>
      <c r="F88" s="52"/>
      <c r="G88" s="52"/>
      <c r="H88" s="19"/>
      <c r="I88" s="266" t="s">
        <v>728</v>
      </c>
      <c r="J88" s="52"/>
      <c r="K88" s="52"/>
      <c r="L88" s="262" t="s">
        <v>643</v>
      </c>
      <c r="M88" s="267"/>
      <c r="N88" s="26"/>
    </row>
    <row r="89" spans="1:14" x14ac:dyDescent="0.3">
      <c r="A89" s="277" t="s">
        <v>855</v>
      </c>
      <c r="B89" s="235" t="s">
        <v>583</v>
      </c>
      <c r="C89" s="52"/>
      <c r="D89" s="52"/>
      <c r="E89" s="52"/>
      <c r="F89" s="52"/>
      <c r="G89" s="52"/>
      <c r="H89" s="19"/>
      <c r="I89" s="266" t="s">
        <v>729</v>
      </c>
      <c r="J89" s="52"/>
      <c r="K89" s="52"/>
      <c r="L89" s="262" t="s">
        <v>643</v>
      </c>
      <c r="M89" s="267"/>
      <c r="N89" s="26"/>
    </row>
    <row r="90" spans="1:14" x14ac:dyDescent="0.3">
      <c r="A90" s="277" t="s">
        <v>856</v>
      </c>
      <c r="B90" s="235" t="s">
        <v>583</v>
      </c>
      <c r="C90" s="52"/>
      <c r="D90" s="52"/>
      <c r="E90" s="52"/>
      <c r="F90" s="52"/>
      <c r="G90" s="52"/>
      <c r="H90" s="19"/>
      <c r="I90" s="266" t="s">
        <v>730</v>
      </c>
      <c r="J90" s="52"/>
      <c r="K90" s="52"/>
      <c r="L90" s="262" t="s">
        <v>643</v>
      </c>
      <c r="M90" s="267"/>
      <c r="N90" s="26"/>
    </row>
    <row r="91" spans="1:14" x14ac:dyDescent="0.3">
      <c r="A91" s="277" t="s">
        <v>857</v>
      </c>
      <c r="B91" s="235" t="s">
        <v>583</v>
      </c>
      <c r="C91" s="52"/>
      <c r="D91" s="52"/>
      <c r="E91" s="52"/>
      <c r="F91" s="52"/>
      <c r="G91" s="52"/>
      <c r="H91" s="19"/>
      <c r="I91" s="266" t="s">
        <v>731</v>
      </c>
      <c r="J91" s="52"/>
      <c r="K91" s="52"/>
      <c r="L91" s="262" t="s">
        <v>643</v>
      </c>
      <c r="M91" s="267"/>
      <c r="N91" s="26"/>
    </row>
    <row r="92" spans="1:14" x14ac:dyDescent="0.3">
      <c r="A92" s="277" t="s">
        <v>858</v>
      </c>
      <c r="B92" s="235" t="s">
        <v>583</v>
      </c>
      <c r="C92" s="52"/>
      <c r="D92" s="52"/>
      <c r="E92" s="52"/>
      <c r="F92" s="52"/>
      <c r="G92" s="52"/>
      <c r="H92" s="19"/>
      <c r="I92" s="266" t="s">
        <v>732</v>
      </c>
      <c r="J92" s="52"/>
      <c r="K92" s="52"/>
      <c r="L92" s="262" t="s">
        <v>643</v>
      </c>
      <c r="M92" s="267"/>
      <c r="N92" s="26"/>
    </row>
    <row r="93" spans="1:14" x14ac:dyDescent="0.3">
      <c r="A93" s="277" t="s">
        <v>859</v>
      </c>
      <c r="B93" s="235" t="s">
        <v>583</v>
      </c>
      <c r="C93" s="52"/>
      <c r="D93" s="52"/>
      <c r="E93" s="52"/>
      <c r="F93" s="52"/>
      <c r="G93" s="52"/>
      <c r="H93" s="19"/>
      <c r="I93" s="266" t="s">
        <v>733</v>
      </c>
      <c r="J93" s="52"/>
      <c r="K93" s="52"/>
      <c r="L93" s="262" t="s">
        <v>643</v>
      </c>
      <c r="M93" s="267"/>
      <c r="N93" s="26"/>
    </row>
    <row r="94" spans="1:14" x14ac:dyDescent="0.3">
      <c r="A94" s="277" t="s">
        <v>860</v>
      </c>
      <c r="B94" s="235" t="s">
        <v>583</v>
      </c>
      <c r="C94" s="52"/>
      <c r="D94" s="52"/>
      <c r="E94" s="52"/>
      <c r="F94" s="52"/>
      <c r="G94" s="52"/>
      <c r="H94" s="19"/>
      <c r="I94" s="266" t="s">
        <v>734</v>
      </c>
      <c r="J94" s="52"/>
      <c r="K94" s="52"/>
      <c r="L94" s="262" t="s">
        <v>643</v>
      </c>
      <c r="M94" s="267"/>
      <c r="N94" s="26"/>
    </row>
    <row r="95" spans="1:14" x14ac:dyDescent="0.3">
      <c r="A95" s="277" t="s">
        <v>861</v>
      </c>
      <c r="B95" s="235" t="s">
        <v>583</v>
      </c>
      <c r="C95" s="52"/>
      <c r="D95" s="52"/>
      <c r="E95" s="52"/>
      <c r="F95" s="52"/>
      <c r="G95" s="52"/>
      <c r="H95" s="19"/>
      <c r="I95" s="266" t="s">
        <v>735</v>
      </c>
      <c r="J95" s="52"/>
      <c r="K95" s="52"/>
      <c r="L95" s="262" t="s">
        <v>643</v>
      </c>
      <c r="M95" s="267"/>
      <c r="N95" s="26"/>
    </row>
    <row r="96" spans="1:14" x14ac:dyDescent="0.3">
      <c r="A96" s="277" t="s">
        <v>862</v>
      </c>
      <c r="B96" s="235" t="s">
        <v>583</v>
      </c>
      <c r="C96" s="52"/>
      <c r="D96" s="52"/>
      <c r="E96" s="52"/>
      <c r="F96" s="52"/>
      <c r="G96" s="52"/>
      <c r="H96" s="19"/>
      <c r="I96" s="266" t="s">
        <v>736</v>
      </c>
      <c r="J96" s="52"/>
      <c r="K96" s="52"/>
      <c r="L96" s="262" t="s">
        <v>643</v>
      </c>
      <c r="M96" s="267"/>
      <c r="N96" s="26"/>
    </row>
    <row r="97" spans="1:14" x14ac:dyDescent="0.3">
      <c r="A97" s="277" t="s">
        <v>863</v>
      </c>
      <c r="B97" s="235" t="s">
        <v>583</v>
      </c>
      <c r="C97" s="52"/>
      <c r="D97" s="52"/>
      <c r="E97" s="52"/>
      <c r="F97" s="52"/>
      <c r="G97" s="52"/>
      <c r="H97" s="19"/>
      <c r="I97" s="266" t="s">
        <v>737</v>
      </c>
      <c r="J97" s="52"/>
      <c r="K97" s="52"/>
      <c r="L97" s="262" t="s">
        <v>643</v>
      </c>
      <c r="M97" s="267"/>
      <c r="N97" s="26"/>
    </row>
    <row r="98" spans="1:14" x14ac:dyDescent="0.3">
      <c r="A98" s="277" t="s">
        <v>864</v>
      </c>
      <c r="B98" s="235" t="s">
        <v>583</v>
      </c>
      <c r="C98" s="52"/>
      <c r="D98" s="52"/>
      <c r="E98" s="52"/>
      <c r="F98" s="52"/>
      <c r="G98" s="52"/>
      <c r="H98" s="19"/>
      <c r="I98" s="266" t="s">
        <v>738</v>
      </c>
      <c r="J98" s="52"/>
      <c r="K98" s="52"/>
      <c r="L98" s="262" t="s">
        <v>643</v>
      </c>
      <c r="M98" s="267"/>
      <c r="N98" s="26"/>
    </row>
    <row r="99" spans="1:14" x14ac:dyDescent="0.3">
      <c r="A99" s="277" t="s">
        <v>865</v>
      </c>
      <c r="B99" s="235" t="s">
        <v>583</v>
      </c>
      <c r="C99" s="52"/>
      <c r="D99" s="52"/>
      <c r="E99" s="52"/>
      <c r="F99" s="52"/>
      <c r="G99" s="52"/>
      <c r="H99" s="19"/>
      <c r="I99" s="266" t="s">
        <v>739</v>
      </c>
      <c r="J99" s="52"/>
      <c r="K99" s="52"/>
      <c r="L99" s="262" t="s">
        <v>643</v>
      </c>
      <c r="M99" s="267"/>
      <c r="N99" s="26"/>
    </row>
    <row r="100" spans="1:14" x14ac:dyDescent="0.3">
      <c r="A100" s="277" t="s">
        <v>866</v>
      </c>
      <c r="B100" s="235" t="s">
        <v>583</v>
      </c>
      <c r="C100" s="52"/>
      <c r="D100" s="52"/>
      <c r="E100" s="52"/>
      <c r="F100" s="52"/>
      <c r="G100" s="52"/>
      <c r="H100" s="19"/>
      <c r="I100" s="266" t="s">
        <v>740</v>
      </c>
      <c r="J100" s="52"/>
      <c r="K100" s="52"/>
      <c r="L100" s="262" t="s">
        <v>643</v>
      </c>
      <c r="M100" s="267"/>
      <c r="N100" s="26"/>
    </row>
    <row r="101" spans="1:14" x14ac:dyDescent="0.3">
      <c r="A101" s="277" t="s">
        <v>867</v>
      </c>
      <c r="B101" s="235" t="s">
        <v>583</v>
      </c>
      <c r="C101" s="52"/>
      <c r="D101" s="52"/>
      <c r="E101" s="52"/>
      <c r="F101" s="52"/>
      <c r="G101" s="52"/>
      <c r="H101" s="19"/>
      <c r="I101" s="266" t="s">
        <v>741</v>
      </c>
      <c r="J101" s="52"/>
      <c r="K101" s="52"/>
      <c r="L101" s="262" t="s">
        <v>643</v>
      </c>
      <c r="M101" s="267"/>
      <c r="N101" s="26"/>
    </row>
    <row r="102" spans="1:14" x14ac:dyDescent="0.3">
      <c r="A102" s="277" t="s">
        <v>868</v>
      </c>
      <c r="B102" s="235" t="s">
        <v>583</v>
      </c>
      <c r="C102" s="52"/>
      <c r="D102" s="52"/>
      <c r="E102" s="52"/>
      <c r="F102" s="52"/>
      <c r="G102" s="52"/>
      <c r="H102" s="19"/>
      <c r="I102" s="266" t="s">
        <v>742</v>
      </c>
      <c r="J102" s="52"/>
      <c r="K102" s="52"/>
      <c r="L102" s="262" t="s">
        <v>643</v>
      </c>
      <c r="M102" s="267"/>
      <c r="N102" s="26"/>
    </row>
    <row r="103" spans="1:14" x14ac:dyDescent="0.3">
      <c r="A103" s="277" t="s">
        <v>869</v>
      </c>
      <c r="B103" s="235" t="s">
        <v>583</v>
      </c>
      <c r="C103" s="52"/>
      <c r="D103" s="52"/>
      <c r="E103" s="52"/>
      <c r="F103" s="52"/>
      <c r="G103" s="52"/>
      <c r="H103" s="19"/>
      <c r="I103" s="266" t="s">
        <v>743</v>
      </c>
      <c r="J103" s="52"/>
      <c r="K103" s="52"/>
      <c r="L103" s="262" t="s">
        <v>643</v>
      </c>
      <c r="M103" s="267"/>
      <c r="N103" s="26"/>
    </row>
    <row r="104" spans="1:14" x14ac:dyDescent="0.3">
      <c r="A104" s="277" t="s">
        <v>870</v>
      </c>
      <c r="B104" s="235" t="s">
        <v>583</v>
      </c>
      <c r="C104" s="52"/>
      <c r="D104" s="52"/>
      <c r="E104" s="52"/>
      <c r="F104" s="52"/>
      <c r="G104" s="52"/>
      <c r="H104" s="19"/>
      <c r="I104" s="266" t="s">
        <v>744</v>
      </c>
      <c r="J104" s="52"/>
      <c r="K104" s="52"/>
      <c r="L104" s="262" t="s">
        <v>643</v>
      </c>
      <c r="M104" s="267"/>
      <c r="N104" s="26"/>
    </row>
    <row r="105" spans="1:14" x14ac:dyDescent="0.3">
      <c r="A105" s="277" t="s">
        <v>871</v>
      </c>
      <c r="B105" s="235" t="s">
        <v>583</v>
      </c>
      <c r="C105" s="52"/>
      <c r="D105" s="52"/>
      <c r="E105" s="52"/>
      <c r="F105" s="52"/>
      <c r="G105" s="52"/>
      <c r="H105" s="19"/>
      <c r="I105" s="266" t="s">
        <v>745</v>
      </c>
      <c r="J105" s="52"/>
      <c r="K105" s="52"/>
      <c r="L105" s="262" t="s">
        <v>643</v>
      </c>
      <c r="M105" s="267"/>
      <c r="N105" s="26"/>
    </row>
    <row r="106" spans="1:14" x14ac:dyDescent="0.3">
      <c r="A106" s="277" t="s">
        <v>872</v>
      </c>
      <c r="B106" s="235" t="s">
        <v>583</v>
      </c>
      <c r="C106" s="52"/>
      <c r="D106" s="52"/>
      <c r="E106" s="52"/>
      <c r="F106" s="52"/>
      <c r="G106" s="52"/>
      <c r="H106" s="19"/>
      <c r="I106" s="266" t="s">
        <v>746</v>
      </c>
      <c r="J106" s="52"/>
      <c r="K106" s="52"/>
      <c r="L106" s="262" t="s">
        <v>643</v>
      </c>
      <c r="M106" s="267"/>
      <c r="N106" s="26"/>
    </row>
    <row r="107" spans="1:14" x14ac:dyDescent="0.3">
      <c r="A107" s="277" t="s">
        <v>873</v>
      </c>
      <c r="B107" s="235" t="s">
        <v>583</v>
      </c>
      <c r="C107" s="52"/>
      <c r="D107" s="52"/>
      <c r="E107" s="52"/>
      <c r="F107" s="52"/>
      <c r="G107" s="52"/>
      <c r="H107" s="19"/>
      <c r="I107" s="266" t="s">
        <v>747</v>
      </c>
      <c r="J107" s="52"/>
      <c r="K107" s="52"/>
      <c r="L107" s="262" t="s">
        <v>643</v>
      </c>
      <c r="M107" s="267"/>
      <c r="N107" s="26"/>
    </row>
    <row r="108" spans="1:14" x14ac:dyDescent="0.3">
      <c r="A108" s="277" t="s">
        <v>874</v>
      </c>
      <c r="B108" s="235" t="s">
        <v>583</v>
      </c>
      <c r="C108" s="52"/>
      <c r="D108" s="52"/>
      <c r="E108" s="52"/>
      <c r="F108" s="52"/>
      <c r="G108" s="52"/>
      <c r="H108" s="19"/>
      <c r="I108" s="266" t="s">
        <v>748</v>
      </c>
      <c r="J108" s="52"/>
      <c r="K108" s="52"/>
      <c r="L108" s="262" t="s">
        <v>643</v>
      </c>
      <c r="M108" s="267"/>
      <c r="N108" s="26"/>
    </row>
    <row r="109" spans="1:14" x14ac:dyDescent="0.3">
      <c r="A109" s="277" t="s">
        <v>875</v>
      </c>
      <c r="B109" s="235" t="s">
        <v>583</v>
      </c>
      <c r="C109" s="52"/>
      <c r="D109" s="52"/>
      <c r="E109" s="52"/>
      <c r="F109" s="52"/>
      <c r="G109" s="52"/>
      <c r="H109" s="19"/>
      <c r="I109" s="266" t="s">
        <v>749</v>
      </c>
      <c r="J109" s="52"/>
      <c r="K109" s="52"/>
      <c r="L109" s="262" t="s">
        <v>643</v>
      </c>
      <c r="M109" s="267"/>
      <c r="N109" s="26"/>
    </row>
    <row r="110" spans="1:14" x14ac:dyDescent="0.3">
      <c r="A110" s="277" t="s">
        <v>876</v>
      </c>
      <c r="B110" s="235" t="s">
        <v>583</v>
      </c>
      <c r="C110" s="52"/>
      <c r="D110" s="52"/>
      <c r="E110" s="52"/>
      <c r="F110" s="52"/>
      <c r="G110" s="52"/>
      <c r="H110" s="19"/>
      <c r="I110" s="266" t="s">
        <v>750</v>
      </c>
      <c r="J110" s="52"/>
      <c r="K110" s="52"/>
      <c r="L110" s="262" t="s">
        <v>643</v>
      </c>
      <c r="M110" s="267"/>
      <c r="N110" s="26"/>
    </row>
    <row r="111" spans="1:14" x14ac:dyDescent="0.3">
      <c r="A111" s="277" t="s">
        <v>877</v>
      </c>
      <c r="B111" s="235" t="s">
        <v>583</v>
      </c>
      <c r="C111" s="52"/>
      <c r="D111" s="52"/>
      <c r="E111" s="52"/>
      <c r="F111" s="52"/>
      <c r="G111" s="52"/>
      <c r="H111" s="19"/>
      <c r="I111" s="266" t="s">
        <v>751</v>
      </c>
      <c r="J111" s="52"/>
      <c r="K111" s="52"/>
      <c r="L111" s="262" t="s">
        <v>643</v>
      </c>
      <c r="M111" s="267"/>
      <c r="N111" s="26"/>
    </row>
    <row r="112" spans="1:14" x14ac:dyDescent="0.3">
      <c r="A112" s="277" t="s">
        <v>878</v>
      </c>
      <c r="B112" s="235" t="s">
        <v>583</v>
      </c>
      <c r="C112" s="52"/>
      <c r="D112" s="52"/>
      <c r="E112" s="52"/>
      <c r="F112" s="52"/>
      <c r="G112" s="52"/>
      <c r="H112" s="19"/>
      <c r="I112" s="266" t="s">
        <v>752</v>
      </c>
      <c r="J112" s="52"/>
      <c r="K112" s="52"/>
      <c r="L112" s="262" t="s">
        <v>643</v>
      </c>
      <c r="M112" s="267"/>
      <c r="N112" s="26"/>
    </row>
    <row r="113" spans="1:14" x14ac:dyDescent="0.3">
      <c r="A113" s="277" t="s">
        <v>879</v>
      </c>
      <c r="B113" s="235" t="s">
        <v>583</v>
      </c>
      <c r="C113" s="52"/>
      <c r="D113" s="52"/>
      <c r="E113" s="52"/>
      <c r="F113" s="52"/>
      <c r="G113" s="52"/>
      <c r="H113" s="19"/>
      <c r="I113" s="266" t="s">
        <v>753</v>
      </c>
      <c r="J113" s="52"/>
      <c r="K113" s="52"/>
      <c r="L113" s="262" t="s">
        <v>643</v>
      </c>
      <c r="M113" s="267"/>
      <c r="N113" s="26"/>
    </row>
    <row r="114" spans="1:14" x14ac:dyDescent="0.3">
      <c r="A114" s="277" t="s">
        <v>880</v>
      </c>
      <c r="B114" s="235" t="s">
        <v>583</v>
      </c>
      <c r="C114" s="52"/>
      <c r="D114" s="52"/>
      <c r="E114" s="52"/>
      <c r="F114" s="52"/>
      <c r="G114" s="52"/>
      <c r="H114" s="19"/>
      <c r="I114" s="266" t="s">
        <v>792</v>
      </c>
      <c r="J114" s="52"/>
      <c r="K114" s="52"/>
      <c r="L114" s="262" t="s">
        <v>643</v>
      </c>
      <c r="M114" s="267"/>
      <c r="N114" s="26"/>
    </row>
    <row r="115" spans="1:14" x14ac:dyDescent="0.3">
      <c r="A115" s="277" t="s">
        <v>881</v>
      </c>
      <c r="B115" s="235" t="s">
        <v>583</v>
      </c>
      <c r="C115" s="52"/>
      <c r="D115" s="52"/>
      <c r="E115" s="52"/>
      <c r="F115" s="52"/>
      <c r="G115" s="52"/>
      <c r="H115" s="19"/>
      <c r="I115" s="266" t="s">
        <v>755</v>
      </c>
      <c r="J115" s="52"/>
      <c r="K115" s="52"/>
      <c r="L115" s="262" t="s">
        <v>643</v>
      </c>
      <c r="M115" s="267"/>
      <c r="N115" s="26"/>
    </row>
    <row r="116" spans="1:14" x14ac:dyDescent="0.3">
      <c r="A116" s="277" t="s">
        <v>882</v>
      </c>
      <c r="B116" s="235" t="s">
        <v>583</v>
      </c>
      <c r="C116" s="52"/>
      <c r="D116" s="52"/>
      <c r="E116" s="52"/>
      <c r="F116" s="52"/>
      <c r="G116" s="52"/>
      <c r="H116" s="19"/>
      <c r="I116" s="266" t="s">
        <v>756</v>
      </c>
      <c r="J116" s="52"/>
      <c r="K116" s="52"/>
      <c r="L116" s="262" t="s">
        <v>643</v>
      </c>
      <c r="M116" s="267"/>
      <c r="N116" s="26"/>
    </row>
    <row r="117" spans="1:14" x14ac:dyDescent="0.3">
      <c r="A117" s="277" t="s">
        <v>883</v>
      </c>
      <c r="B117" s="235" t="s">
        <v>583</v>
      </c>
      <c r="C117" s="52"/>
      <c r="D117" s="52"/>
      <c r="E117" s="52"/>
      <c r="F117" s="52"/>
      <c r="G117" s="52"/>
      <c r="H117" s="19"/>
      <c r="I117" s="266" t="s">
        <v>757</v>
      </c>
      <c r="J117" s="52"/>
      <c r="K117" s="52"/>
      <c r="L117" s="262" t="s">
        <v>643</v>
      </c>
      <c r="M117" s="267"/>
      <c r="N117" s="26"/>
    </row>
    <row r="118" spans="1:14" x14ac:dyDescent="0.3">
      <c r="A118" s="277" t="s">
        <v>884</v>
      </c>
      <c r="B118" s="235" t="s">
        <v>583</v>
      </c>
      <c r="C118" s="52"/>
      <c r="D118" s="52"/>
      <c r="E118" s="52"/>
      <c r="F118" s="52"/>
      <c r="G118" s="52"/>
      <c r="H118" s="19"/>
      <c r="I118" s="266" t="s">
        <v>758</v>
      </c>
      <c r="J118" s="52"/>
      <c r="K118" s="52"/>
      <c r="L118" s="262" t="s">
        <v>643</v>
      </c>
      <c r="M118" s="267"/>
      <c r="N118" s="26"/>
    </row>
    <row r="119" spans="1:14" x14ac:dyDescent="0.3">
      <c r="A119" s="277" t="s">
        <v>885</v>
      </c>
      <c r="B119" s="235" t="s">
        <v>583</v>
      </c>
      <c r="C119" s="52"/>
      <c r="D119" s="52"/>
      <c r="E119" s="52"/>
      <c r="F119" s="52"/>
      <c r="G119" s="52"/>
      <c r="H119" s="19"/>
      <c r="I119" s="266" t="s">
        <v>759</v>
      </c>
      <c r="J119" s="52"/>
      <c r="K119" s="52"/>
      <c r="L119" s="262" t="s">
        <v>643</v>
      </c>
      <c r="M119" s="267"/>
      <c r="N119" s="26"/>
    </row>
    <row r="120" spans="1:14" x14ac:dyDescent="0.3">
      <c r="A120" s="277" t="s">
        <v>886</v>
      </c>
      <c r="B120" s="235" t="s">
        <v>583</v>
      </c>
      <c r="C120" s="52"/>
      <c r="D120" s="52"/>
      <c r="E120" s="52"/>
      <c r="F120" s="52"/>
      <c r="G120" s="52"/>
      <c r="H120" s="19"/>
      <c r="I120" s="266" t="s">
        <v>760</v>
      </c>
      <c r="J120" s="52"/>
      <c r="K120" s="52"/>
      <c r="L120" s="262" t="s">
        <v>643</v>
      </c>
      <c r="M120" s="267"/>
      <c r="N120" s="26"/>
    </row>
    <row r="121" spans="1:14" x14ac:dyDescent="0.3">
      <c r="A121" s="277" t="s">
        <v>887</v>
      </c>
      <c r="B121" s="235" t="s">
        <v>583</v>
      </c>
      <c r="C121" s="52"/>
      <c r="D121" s="52"/>
      <c r="E121" s="52"/>
      <c r="F121" s="52"/>
      <c r="G121" s="52"/>
      <c r="H121" s="19"/>
      <c r="I121" s="266" t="s">
        <v>761</v>
      </c>
      <c r="J121" s="52"/>
      <c r="K121" s="52"/>
      <c r="L121" s="262" t="s">
        <v>643</v>
      </c>
      <c r="M121" s="267"/>
      <c r="N121" s="26"/>
    </row>
    <row r="122" spans="1:14" x14ac:dyDescent="0.3">
      <c r="A122" s="277" t="s">
        <v>888</v>
      </c>
      <c r="B122" s="235" t="s">
        <v>583</v>
      </c>
      <c r="C122" s="52"/>
      <c r="D122" s="52"/>
      <c r="E122" s="52"/>
      <c r="F122" s="52"/>
      <c r="G122" s="52"/>
      <c r="H122" s="19"/>
      <c r="I122" s="266" t="s">
        <v>762</v>
      </c>
      <c r="J122" s="52"/>
      <c r="K122" s="52"/>
      <c r="L122" s="262" t="s">
        <v>643</v>
      </c>
      <c r="M122" s="267"/>
      <c r="N122" s="26"/>
    </row>
    <row r="123" spans="1:14" x14ac:dyDescent="0.3">
      <c r="A123" s="277" t="s">
        <v>889</v>
      </c>
      <c r="B123" s="235" t="s">
        <v>583</v>
      </c>
      <c r="C123" s="52"/>
      <c r="D123" s="52"/>
      <c r="E123" s="52"/>
      <c r="F123" s="52"/>
      <c r="G123" s="52"/>
      <c r="H123" s="19"/>
      <c r="I123" s="266" t="s">
        <v>763</v>
      </c>
      <c r="J123" s="52"/>
      <c r="K123" s="52"/>
      <c r="L123" s="262" t="s">
        <v>643</v>
      </c>
      <c r="M123" s="267"/>
      <c r="N123" s="26"/>
    </row>
    <row r="124" spans="1:14" x14ac:dyDescent="0.3">
      <c r="A124" s="277" t="s">
        <v>890</v>
      </c>
      <c r="B124" s="235" t="s">
        <v>583</v>
      </c>
      <c r="C124" s="52"/>
      <c r="D124" s="52"/>
      <c r="E124" s="52"/>
      <c r="F124" s="52"/>
      <c r="G124" s="52"/>
      <c r="H124" s="19"/>
      <c r="I124" s="266" t="s">
        <v>764</v>
      </c>
      <c r="J124" s="52"/>
      <c r="K124" s="52"/>
      <c r="L124" s="262" t="s">
        <v>643</v>
      </c>
      <c r="M124" s="267"/>
      <c r="N124" s="26"/>
    </row>
    <row r="125" spans="1:14" x14ac:dyDescent="0.3">
      <c r="A125" s="277" t="s">
        <v>891</v>
      </c>
      <c r="B125" s="235" t="s">
        <v>583</v>
      </c>
      <c r="C125" s="52"/>
      <c r="D125" s="52"/>
      <c r="E125" s="52"/>
      <c r="F125" s="52"/>
      <c r="G125" s="52"/>
      <c r="H125" s="19"/>
      <c r="I125" s="266" t="s">
        <v>765</v>
      </c>
      <c r="J125" s="52"/>
      <c r="K125" s="52"/>
      <c r="L125" s="262" t="s">
        <v>643</v>
      </c>
      <c r="M125" s="267"/>
      <c r="N125" s="26"/>
    </row>
    <row r="126" spans="1:14" x14ac:dyDescent="0.3">
      <c r="A126" s="277" t="s">
        <v>892</v>
      </c>
      <c r="B126" s="235" t="s">
        <v>583</v>
      </c>
      <c r="C126" s="52"/>
      <c r="D126" s="52"/>
      <c r="E126" s="52"/>
      <c r="F126" s="52"/>
      <c r="G126" s="52"/>
      <c r="H126" s="19"/>
      <c r="I126" s="266" t="s">
        <v>766</v>
      </c>
      <c r="J126" s="52"/>
      <c r="K126" s="52"/>
      <c r="L126" s="262" t="s">
        <v>643</v>
      </c>
      <c r="M126" s="267"/>
      <c r="N126" s="26"/>
    </row>
    <row r="127" spans="1:14" ht="40.200000000000003" x14ac:dyDescent="0.3">
      <c r="A127" s="279" t="s">
        <v>767</v>
      </c>
      <c r="B127" s="314"/>
      <c r="C127" s="307"/>
      <c r="D127" s="307"/>
      <c r="E127" s="307"/>
      <c r="F127" s="307"/>
      <c r="G127" s="307"/>
      <c r="H127" s="307"/>
      <c r="I127" s="307"/>
      <c r="J127" s="307"/>
      <c r="K127" s="307"/>
      <c r="L127" s="307"/>
      <c r="M127" s="321"/>
      <c r="N127" s="26"/>
    </row>
    <row r="128" spans="1:14" x14ac:dyDescent="0.3">
      <c r="A128" s="277" t="s">
        <v>893</v>
      </c>
      <c r="B128" s="235" t="s">
        <v>583</v>
      </c>
      <c r="C128" s="52"/>
      <c r="D128" s="52"/>
      <c r="E128" s="52"/>
      <c r="F128" s="52"/>
      <c r="G128" s="52"/>
      <c r="H128" s="19"/>
      <c r="I128" s="266" t="s">
        <v>768</v>
      </c>
      <c r="J128" s="52"/>
      <c r="K128" s="52"/>
      <c r="L128" s="262" t="s">
        <v>643</v>
      </c>
      <c r="M128" s="267"/>
      <c r="N128" s="26"/>
    </row>
    <row r="129" spans="1:14" x14ac:dyDescent="0.3">
      <c r="A129" s="277" t="s">
        <v>894</v>
      </c>
      <c r="B129" s="235" t="s">
        <v>583</v>
      </c>
      <c r="C129" s="52"/>
      <c r="D129" s="52"/>
      <c r="E129" s="52"/>
      <c r="F129" s="52"/>
      <c r="G129" s="52"/>
      <c r="H129" s="19"/>
      <c r="I129" s="266" t="s">
        <v>769</v>
      </c>
      <c r="J129" s="52"/>
      <c r="K129" s="52"/>
      <c r="L129" s="262" t="s">
        <v>643</v>
      </c>
      <c r="M129" s="267"/>
      <c r="N129" s="26"/>
    </row>
    <row r="130" spans="1:14" x14ac:dyDescent="0.3">
      <c r="A130" s="277" t="s">
        <v>895</v>
      </c>
      <c r="B130" s="235" t="s">
        <v>583</v>
      </c>
      <c r="C130" s="52"/>
      <c r="D130" s="52"/>
      <c r="E130" s="52"/>
      <c r="F130" s="52"/>
      <c r="G130" s="52"/>
      <c r="H130" s="19"/>
      <c r="I130" s="266" t="s">
        <v>770</v>
      </c>
      <c r="J130" s="52"/>
      <c r="K130" s="52"/>
      <c r="L130" s="262" t="s">
        <v>643</v>
      </c>
      <c r="M130" s="267"/>
      <c r="N130" s="26"/>
    </row>
    <row r="131" spans="1:14" x14ac:dyDescent="0.3">
      <c r="A131" s="277" t="s">
        <v>896</v>
      </c>
      <c r="B131" s="235" t="s">
        <v>583</v>
      </c>
      <c r="C131" s="52"/>
      <c r="D131" s="52"/>
      <c r="E131" s="52"/>
      <c r="F131" s="52"/>
      <c r="G131" s="52"/>
      <c r="H131" s="19"/>
      <c r="I131" s="266" t="s">
        <v>771</v>
      </c>
      <c r="J131" s="52"/>
      <c r="K131" s="52"/>
      <c r="L131" s="262" t="s">
        <v>643</v>
      </c>
      <c r="M131" s="267"/>
      <c r="N131" s="26"/>
    </row>
    <row r="132" spans="1:14" x14ac:dyDescent="0.3">
      <c r="A132" s="277" t="s">
        <v>897</v>
      </c>
      <c r="B132" s="235" t="s">
        <v>583</v>
      </c>
      <c r="C132" s="52"/>
      <c r="D132" s="52"/>
      <c r="E132" s="52"/>
      <c r="F132" s="52"/>
      <c r="G132" s="52"/>
      <c r="H132" s="19"/>
      <c r="I132" s="266" t="s">
        <v>772</v>
      </c>
      <c r="J132" s="52"/>
      <c r="K132" s="52"/>
      <c r="L132" s="262" t="s">
        <v>643</v>
      </c>
      <c r="M132" s="267"/>
      <c r="N132" s="26"/>
    </row>
    <row r="133" spans="1:14" x14ac:dyDescent="0.3">
      <c r="A133" s="277" t="s">
        <v>898</v>
      </c>
      <c r="B133" s="235" t="s">
        <v>583</v>
      </c>
      <c r="C133" s="52"/>
      <c r="D133" s="52"/>
      <c r="E133" s="52"/>
      <c r="F133" s="52"/>
      <c r="G133" s="52"/>
      <c r="H133" s="19"/>
      <c r="I133" s="266" t="s">
        <v>773</v>
      </c>
      <c r="J133" s="52"/>
      <c r="K133" s="52"/>
      <c r="L133" s="262" t="s">
        <v>643</v>
      </c>
      <c r="M133" s="267"/>
      <c r="N133" s="26"/>
    </row>
    <row r="134" spans="1:14" x14ac:dyDescent="0.3">
      <c r="A134" s="277" t="s">
        <v>899</v>
      </c>
      <c r="B134" s="235" t="s">
        <v>583</v>
      </c>
      <c r="C134" s="52"/>
      <c r="D134" s="52"/>
      <c r="E134" s="52"/>
      <c r="F134" s="52"/>
      <c r="G134" s="52"/>
      <c r="H134" s="19"/>
      <c r="I134" s="266" t="s">
        <v>774</v>
      </c>
      <c r="J134" s="52"/>
      <c r="K134" s="52"/>
      <c r="L134" s="262" t="s">
        <v>643</v>
      </c>
      <c r="M134" s="267"/>
      <c r="N134" s="26"/>
    </row>
    <row r="135" spans="1:14" x14ac:dyDescent="0.3">
      <c r="A135" s="277" t="s">
        <v>900</v>
      </c>
      <c r="B135" s="235" t="s">
        <v>583</v>
      </c>
      <c r="C135" s="52"/>
      <c r="D135" s="52"/>
      <c r="E135" s="52"/>
      <c r="F135" s="52"/>
      <c r="G135" s="52"/>
      <c r="H135" s="19"/>
      <c r="I135" s="266" t="s">
        <v>775</v>
      </c>
      <c r="J135" s="52"/>
      <c r="K135" s="52"/>
      <c r="L135" s="262" t="s">
        <v>643</v>
      </c>
      <c r="M135" s="267"/>
      <c r="N135" s="26"/>
    </row>
    <row r="136" spans="1:14" x14ac:dyDescent="0.3">
      <c r="A136" s="277" t="s">
        <v>901</v>
      </c>
      <c r="B136" s="235" t="s">
        <v>583</v>
      </c>
      <c r="C136" s="52"/>
      <c r="D136" s="52"/>
      <c r="E136" s="52"/>
      <c r="F136" s="52"/>
      <c r="G136" s="52"/>
      <c r="H136" s="19"/>
      <c r="I136" s="266" t="s">
        <v>776</v>
      </c>
      <c r="J136" s="52"/>
      <c r="K136" s="52"/>
      <c r="L136" s="262" t="s">
        <v>643</v>
      </c>
      <c r="M136" s="267"/>
      <c r="N136" s="26"/>
    </row>
    <row r="137" spans="1:14" x14ac:dyDescent="0.3">
      <c r="A137" s="277" t="s">
        <v>902</v>
      </c>
      <c r="B137" s="235" t="s">
        <v>583</v>
      </c>
      <c r="C137" s="52"/>
      <c r="D137" s="52"/>
      <c r="E137" s="52"/>
      <c r="F137" s="52"/>
      <c r="G137" s="52"/>
      <c r="H137" s="19"/>
      <c r="I137" s="266" t="s">
        <v>777</v>
      </c>
      <c r="J137" s="52"/>
      <c r="K137" s="52"/>
      <c r="L137" s="262" t="s">
        <v>643</v>
      </c>
      <c r="M137" s="267"/>
      <c r="N137" s="26"/>
    </row>
    <row r="138" spans="1:14" x14ac:dyDescent="0.3">
      <c r="A138" s="277" t="s">
        <v>903</v>
      </c>
      <c r="B138" s="235" t="s">
        <v>583</v>
      </c>
      <c r="C138" s="52"/>
      <c r="D138" s="52"/>
      <c r="E138" s="52"/>
      <c r="F138" s="52"/>
      <c r="G138" s="52"/>
      <c r="H138" s="19"/>
      <c r="I138" s="266" t="s">
        <v>778</v>
      </c>
      <c r="J138" s="52"/>
      <c r="K138" s="52"/>
      <c r="L138" s="262" t="s">
        <v>643</v>
      </c>
      <c r="M138" s="267"/>
      <c r="N138" s="26"/>
    </row>
    <row r="139" spans="1:14" x14ac:dyDescent="0.3">
      <c r="A139" s="277" t="s">
        <v>904</v>
      </c>
      <c r="B139" s="235" t="s">
        <v>583</v>
      </c>
      <c r="C139" s="52"/>
      <c r="D139" s="52"/>
      <c r="E139" s="52"/>
      <c r="F139" s="52"/>
      <c r="G139" s="52"/>
      <c r="H139" s="19"/>
      <c r="I139" s="266" t="s">
        <v>779</v>
      </c>
      <c r="J139" s="52"/>
      <c r="K139" s="52"/>
      <c r="L139" s="262" t="s">
        <v>643</v>
      </c>
      <c r="M139" s="267"/>
      <c r="N139" s="26"/>
    </row>
    <row r="140" spans="1:14" x14ac:dyDescent="0.3">
      <c r="A140" s="277" t="s">
        <v>905</v>
      </c>
      <c r="B140" s="235" t="s">
        <v>583</v>
      </c>
      <c r="C140" s="52"/>
      <c r="D140" s="52"/>
      <c r="E140" s="52"/>
      <c r="F140" s="52"/>
      <c r="G140" s="52"/>
      <c r="H140" s="19"/>
      <c r="I140" s="266" t="s">
        <v>780</v>
      </c>
      <c r="J140" s="52"/>
      <c r="K140" s="52"/>
      <c r="L140" s="262" t="s">
        <v>643</v>
      </c>
      <c r="M140" s="267"/>
      <c r="N140" s="26"/>
    </row>
    <row r="141" spans="1:14" x14ac:dyDescent="0.3">
      <c r="A141" s="277" t="s">
        <v>906</v>
      </c>
      <c r="B141" s="235" t="s">
        <v>583</v>
      </c>
      <c r="C141" s="52"/>
      <c r="D141" s="52"/>
      <c r="E141" s="52"/>
      <c r="F141" s="52"/>
      <c r="G141" s="52"/>
      <c r="H141" s="19"/>
      <c r="I141" s="266" t="s">
        <v>781</v>
      </c>
      <c r="J141" s="52"/>
      <c r="K141" s="52"/>
      <c r="L141" s="262" t="s">
        <v>643</v>
      </c>
      <c r="M141" s="267"/>
      <c r="N141" s="26"/>
    </row>
    <row r="142" spans="1:14" x14ac:dyDescent="0.3">
      <c r="A142" s="277" t="s">
        <v>907</v>
      </c>
      <c r="B142" s="235" t="s">
        <v>583</v>
      </c>
      <c r="C142" s="52"/>
      <c r="D142" s="52"/>
      <c r="E142" s="52"/>
      <c r="F142" s="52"/>
      <c r="G142" s="52"/>
      <c r="H142" s="19"/>
      <c r="I142" s="266" t="s">
        <v>782</v>
      </c>
      <c r="J142" s="52"/>
      <c r="K142" s="52"/>
      <c r="L142" s="262" t="s">
        <v>643</v>
      </c>
      <c r="M142" s="267"/>
      <c r="N142" s="26"/>
    </row>
    <row r="143" spans="1:14" x14ac:dyDescent="0.3">
      <c r="A143" s="277" t="s">
        <v>908</v>
      </c>
      <c r="B143" s="235" t="s">
        <v>583</v>
      </c>
      <c r="C143" s="52"/>
      <c r="D143" s="52"/>
      <c r="E143" s="52"/>
      <c r="F143" s="52"/>
      <c r="G143" s="52"/>
      <c r="H143" s="19"/>
      <c r="I143" s="266" t="s">
        <v>783</v>
      </c>
      <c r="J143" s="52"/>
      <c r="K143" s="52"/>
      <c r="L143" s="262" t="s">
        <v>643</v>
      </c>
      <c r="M143" s="267"/>
      <c r="N143" s="26"/>
    </row>
    <row r="144" spans="1:14" x14ac:dyDescent="0.3">
      <c r="A144" s="277" t="s">
        <v>909</v>
      </c>
      <c r="B144" s="235" t="s">
        <v>583</v>
      </c>
      <c r="C144" s="52"/>
      <c r="D144" s="52"/>
      <c r="E144" s="52"/>
      <c r="F144" s="52"/>
      <c r="G144" s="52"/>
      <c r="H144" s="19"/>
      <c r="I144" s="266" t="s">
        <v>784</v>
      </c>
      <c r="J144" s="52"/>
      <c r="K144" s="52"/>
      <c r="L144" s="262" t="s">
        <v>643</v>
      </c>
      <c r="M144" s="267"/>
      <c r="N144" s="26"/>
    </row>
    <row r="145" spans="1:14" x14ac:dyDescent="0.3">
      <c r="A145" s="277" t="s">
        <v>910</v>
      </c>
      <c r="B145" s="235" t="s">
        <v>583</v>
      </c>
      <c r="C145" s="52"/>
      <c r="D145" s="52"/>
      <c r="E145" s="52"/>
      <c r="F145" s="52"/>
      <c r="G145" s="52"/>
      <c r="H145" s="19"/>
      <c r="I145" s="266" t="s">
        <v>785</v>
      </c>
      <c r="J145" s="52"/>
      <c r="K145" s="52"/>
      <c r="L145" s="262" t="s">
        <v>643</v>
      </c>
      <c r="M145" s="267"/>
      <c r="N145" s="26"/>
    </row>
    <row r="146" spans="1:14" x14ac:dyDescent="0.3">
      <c r="A146" s="277" t="s">
        <v>911</v>
      </c>
      <c r="B146" s="235" t="s">
        <v>583</v>
      </c>
      <c r="C146" s="52"/>
      <c r="D146" s="52"/>
      <c r="E146" s="52"/>
      <c r="F146" s="52"/>
      <c r="G146" s="52"/>
      <c r="H146" s="19"/>
      <c r="I146" s="266" t="s">
        <v>786</v>
      </c>
      <c r="J146" s="52"/>
      <c r="K146" s="52"/>
      <c r="L146" s="262" t="s">
        <v>643</v>
      </c>
      <c r="M146" s="267"/>
      <c r="N146" s="26"/>
    </row>
    <row r="147" spans="1:14" x14ac:dyDescent="0.3">
      <c r="A147" s="277" t="s">
        <v>912</v>
      </c>
      <c r="B147" s="235" t="s">
        <v>583</v>
      </c>
      <c r="C147" s="52"/>
      <c r="D147" s="52"/>
      <c r="E147" s="52"/>
      <c r="F147" s="52"/>
      <c r="G147" s="52"/>
      <c r="H147" s="19"/>
      <c r="I147" s="266" t="s">
        <v>787</v>
      </c>
      <c r="J147" s="52"/>
      <c r="K147" s="52"/>
      <c r="L147" s="262" t="s">
        <v>643</v>
      </c>
      <c r="M147" s="267"/>
      <c r="N147" s="26"/>
    </row>
    <row r="148" spans="1:14" x14ac:dyDescent="0.3">
      <c r="A148" s="277" t="s">
        <v>913</v>
      </c>
      <c r="B148" s="235" t="s">
        <v>583</v>
      </c>
      <c r="C148" s="52"/>
      <c r="D148" s="52"/>
      <c r="E148" s="52"/>
      <c r="F148" s="52"/>
      <c r="G148" s="52"/>
      <c r="H148" s="19"/>
      <c r="I148" s="266" t="s">
        <v>788</v>
      </c>
      <c r="J148" s="52"/>
      <c r="K148" s="52"/>
      <c r="L148" s="262" t="s">
        <v>643</v>
      </c>
      <c r="M148" s="267"/>
      <c r="N148" s="26"/>
    </row>
    <row r="149" spans="1:14" x14ac:dyDescent="0.3">
      <c r="A149" s="277" t="s">
        <v>914</v>
      </c>
      <c r="B149" s="235" t="s">
        <v>583</v>
      </c>
      <c r="C149" s="52"/>
      <c r="D149" s="52"/>
      <c r="E149" s="52"/>
      <c r="F149" s="52"/>
      <c r="G149" s="52"/>
      <c r="H149" s="19"/>
      <c r="I149" s="266" t="s">
        <v>789</v>
      </c>
      <c r="J149" s="52"/>
      <c r="K149" s="52"/>
      <c r="L149" s="262" t="s">
        <v>643</v>
      </c>
      <c r="M149" s="267"/>
      <c r="N149" s="26"/>
    </row>
    <row r="150" spans="1:14" x14ac:dyDescent="0.3">
      <c r="A150" s="277" t="s">
        <v>915</v>
      </c>
      <c r="B150" s="235" t="s">
        <v>583</v>
      </c>
      <c r="C150" s="52"/>
      <c r="D150" s="52"/>
      <c r="E150" s="52"/>
      <c r="F150" s="52"/>
      <c r="G150" s="52"/>
      <c r="H150" s="19"/>
      <c r="I150" s="266" t="s">
        <v>790</v>
      </c>
      <c r="J150" s="52"/>
      <c r="K150" s="52"/>
      <c r="L150" s="262" t="s">
        <v>643</v>
      </c>
      <c r="M150" s="267"/>
      <c r="N150" s="26"/>
    </row>
  </sheetData>
  <mergeCells count="4">
    <mergeCell ref="K1:K2"/>
    <mergeCell ref="L1:L2"/>
    <mergeCell ref="M1:M2"/>
    <mergeCell ref="N1:N2"/>
  </mergeCells>
  <phoneticPr fontId="9" type="noConversion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25613" r:id="rId4" name="SaveFileCost">
          <controlPr defaultSize="0" autoLine="0" r:id="rId5">
            <anchor>
              <from>
                <xdr:col>13</xdr:col>
                <xdr:colOff>137160</xdr:colOff>
                <xdr:row>0</xdr:row>
                <xdr:rowOff>365760</xdr:rowOff>
              </from>
              <to>
                <xdr:col>13</xdr:col>
                <xdr:colOff>1470660</xdr:colOff>
                <xdr:row>0</xdr:row>
                <xdr:rowOff>922020</xdr:rowOff>
              </to>
            </anchor>
          </controlPr>
        </control>
      </mc:Choice>
      <mc:Fallback>
        <control shapeId="25613" r:id="rId4" name="SaveFileCo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3827-4916-4ABD-B03A-B50A6B82DE0E}">
  <sheetPr codeName="Sheet9"/>
  <dimension ref="A1:L44"/>
  <sheetViews>
    <sheetView workbookViewId="0">
      <selection activeCell="N14" sqref="N14"/>
    </sheetView>
  </sheetViews>
  <sheetFormatPr defaultColWidth="9.109375" defaultRowHeight="14.4" x14ac:dyDescent="0.3"/>
  <cols>
    <col min="7" max="7" width="23.109375" customWidth="1"/>
    <col min="8" max="8" width="14.109375" hidden="1" customWidth="1"/>
    <col min="9" max="9" width="11" hidden="1" customWidth="1"/>
    <col min="10" max="10" width="18.88671875" hidden="1" customWidth="1"/>
    <col min="11" max="11" width="28.6640625" hidden="1" customWidth="1"/>
    <col min="14" max="14" width="17.33203125" customWidth="1"/>
  </cols>
  <sheetData>
    <row r="1" spans="1:12" x14ac:dyDescent="0.3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20</v>
      </c>
      <c r="J1" t="s">
        <v>580</v>
      </c>
      <c r="K1" t="s">
        <v>642</v>
      </c>
      <c r="L1" t="s">
        <v>694</v>
      </c>
    </row>
    <row r="2" spans="1:12" x14ac:dyDescent="0.3">
      <c r="A2" t="s">
        <v>582</v>
      </c>
    </row>
    <row r="3" spans="1:12" x14ac:dyDescent="0.3">
      <c r="A3" t="s">
        <v>583</v>
      </c>
      <c r="B3">
        <v>0</v>
      </c>
      <c r="C3">
        <v>4</v>
      </c>
      <c r="D3" t="s">
        <v>584</v>
      </c>
      <c r="E3" t="s">
        <v>622</v>
      </c>
      <c r="F3" t="s">
        <v>586</v>
      </c>
      <c r="G3" t="s">
        <v>31</v>
      </c>
      <c r="H3" t="s">
        <v>32</v>
      </c>
      <c r="I3" t="s">
        <v>587</v>
      </c>
      <c r="J3">
        <v>4</v>
      </c>
      <c r="K3" t="s">
        <v>643</v>
      </c>
      <c r="L3">
        <v>176415.80000000002</v>
      </c>
    </row>
    <row r="4" spans="1:12" x14ac:dyDescent="0.3">
      <c r="A4" t="s">
        <v>583</v>
      </c>
      <c r="B4">
        <v>0</v>
      </c>
      <c r="C4">
        <v>4</v>
      </c>
      <c r="D4" t="s">
        <v>588</v>
      </c>
      <c r="E4" t="s">
        <v>622</v>
      </c>
      <c r="F4" t="s">
        <v>589</v>
      </c>
      <c r="G4" t="s">
        <v>37</v>
      </c>
      <c r="H4" t="s">
        <v>38</v>
      </c>
      <c r="J4">
        <v>28</v>
      </c>
      <c r="K4" t="s">
        <v>643</v>
      </c>
      <c r="L4">
        <v>717640</v>
      </c>
    </row>
    <row r="5" spans="1:12" x14ac:dyDescent="0.3">
      <c r="A5" t="s">
        <v>583</v>
      </c>
      <c r="B5">
        <v>0</v>
      </c>
      <c r="C5">
        <v>4</v>
      </c>
      <c r="D5" t="s">
        <v>584</v>
      </c>
      <c r="E5" t="s">
        <v>622</v>
      </c>
      <c r="F5" t="s">
        <v>590</v>
      </c>
      <c r="G5" t="s">
        <v>47</v>
      </c>
      <c r="H5" t="s">
        <v>48</v>
      </c>
      <c r="J5">
        <v>0</v>
      </c>
      <c r="K5" t="s">
        <v>643</v>
      </c>
      <c r="L5">
        <v>0</v>
      </c>
    </row>
    <row r="6" spans="1:12" x14ac:dyDescent="0.3">
      <c r="A6" t="s">
        <v>583</v>
      </c>
      <c r="B6">
        <v>0</v>
      </c>
      <c r="C6">
        <v>4</v>
      </c>
      <c r="D6" t="s">
        <v>591</v>
      </c>
      <c r="E6" t="s">
        <v>622</v>
      </c>
      <c r="F6" t="s">
        <v>592</v>
      </c>
      <c r="G6" t="s">
        <v>58</v>
      </c>
      <c r="H6" t="s">
        <v>59</v>
      </c>
      <c r="J6">
        <v>28</v>
      </c>
      <c r="K6" t="s">
        <v>643</v>
      </c>
      <c r="L6">
        <v>938065.79999999993</v>
      </c>
    </row>
    <row r="7" spans="1:12" x14ac:dyDescent="0.3">
      <c r="A7" t="s">
        <v>583</v>
      </c>
      <c r="B7">
        <v>0</v>
      </c>
      <c r="C7">
        <v>4</v>
      </c>
      <c r="D7" t="s">
        <v>591</v>
      </c>
      <c r="E7" t="s">
        <v>622</v>
      </c>
      <c r="F7" t="s">
        <v>593</v>
      </c>
      <c r="G7" t="s">
        <v>69</v>
      </c>
      <c r="H7" t="s">
        <v>70</v>
      </c>
      <c r="J7">
        <v>153</v>
      </c>
      <c r="K7" t="s">
        <v>643</v>
      </c>
      <c r="L7">
        <v>452390.40000000002</v>
      </c>
    </row>
    <row r="8" spans="1:12" x14ac:dyDescent="0.3">
      <c r="A8" t="s">
        <v>583</v>
      </c>
      <c r="B8">
        <v>0</v>
      </c>
      <c r="C8">
        <v>4</v>
      </c>
      <c r="D8" t="s">
        <v>594</v>
      </c>
      <c r="E8" t="s">
        <v>623</v>
      </c>
      <c r="F8" t="s">
        <v>616</v>
      </c>
      <c r="G8" t="s">
        <v>109</v>
      </c>
      <c r="H8" t="s">
        <v>106</v>
      </c>
      <c r="J8">
        <v>0</v>
      </c>
      <c r="K8" t="s">
        <v>643</v>
      </c>
      <c r="L8">
        <v>0</v>
      </c>
    </row>
    <row r="9" spans="1:12" x14ac:dyDescent="0.3">
      <c r="A9" t="s">
        <v>583</v>
      </c>
      <c r="B9">
        <v>0</v>
      </c>
      <c r="C9">
        <v>4</v>
      </c>
      <c r="D9" t="s">
        <v>594</v>
      </c>
      <c r="E9" t="s">
        <v>623</v>
      </c>
      <c r="F9" t="s">
        <v>624</v>
      </c>
      <c r="G9" t="s">
        <v>113</v>
      </c>
      <c r="H9" t="s">
        <v>114</v>
      </c>
      <c r="J9">
        <v>0</v>
      </c>
      <c r="K9" t="s">
        <v>643</v>
      </c>
      <c r="L9">
        <v>0</v>
      </c>
    </row>
    <row r="10" spans="1:12" x14ac:dyDescent="0.3">
      <c r="A10" t="s">
        <v>583</v>
      </c>
      <c r="B10">
        <v>0</v>
      </c>
      <c r="C10">
        <v>4</v>
      </c>
      <c r="D10" t="s">
        <v>594</v>
      </c>
      <c r="E10" t="s">
        <v>623</v>
      </c>
      <c r="F10" t="s">
        <v>596</v>
      </c>
      <c r="G10" t="s">
        <v>119</v>
      </c>
      <c r="H10" t="s">
        <v>120</v>
      </c>
      <c r="J10">
        <v>26</v>
      </c>
      <c r="K10" t="s">
        <v>643</v>
      </c>
      <c r="L10">
        <v>285246</v>
      </c>
    </row>
    <row r="11" spans="1:12" x14ac:dyDescent="0.3">
      <c r="A11" t="s">
        <v>583</v>
      </c>
      <c r="B11">
        <v>0</v>
      </c>
      <c r="C11">
        <v>4</v>
      </c>
      <c r="D11" t="s">
        <v>594</v>
      </c>
      <c r="E11" t="s">
        <v>623</v>
      </c>
      <c r="F11" t="s">
        <v>597</v>
      </c>
      <c r="G11" t="s">
        <v>125</v>
      </c>
      <c r="H11" t="s">
        <v>126</v>
      </c>
      <c r="J11">
        <v>0</v>
      </c>
      <c r="K11" t="s">
        <v>643</v>
      </c>
      <c r="L11">
        <v>0</v>
      </c>
    </row>
    <row r="12" spans="1:12" x14ac:dyDescent="0.3">
      <c r="A12" t="s">
        <v>583</v>
      </c>
      <c r="B12">
        <v>0</v>
      </c>
      <c r="C12">
        <v>4</v>
      </c>
      <c r="D12" t="s">
        <v>594</v>
      </c>
      <c r="E12" t="s">
        <v>623</v>
      </c>
      <c r="F12" t="s">
        <v>625</v>
      </c>
      <c r="G12" t="s">
        <v>129</v>
      </c>
      <c r="H12" t="s">
        <v>92</v>
      </c>
      <c r="J12">
        <v>0</v>
      </c>
      <c r="K12" t="s">
        <v>643</v>
      </c>
      <c r="L12">
        <v>0</v>
      </c>
    </row>
    <row r="13" spans="1:12" x14ac:dyDescent="0.3">
      <c r="A13" t="s">
        <v>583</v>
      </c>
      <c r="B13">
        <v>0</v>
      </c>
      <c r="C13">
        <v>4</v>
      </c>
      <c r="D13" t="s">
        <v>594</v>
      </c>
      <c r="E13" t="s">
        <v>626</v>
      </c>
      <c r="F13" t="s">
        <v>596</v>
      </c>
      <c r="G13" t="s">
        <v>132</v>
      </c>
      <c r="H13" t="s">
        <v>133</v>
      </c>
      <c r="J13">
        <v>3</v>
      </c>
      <c r="K13" t="s">
        <v>643</v>
      </c>
      <c r="L13">
        <v>39249</v>
      </c>
    </row>
    <row r="14" spans="1:12" x14ac:dyDescent="0.3">
      <c r="A14" t="s">
        <v>583</v>
      </c>
      <c r="B14">
        <v>0</v>
      </c>
      <c r="C14">
        <v>4</v>
      </c>
      <c r="D14" t="s">
        <v>594</v>
      </c>
      <c r="E14" t="s">
        <v>626</v>
      </c>
      <c r="F14" t="s">
        <v>597</v>
      </c>
      <c r="G14" t="s">
        <v>136</v>
      </c>
      <c r="H14" t="s">
        <v>85</v>
      </c>
      <c r="J14">
        <v>0</v>
      </c>
      <c r="K14" t="s">
        <v>643</v>
      </c>
      <c r="L14">
        <v>0</v>
      </c>
    </row>
    <row r="15" spans="1:12" x14ac:dyDescent="0.3">
      <c r="A15" t="s">
        <v>583</v>
      </c>
      <c r="B15">
        <v>0</v>
      </c>
      <c r="C15">
        <v>4</v>
      </c>
      <c r="D15" t="s">
        <v>603</v>
      </c>
      <c r="E15" t="s">
        <v>622</v>
      </c>
      <c r="F15" t="s">
        <v>592</v>
      </c>
      <c r="G15" t="s">
        <v>141</v>
      </c>
      <c r="H15" t="s">
        <v>142</v>
      </c>
      <c r="J15">
        <v>6</v>
      </c>
      <c r="K15" t="s">
        <v>643</v>
      </c>
      <c r="L15">
        <v>120090.6</v>
      </c>
    </row>
    <row r="16" spans="1:12" x14ac:dyDescent="0.3">
      <c r="A16" t="s">
        <v>583</v>
      </c>
      <c r="B16">
        <v>0</v>
      </c>
      <c r="C16">
        <v>4</v>
      </c>
      <c r="D16" t="s">
        <v>603</v>
      </c>
      <c r="E16" t="s">
        <v>622</v>
      </c>
      <c r="F16" t="s">
        <v>604</v>
      </c>
      <c r="G16" t="s">
        <v>149</v>
      </c>
      <c r="H16" t="s">
        <v>150</v>
      </c>
      <c r="J16">
        <v>29</v>
      </c>
      <c r="K16" t="s">
        <v>643</v>
      </c>
      <c r="L16">
        <v>87574.200000000012</v>
      </c>
    </row>
    <row r="17" spans="1:12" x14ac:dyDescent="0.3">
      <c r="A17" t="s">
        <v>583</v>
      </c>
      <c r="B17">
        <v>0</v>
      </c>
      <c r="C17">
        <v>4</v>
      </c>
      <c r="D17" t="s">
        <v>591</v>
      </c>
      <c r="E17" t="s">
        <v>622</v>
      </c>
      <c r="F17" t="s">
        <v>627</v>
      </c>
      <c r="G17" t="s">
        <v>156</v>
      </c>
      <c r="H17" t="s">
        <v>157</v>
      </c>
      <c r="J17">
        <v>591</v>
      </c>
      <c r="K17" t="s">
        <v>643</v>
      </c>
      <c r="L17">
        <v>1123388.3999999999</v>
      </c>
    </row>
    <row r="18" spans="1:12" x14ac:dyDescent="0.3">
      <c r="A18" t="s">
        <v>583</v>
      </c>
      <c r="B18">
        <v>0</v>
      </c>
      <c r="C18">
        <v>4</v>
      </c>
      <c r="D18" t="s">
        <v>608</v>
      </c>
      <c r="E18" t="s">
        <v>622</v>
      </c>
      <c r="F18" t="s">
        <v>609</v>
      </c>
      <c r="G18" t="s">
        <v>186</v>
      </c>
      <c r="H18" t="s">
        <v>187</v>
      </c>
      <c r="J18">
        <v>1</v>
      </c>
      <c r="K18" t="s">
        <v>644</v>
      </c>
      <c r="L18">
        <v>52566.799999999996</v>
      </c>
    </row>
    <row r="19" spans="1:12" x14ac:dyDescent="0.3">
      <c r="A19" t="s">
        <v>583</v>
      </c>
      <c r="B19">
        <v>0</v>
      </c>
      <c r="C19">
        <v>4</v>
      </c>
      <c r="D19" t="s">
        <v>593</v>
      </c>
      <c r="E19" t="s">
        <v>622</v>
      </c>
      <c r="F19" t="s">
        <v>609</v>
      </c>
      <c r="G19" t="s">
        <v>221</v>
      </c>
      <c r="H19" t="s">
        <v>187</v>
      </c>
      <c r="J19">
        <v>1</v>
      </c>
      <c r="K19" t="s">
        <v>644</v>
      </c>
      <c r="L19">
        <v>38150.76</v>
      </c>
    </row>
    <row r="20" spans="1:12" x14ac:dyDescent="0.3">
      <c r="A20" t="s">
        <v>583</v>
      </c>
      <c r="B20">
        <v>0</v>
      </c>
      <c r="C20">
        <v>4</v>
      </c>
      <c r="D20" t="s">
        <v>593</v>
      </c>
      <c r="E20" t="s">
        <v>622</v>
      </c>
      <c r="F20" t="s">
        <v>610</v>
      </c>
      <c r="G20" t="s">
        <v>243</v>
      </c>
      <c r="H20" t="s">
        <v>244</v>
      </c>
      <c r="J20">
        <v>1</v>
      </c>
      <c r="K20" t="s">
        <v>644</v>
      </c>
      <c r="L20">
        <v>92876.494999999995</v>
      </c>
    </row>
    <row r="21" spans="1:12" x14ac:dyDescent="0.3">
      <c r="A21" t="s">
        <v>583</v>
      </c>
      <c r="B21">
        <v>0</v>
      </c>
      <c r="C21">
        <v>4</v>
      </c>
      <c r="D21" t="s">
        <v>593</v>
      </c>
      <c r="E21" t="s">
        <v>622</v>
      </c>
      <c r="F21" t="s">
        <v>611</v>
      </c>
      <c r="G21" t="s">
        <v>285</v>
      </c>
      <c r="H21" t="s">
        <v>286</v>
      </c>
      <c r="J21">
        <v>1</v>
      </c>
      <c r="K21" t="s">
        <v>644</v>
      </c>
      <c r="L21">
        <v>62683</v>
      </c>
    </row>
    <row r="22" spans="1:12" x14ac:dyDescent="0.3">
      <c r="A22" t="s">
        <v>583</v>
      </c>
      <c r="B22">
        <v>0</v>
      </c>
      <c r="C22">
        <v>4</v>
      </c>
      <c r="D22" t="s">
        <v>593</v>
      </c>
      <c r="E22" t="s">
        <v>605</v>
      </c>
      <c r="F22" t="s">
        <v>612</v>
      </c>
      <c r="G22" t="s">
        <v>316</v>
      </c>
      <c r="H22" t="s">
        <v>317</v>
      </c>
      <c r="J22">
        <v>0</v>
      </c>
      <c r="K22" t="s">
        <v>643</v>
      </c>
      <c r="L22">
        <v>0</v>
      </c>
    </row>
    <row r="23" spans="1:12" x14ac:dyDescent="0.3">
      <c r="A23" t="s">
        <v>583</v>
      </c>
      <c r="B23">
        <v>0</v>
      </c>
      <c r="C23">
        <v>4</v>
      </c>
      <c r="D23" t="s">
        <v>593</v>
      </c>
      <c r="E23" t="s">
        <v>622</v>
      </c>
      <c r="F23" t="s">
        <v>613</v>
      </c>
      <c r="G23" t="s">
        <v>322</v>
      </c>
      <c r="H23" t="s">
        <v>286</v>
      </c>
      <c r="J23">
        <v>0</v>
      </c>
      <c r="K23" t="s">
        <v>643</v>
      </c>
      <c r="L23">
        <v>0</v>
      </c>
    </row>
    <row r="24" spans="1:12" x14ac:dyDescent="0.3">
      <c r="A24" t="s">
        <v>583</v>
      </c>
      <c r="B24">
        <v>0</v>
      </c>
      <c r="C24">
        <v>4</v>
      </c>
      <c r="D24" t="s">
        <v>593</v>
      </c>
      <c r="E24" t="s">
        <v>622</v>
      </c>
      <c r="F24" t="s">
        <v>613</v>
      </c>
      <c r="G24" t="s">
        <v>322</v>
      </c>
      <c r="H24" t="s">
        <v>328</v>
      </c>
      <c r="J24">
        <v>271</v>
      </c>
      <c r="K24" t="s">
        <v>643</v>
      </c>
      <c r="L24">
        <v>78129.3</v>
      </c>
    </row>
    <row r="25" spans="1:12" x14ac:dyDescent="0.3">
      <c r="A25" t="s">
        <v>583</v>
      </c>
      <c r="B25">
        <v>0</v>
      </c>
      <c r="C25">
        <v>4</v>
      </c>
      <c r="D25" t="s">
        <v>593</v>
      </c>
      <c r="E25" t="s">
        <v>622</v>
      </c>
      <c r="F25" t="s">
        <v>614</v>
      </c>
      <c r="G25" t="s">
        <v>355</v>
      </c>
      <c r="H25" t="s">
        <v>648</v>
      </c>
      <c r="J25">
        <v>0</v>
      </c>
      <c r="K25" t="s">
        <v>643</v>
      </c>
      <c r="L25">
        <v>0</v>
      </c>
    </row>
    <row r="26" spans="1:12" x14ac:dyDescent="0.3">
      <c r="A26" t="s">
        <v>583</v>
      </c>
      <c r="B26">
        <v>0</v>
      </c>
      <c r="C26">
        <v>4</v>
      </c>
      <c r="D26" t="s">
        <v>593</v>
      </c>
      <c r="E26" t="s">
        <v>622</v>
      </c>
      <c r="F26" t="s">
        <v>614</v>
      </c>
      <c r="G26" t="s">
        <v>355</v>
      </c>
      <c r="H26" t="s">
        <v>649</v>
      </c>
      <c r="J26">
        <v>1779</v>
      </c>
      <c r="K26" t="s">
        <v>643</v>
      </c>
      <c r="L26">
        <v>982986.45</v>
      </c>
    </row>
    <row r="27" spans="1:12" x14ac:dyDescent="0.3">
      <c r="A27" t="s">
        <v>583</v>
      </c>
      <c r="B27">
        <v>0</v>
      </c>
      <c r="C27">
        <v>4</v>
      </c>
      <c r="D27" t="s">
        <v>593</v>
      </c>
      <c r="E27" t="s">
        <v>622</v>
      </c>
      <c r="F27" t="s">
        <v>614</v>
      </c>
      <c r="G27" t="s">
        <v>355</v>
      </c>
      <c r="H27" t="s">
        <v>650</v>
      </c>
      <c r="J27">
        <v>1779</v>
      </c>
      <c r="K27" t="s">
        <v>643</v>
      </c>
      <c r="L27">
        <v>1037441.6399999999</v>
      </c>
    </row>
    <row r="28" spans="1:12" x14ac:dyDescent="0.3">
      <c r="A28" t="s">
        <v>583</v>
      </c>
      <c r="B28">
        <v>0</v>
      </c>
      <c r="C28">
        <v>4</v>
      </c>
      <c r="D28" t="s">
        <v>593</v>
      </c>
      <c r="E28" t="s">
        <v>622</v>
      </c>
      <c r="F28" t="s">
        <v>614</v>
      </c>
      <c r="G28" t="s">
        <v>355</v>
      </c>
      <c r="H28" t="s">
        <v>651</v>
      </c>
      <c r="J28">
        <v>638</v>
      </c>
      <c r="K28" t="s">
        <v>643</v>
      </c>
      <c r="L28">
        <v>414049.24</v>
      </c>
    </row>
    <row r="29" spans="1:12" x14ac:dyDescent="0.3">
      <c r="A29" t="s">
        <v>583</v>
      </c>
      <c r="B29">
        <v>0</v>
      </c>
      <c r="C29">
        <v>4</v>
      </c>
      <c r="D29" t="s">
        <v>593</v>
      </c>
      <c r="E29" t="s">
        <v>622</v>
      </c>
      <c r="F29" t="s">
        <v>614</v>
      </c>
      <c r="G29" t="s">
        <v>355</v>
      </c>
      <c r="H29" t="s">
        <v>652</v>
      </c>
      <c r="J29">
        <v>638</v>
      </c>
      <c r="K29" t="s">
        <v>643</v>
      </c>
      <c r="L29">
        <v>448590.56</v>
      </c>
    </row>
    <row r="30" spans="1:12" x14ac:dyDescent="0.3">
      <c r="A30" t="s">
        <v>583</v>
      </c>
      <c r="B30">
        <v>0</v>
      </c>
      <c r="C30">
        <v>4</v>
      </c>
      <c r="D30" t="s">
        <v>593</v>
      </c>
      <c r="E30" t="s">
        <v>622</v>
      </c>
      <c r="F30" t="s">
        <v>614</v>
      </c>
      <c r="G30" t="s">
        <v>355</v>
      </c>
      <c r="H30" t="s">
        <v>653</v>
      </c>
      <c r="J30">
        <v>81</v>
      </c>
      <c r="K30" t="s">
        <v>643</v>
      </c>
      <c r="L30">
        <v>64007.82</v>
      </c>
    </row>
    <row r="31" spans="1:12" x14ac:dyDescent="0.3">
      <c r="A31" t="s">
        <v>583</v>
      </c>
      <c r="B31">
        <v>0</v>
      </c>
      <c r="C31">
        <v>4</v>
      </c>
      <c r="D31" t="s">
        <v>593</v>
      </c>
      <c r="E31" t="s">
        <v>622</v>
      </c>
      <c r="F31" t="s">
        <v>614</v>
      </c>
      <c r="G31" t="s">
        <v>355</v>
      </c>
      <c r="H31" t="s">
        <v>655</v>
      </c>
      <c r="J31">
        <v>0</v>
      </c>
      <c r="K31" t="s">
        <v>643</v>
      </c>
      <c r="L31">
        <v>0</v>
      </c>
    </row>
    <row r="32" spans="1:12" x14ac:dyDescent="0.3">
      <c r="A32" t="s">
        <v>583</v>
      </c>
      <c r="B32">
        <v>0</v>
      </c>
      <c r="C32">
        <v>4</v>
      </c>
      <c r="D32" t="s">
        <v>593</v>
      </c>
      <c r="E32" t="s">
        <v>622</v>
      </c>
      <c r="F32" t="s">
        <v>614</v>
      </c>
      <c r="G32" t="s">
        <v>355</v>
      </c>
      <c r="H32" t="s">
        <v>656</v>
      </c>
      <c r="J32">
        <v>0</v>
      </c>
      <c r="K32" t="s">
        <v>643</v>
      </c>
      <c r="L32">
        <v>0</v>
      </c>
    </row>
    <row r="33" spans="1:12" x14ac:dyDescent="0.3">
      <c r="A33" t="s">
        <v>583</v>
      </c>
      <c r="B33">
        <v>0</v>
      </c>
      <c r="C33">
        <v>4</v>
      </c>
      <c r="D33" t="s">
        <v>593</v>
      </c>
      <c r="E33" t="s">
        <v>622</v>
      </c>
      <c r="F33" t="s">
        <v>614</v>
      </c>
      <c r="G33" t="s">
        <v>355</v>
      </c>
      <c r="H33" t="s">
        <v>384</v>
      </c>
      <c r="J33">
        <v>5</v>
      </c>
      <c r="K33" t="s">
        <v>643</v>
      </c>
      <c r="L33">
        <v>744.25</v>
      </c>
    </row>
    <row r="34" spans="1:12" x14ac:dyDescent="0.3">
      <c r="A34" t="s">
        <v>583</v>
      </c>
      <c r="B34">
        <v>0</v>
      </c>
      <c r="C34">
        <v>4</v>
      </c>
      <c r="D34" t="s">
        <v>593</v>
      </c>
      <c r="E34" t="s">
        <v>622</v>
      </c>
      <c r="F34" t="s">
        <v>614</v>
      </c>
      <c r="G34" t="s">
        <v>355</v>
      </c>
      <c r="H34" t="s">
        <v>387</v>
      </c>
      <c r="J34">
        <v>3</v>
      </c>
      <c r="K34" t="s">
        <v>643</v>
      </c>
      <c r="L34">
        <v>577.89</v>
      </c>
    </row>
    <row r="35" spans="1:12" x14ac:dyDescent="0.3">
      <c r="A35" t="s">
        <v>583</v>
      </c>
      <c r="B35">
        <v>0</v>
      </c>
      <c r="C35">
        <v>4</v>
      </c>
      <c r="D35" t="s">
        <v>593</v>
      </c>
      <c r="E35" t="s">
        <v>622</v>
      </c>
      <c r="F35" t="s">
        <v>614</v>
      </c>
      <c r="G35" t="s">
        <v>355</v>
      </c>
      <c r="H35" t="s">
        <v>390</v>
      </c>
      <c r="J35">
        <v>2</v>
      </c>
      <c r="K35" t="s">
        <v>643</v>
      </c>
      <c r="L35">
        <v>321.58</v>
      </c>
    </row>
    <row r="36" spans="1:12" x14ac:dyDescent="0.3">
      <c r="A36" t="s">
        <v>583</v>
      </c>
      <c r="B36">
        <v>0</v>
      </c>
      <c r="C36">
        <v>4</v>
      </c>
      <c r="D36" t="s">
        <v>593</v>
      </c>
      <c r="E36" t="s">
        <v>622</v>
      </c>
      <c r="F36" t="s">
        <v>614</v>
      </c>
      <c r="G36" t="s">
        <v>355</v>
      </c>
      <c r="H36" t="s">
        <v>393</v>
      </c>
      <c r="J36">
        <v>0</v>
      </c>
      <c r="K36" t="s">
        <v>643</v>
      </c>
      <c r="L36">
        <v>0</v>
      </c>
    </row>
    <row r="37" spans="1:12" x14ac:dyDescent="0.3">
      <c r="A37" t="s">
        <v>583</v>
      </c>
      <c r="B37">
        <v>0</v>
      </c>
      <c r="C37">
        <v>4</v>
      </c>
      <c r="D37" t="s">
        <v>593</v>
      </c>
      <c r="E37" t="s">
        <v>622</v>
      </c>
      <c r="F37" t="s">
        <v>614</v>
      </c>
      <c r="G37" t="s">
        <v>355</v>
      </c>
      <c r="H37" t="s">
        <v>654</v>
      </c>
      <c r="J37">
        <v>5527</v>
      </c>
      <c r="K37" t="s">
        <v>643</v>
      </c>
      <c r="L37">
        <v>165854.21600000001</v>
      </c>
    </row>
    <row r="38" spans="1:12" x14ac:dyDescent="0.3">
      <c r="A38" t="s">
        <v>583</v>
      </c>
      <c r="B38">
        <v>0</v>
      </c>
      <c r="C38">
        <v>4</v>
      </c>
      <c r="D38" t="s">
        <v>593</v>
      </c>
      <c r="E38" t="s">
        <v>622</v>
      </c>
      <c r="F38" t="s">
        <v>628</v>
      </c>
      <c r="G38" t="s">
        <v>401</v>
      </c>
      <c r="H38" t="s">
        <v>645</v>
      </c>
      <c r="J38">
        <v>195</v>
      </c>
      <c r="K38" t="s">
        <v>643</v>
      </c>
      <c r="L38">
        <v>71935.5</v>
      </c>
    </row>
    <row r="39" spans="1:12" x14ac:dyDescent="0.3">
      <c r="A39" t="s">
        <v>583</v>
      </c>
      <c r="B39">
        <v>0</v>
      </c>
      <c r="C39">
        <v>4</v>
      </c>
      <c r="D39" t="s">
        <v>593</v>
      </c>
      <c r="E39" t="s">
        <v>622</v>
      </c>
      <c r="F39" t="s">
        <v>628</v>
      </c>
      <c r="G39" t="s">
        <v>401</v>
      </c>
      <c r="H39" t="s">
        <v>646</v>
      </c>
      <c r="J39">
        <v>195</v>
      </c>
      <c r="K39" t="s">
        <v>643</v>
      </c>
      <c r="L39">
        <v>103974.00000000001</v>
      </c>
    </row>
    <row r="40" spans="1:12" x14ac:dyDescent="0.3">
      <c r="A40" t="s">
        <v>583</v>
      </c>
      <c r="B40">
        <v>0</v>
      </c>
      <c r="C40">
        <v>4</v>
      </c>
      <c r="D40" t="s">
        <v>593</v>
      </c>
      <c r="E40" t="s">
        <v>622</v>
      </c>
      <c r="F40" t="s">
        <v>628</v>
      </c>
      <c r="G40" t="s">
        <v>401</v>
      </c>
      <c r="H40" t="s">
        <v>647</v>
      </c>
      <c r="J40">
        <v>195</v>
      </c>
      <c r="K40" t="s">
        <v>643</v>
      </c>
      <c r="L40">
        <v>20190.300000000003</v>
      </c>
    </row>
    <row r="41" spans="1:12" x14ac:dyDescent="0.3">
      <c r="A41" t="s">
        <v>583</v>
      </c>
      <c r="B41">
        <v>0</v>
      </c>
      <c r="C41">
        <v>4</v>
      </c>
      <c r="D41" t="s">
        <v>593</v>
      </c>
      <c r="E41" t="s">
        <v>629</v>
      </c>
      <c r="F41" t="s">
        <v>628</v>
      </c>
      <c r="G41" t="s">
        <v>416</v>
      </c>
      <c r="H41" t="s">
        <v>402</v>
      </c>
      <c r="J41">
        <v>0</v>
      </c>
      <c r="K41" t="s">
        <v>643</v>
      </c>
      <c r="L41">
        <v>0</v>
      </c>
    </row>
    <row r="42" spans="1:12" x14ac:dyDescent="0.3">
      <c r="A42" t="s">
        <v>583</v>
      </c>
      <c r="B42">
        <v>0</v>
      </c>
      <c r="C42">
        <v>4</v>
      </c>
      <c r="D42" t="s">
        <v>593</v>
      </c>
      <c r="E42" t="s">
        <v>622</v>
      </c>
      <c r="F42" t="s">
        <v>619</v>
      </c>
      <c r="G42" t="s">
        <v>493</v>
      </c>
      <c r="H42" t="s">
        <v>494</v>
      </c>
      <c r="J42">
        <v>1</v>
      </c>
      <c r="K42" t="s">
        <v>644</v>
      </c>
      <c r="L42">
        <v>581643.57394000003</v>
      </c>
    </row>
    <row r="43" spans="1:12" x14ac:dyDescent="0.3">
      <c r="A43" t="s">
        <v>583</v>
      </c>
      <c r="B43">
        <v>0</v>
      </c>
      <c r="C43">
        <v>4</v>
      </c>
      <c r="D43" t="s">
        <v>593</v>
      </c>
      <c r="E43" t="s">
        <v>622</v>
      </c>
      <c r="F43" t="s">
        <v>620</v>
      </c>
      <c r="G43" t="s">
        <v>525</v>
      </c>
      <c r="H43" t="s">
        <v>526</v>
      </c>
      <c r="J43">
        <v>1</v>
      </c>
      <c r="K43" t="s">
        <v>644</v>
      </c>
      <c r="L43">
        <v>141125.185</v>
      </c>
    </row>
    <row r="44" spans="1:12" x14ac:dyDescent="0.3">
      <c r="A44" t="s">
        <v>583</v>
      </c>
      <c r="B44">
        <v>0</v>
      </c>
      <c r="C44">
        <v>4</v>
      </c>
      <c r="D44" t="s">
        <v>621</v>
      </c>
      <c r="E44" t="s">
        <v>622</v>
      </c>
      <c r="F44" t="s">
        <v>596</v>
      </c>
      <c r="G44" t="s">
        <v>552</v>
      </c>
      <c r="H44" t="s">
        <v>553</v>
      </c>
      <c r="J44">
        <v>1</v>
      </c>
      <c r="K44" t="s">
        <v>644</v>
      </c>
      <c r="L44">
        <v>0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47260-2154-4895-BAFF-7F8C81C9D8F0}">
  <sheetPr codeName="Sheet1"/>
  <dimension ref="A1:H49"/>
  <sheetViews>
    <sheetView workbookViewId="0">
      <selection activeCell="B31" sqref="B31"/>
    </sheetView>
  </sheetViews>
  <sheetFormatPr defaultColWidth="9.109375" defaultRowHeight="14.4" x14ac:dyDescent="0.3"/>
  <cols>
    <col min="1" max="1" width="30.33203125" style="212" customWidth="1"/>
    <col min="2" max="2" width="25.109375" style="213" customWidth="1"/>
    <col min="4" max="5" width="3.33203125" style="217" customWidth="1"/>
    <col min="7" max="7" width="30.33203125" customWidth="1"/>
    <col min="8" max="8" width="25.109375" customWidth="1"/>
  </cols>
  <sheetData>
    <row r="1" spans="1:8" ht="48.6" customHeight="1" x14ac:dyDescent="0.3"/>
    <row r="2" spans="1:8" ht="21" x14ac:dyDescent="0.3">
      <c r="A2" s="353" t="s">
        <v>554</v>
      </c>
      <c r="B2" s="354"/>
      <c r="G2" s="353" t="s">
        <v>5</v>
      </c>
      <c r="H2" s="354"/>
    </row>
    <row r="3" spans="1:8" x14ac:dyDescent="0.3">
      <c r="A3" s="214" t="s">
        <v>630</v>
      </c>
      <c r="B3" s="215" t="s">
        <v>581</v>
      </c>
      <c r="G3" s="214" t="s">
        <v>630</v>
      </c>
      <c r="H3" s="214" t="s">
        <v>581</v>
      </c>
    </row>
    <row r="4" spans="1:8" x14ac:dyDescent="0.3">
      <c r="A4" s="214" t="s">
        <v>555</v>
      </c>
      <c r="B4" s="215"/>
      <c r="G4" s="214" t="s">
        <v>31</v>
      </c>
      <c r="H4" s="215">
        <v>132311.85</v>
      </c>
    </row>
    <row r="5" spans="1:8" x14ac:dyDescent="0.3">
      <c r="A5" s="214" t="s">
        <v>556</v>
      </c>
      <c r="B5" s="215"/>
      <c r="G5" s="214" t="s">
        <v>37</v>
      </c>
      <c r="H5" s="215">
        <v>563860</v>
      </c>
    </row>
    <row r="6" spans="1:8" x14ac:dyDescent="0.3">
      <c r="A6" s="214" t="s">
        <v>557</v>
      </c>
      <c r="B6" s="215"/>
      <c r="G6" s="214" t="s">
        <v>47</v>
      </c>
      <c r="H6" s="215">
        <v>0</v>
      </c>
    </row>
    <row r="7" spans="1:8" x14ac:dyDescent="0.3">
      <c r="A7" s="214" t="s">
        <v>558</v>
      </c>
      <c r="B7" s="215"/>
      <c r="G7" s="214" t="s">
        <v>58</v>
      </c>
      <c r="H7" s="215">
        <v>737051.7</v>
      </c>
    </row>
    <row r="8" spans="1:8" x14ac:dyDescent="0.3">
      <c r="A8" s="214" t="s">
        <v>559</v>
      </c>
      <c r="B8" s="215"/>
      <c r="G8" s="214" t="s">
        <v>69</v>
      </c>
      <c r="H8" s="215">
        <v>354816</v>
      </c>
    </row>
    <row r="9" spans="1:8" x14ac:dyDescent="0.3">
      <c r="A9" s="214" t="s">
        <v>78</v>
      </c>
      <c r="B9" s="215"/>
      <c r="G9" s="214" t="s">
        <v>78</v>
      </c>
      <c r="H9" s="215">
        <v>0</v>
      </c>
    </row>
    <row r="10" spans="1:8" x14ac:dyDescent="0.3">
      <c r="A10" s="214" t="s">
        <v>84</v>
      </c>
      <c r="B10" s="215"/>
      <c r="G10" s="214" t="s">
        <v>84</v>
      </c>
      <c r="H10" s="215">
        <v>0</v>
      </c>
    </row>
    <row r="11" spans="1:8" x14ac:dyDescent="0.3">
      <c r="A11" s="214" t="s">
        <v>91</v>
      </c>
      <c r="B11" s="215"/>
      <c r="G11" s="214" t="s">
        <v>91</v>
      </c>
      <c r="H11" s="215">
        <v>0</v>
      </c>
    </row>
    <row r="12" spans="1:8" x14ac:dyDescent="0.3">
      <c r="A12" s="214" t="s">
        <v>96</v>
      </c>
      <c r="B12" s="215"/>
      <c r="G12" s="214" t="s">
        <v>96</v>
      </c>
      <c r="H12" s="215">
        <v>4000</v>
      </c>
    </row>
    <row r="13" spans="1:8" x14ac:dyDescent="0.3">
      <c r="A13" s="214" t="s">
        <v>100</v>
      </c>
      <c r="B13" s="215"/>
      <c r="G13" s="214" t="s">
        <v>100</v>
      </c>
      <c r="H13" s="215">
        <v>0</v>
      </c>
    </row>
    <row r="14" spans="1:8" x14ac:dyDescent="0.3">
      <c r="A14" s="214" t="s">
        <v>105</v>
      </c>
      <c r="B14" s="215"/>
      <c r="G14" s="214" t="s">
        <v>105</v>
      </c>
      <c r="H14" s="215">
        <v>21110</v>
      </c>
    </row>
    <row r="15" spans="1:8" x14ac:dyDescent="0.3">
      <c r="A15" s="214" t="s">
        <v>109</v>
      </c>
      <c r="B15" s="215"/>
      <c r="G15" s="214" t="s">
        <v>109</v>
      </c>
      <c r="H15" s="215">
        <v>0</v>
      </c>
    </row>
    <row r="16" spans="1:8" x14ac:dyDescent="0.3">
      <c r="A16" s="214" t="s">
        <v>113</v>
      </c>
      <c r="B16" s="215"/>
      <c r="G16" s="214" t="s">
        <v>113</v>
      </c>
      <c r="H16" s="215">
        <v>0</v>
      </c>
    </row>
    <row r="17" spans="1:8" x14ac:dyDescent="0.3">
      <c r="A17" s="214" t="s">
        <v>119</v>
      </c>
      <c r="B17" s="215"/>
      <c r="G17" s="214" t="s">
        <v>119</v>
      </c>
      <c r="H17" s="215">
        <v>0</v>
      </c>
    </row>
    <row r="18" spans="1:8" x14ac:dyDescent="0.3">
      <c r="A18" s="214" t="s">
        <v>125</v>
      </c>
      <c r="B18" s="215"/>
      <c r="G18" s="214" t="s">
        <v>125</v>
      </c>
      <c r="H18" s="215">
        <v>0</v>
      </c>
    </row>
    <row r="19" spans="1:8" x14ac:dyDescent="0.3">
      <c r="A19" s="214" t="s">
        <v>129</v>
      </c>
      <c r="B19" s="215"/>
      <c r="G19" s="214" t="s">
        <v>129</v>
      </c>
      <c r="H19" s="215">
        <v>0</v>
      </c>
    </row>
    <row r="20" spans="1:8" x14ac:dyDescent="0.3">
      <c r="A20" s="214" t="s">
        <v>132</v>
      </c>
      <c r="B20" s="215"/>
      <c r="G20" s="214" t="s">
        <v>132</v>
      </c>
      <c r="H20" s="215">
        <v>0</v>
      </c>
    </row>
    <row r="21" spans="1:8" x14ac:dyDescent="0.3">
      <c r="A21" s="214" t="s">
        <v>136</v>
      </c>
      <c r="B21" s="215"/>
      <c r="G21" s="214" t="s">
        <v>136</v>
      </c>
      <c r="H21" s="215">
        <v>0</v>
      </c>
    </row>
    <row r="22" spans="1:8" x14ac:dyDescent="0.3">
      <c r="A22" s="214" t="s">
        <v>560</v>
      </c>
      <c r="B22" s="215"/>
      <c r="G22" s="214" t="s">
        <v>141</v>
      </c>
      <c r="H22" s="215">
        <v>15073.800000000001</v>
      </c>
    </row>
    <row r="23" spans="1:8" x14ac:dyDescent="0.3">
      <c r="A23" s="214" t="s">
        <v>561</v>
      </c>
      <c r="B23" s="215"/>
      <c r="G23" s="214" t="s">
        <v>149</v>
      </c>
      <c r="H23" s="215">
        <v>9059.4000000000015</v>
      </c>
    </row>
    <row r="24" spans="1:8" x14ac:dyDescent="0.3">
      <c r="A24" s="214" t="s">
        <v>156</v>
      </c>
      <c r="B24" s="215"/>
      <c r="G24" s="214" t="s">
        <v>156</v>
      </c>
      <c r="H24" s="215">
        <v>940.8</v>
      </c>
    </row>
    <row r="25" spans="1:8" x14ac:dyDescent="0.3">
      <c r="A25" s="214" t="s">
        <v>168</v>
      </c>
      <c r="B25" s="215"/>
      <c r="G25" s="214" t="s">
        <v>168</v>
      </c>
      <c r="H25" s="215">
        <v>0</v>
      </c>
    </row>
    <row r="26" spans="1:8" x14ac:dyDescent="0.3">
      <c r="A26" s="214" t="s">
        <v>172</v>
      </c>
      <c r="B26" s="215"/>
      <c r="G26" s="214" t="s">
        <v>172</v>
      </c>
      <c r="H26" s="215">
        <v>0</v>
      </c>
    </row>
    <row r="27" spans="1:8" x14ac:dyDescent="0.3">
      <c r="A27" s="214" t="s">
        <v>562</v>
      </c>
      <c r="B27" s="215"/>
      <c r="G27" s="214" t="s">
        <v>186</v>
      </c>
      <c r="H27" s="215">
        <v>3823.04</v>
      </c>
    </row>
    <row r="28" spans="1:8" x14ac:dyDescent="0.3">
      <c r="A28" s="214" t="s">
        <v>218</v>
      </c>
      <c r="B28" s="215"/>
      <c r="G28" s="214" t="s">
        <v>218</v>
      </c>
      <c r="H28" s="215">
        <v>0</v>
      </c>
    </row>
    <row r="29" spans="1:8" x14ac:dyDescent="0.3">
      <c r="A29" s="214" t="s">
        <v>563</v>
      </c>
      <c r="B29" s="215"/>
      <c r="G29" s="214" t="s">
        <v>221</v>
      </c>
      <c r="H29" s="215">
        <v>13921.439999999999</v>
      </c>
    </row>
    <row r="30" spans="1:8" x14ac:dyDescent="0.3">
      <c r="A30" s="214" t="s">
        <v>564</v>
      </c>
      <c r="B30" s="215"/>
      <c r="G30" s="214" t="s">
        <v>243</v>
      </c>
      <c r="H30" s="215">
        <v>14052.960000000001</v>
      </c>
    </row>
    <row r="31" spans="1:8" x14ac:dyDescent="0.3">
      <c r="A31" s="214" t="s">
        <v>565</v>
      </c>
      <c r="B31" s="215"/>
      <c r="G31" s="214" t="s">
        <v>285</v>
      </c>
      <c r="H31" s="215">
        <v>30205.119999999995</v>
      </c>
    </row>
    <row r="32" spans="1:8" x14ac:dyDescent="0.3">
      <c r="A32" s="214" t="s">
        <v>316</v>
      </c>
      <c r="B32" s="215"/>
      <c r="G32" s="214" t="s">
        <v>316</v>
      </c>
      <c r="H32" s="215">
        <v>0</v>
      </c>
    </row>
    <row r="33" spans="1:8" x14ac:dyDescent="0.3">
      <c r="A33" s="214" t="s">
        <v>566</v>
      </c>
      <c r="B33" s="215"/>
      <c r="G33" s="214" t="s">
        <v>322</v>
      </c>
      <c r="H33" s="215">
        <v>49483.98000000001</v>
      </c>
    </row>
    <row r="34" spans="1:8" x14ac:dyDescent="0.3">
      <c r="A34" s="214" t="s">
        <v>567</v>
      </c>
      <c r="B34" s="215"/>
      <c r="G34" s="214" t="s">
        <v>355</v>
      </c>
      <c r="H34" s="215">
        <v>3906608.9480000003</v>
      </c>
    </row>
    <row r="35" spans="1:8" x14ac:dyDescent="0.3">
      <c r="A35" s="214" t="s">
        <v>568</v>
      </c>
      <c r="B35" s="215"/>
      <c r="G35" s="214" t="s">
        <v>401</v>
      </c>
      <c r="H35" s="215">
        <v>2011.28</v>
      </c>
    </row>
    <row r="36" spans="1:8" x14ac:dyDescent="0.3">
      <c r="A36" s="214" t="s">
        <v>416</v>
      </c>
      <c r="B36" s="215"/>
      <c r="G36" s="214" t="s">
        <v>416</v>
      </c>
      <c r="H36" s="215">
        <v>0</v>
      </c>
    </row>
    <row r="37" spans="1:8" x14ac:dyDescent="0.3">
      <c r="A37" s="214" t="s">
        <v>428</v>
      </c>
      <c r="B37" s="215"/>
      <c r="G37" s="214" t="s">
        <v>428</v>
      </c>
      <c r="H37" s="215">
        <v>0</v>
      </c>
    </row>
    <row r="38" spans="1:8" x14ac:dyDescent="0.3">
      <c r="A38" s="214" t="s">
        <v>435</v>
      </c>
      <c r="B38" s="215"/>
      <c r="G38" s="214" t="s">
        <v>435</v>
      </c>
      <c r="H38" s="215">
        <v>0</v>
      </c>
    </row>
    <row r="39" spans="1:8" x14ac:dyDescent="0.3">
      <c r="A39" s="214" t="s">
        <v>441</v>
      </c>
      <c r="B39" s="215"/>
      <c r="G39" s="214" t="s">
        <v>441</v>
      </c>
      <c r="H39" s="215">
        <v>0</v>
      </c>
    </row>
    <row r="40" spans="1:8" x14ac:dyDescent="0.3">
      <c r="A40" s="214" t="s">
        <v>447</v>
      </c>
      <c r="B40" s="215"/>
      <c r="G40" s="214" t="s">
        <v>447</v>
      </c>
      <c r="H40" s="215">
        <v>0</v>
      </c>
    </row>
    <row r="41" spans="1:8" x14ac:dyDescent="0.3">
      <c r="A41" s="214" t="s">
        <v>453</v>
      </c>
      <c r="B41" s="215"/>
      <c r="G41" s="214" t="s">
        <v>453</v>
      </c>
      <c r="H41" s="215">
        <v>0</v>
      </c>
    </row>
    <row r="42" spans="1:8" x14ac:dyDescent="0.3">
      <c r="A42" s="214" t="s">
        <v>458</v>
      </c>
      <c r="B42" s="215"/>
      <c r="G42" s="214" t="s">
        <v>458</v>
      </c>
      <c r="H42" s="215">
        <v>0</v>
      </c>
    </row>
    <row r="43" spans="1:8" x14ac:dyDescent="0.3">
      <c r="A43" s="214" t="s">
        <v>464</v>
      </c>
      <c r="B43" s="215"/>
      <c r="G43" s="214" t="s">
        <v>464</v>
      </c>
      <c r="H43" s="215">
        <v>0</v>
      </c>
    </row>
    <row r="44" spans="1:8" x14ac:dyDescent="0.3">
      <c r="A44" s="214" t="s">
        <v>468</v>
      </c>
      <c r="B44" s="215"/>
      <c r="G44" s="214" t="s">
        <v>468</v>
      </c>
      <c r="H44" s="215">
        <v>0</v>
      </c>
    </row>
    <row r="45" spans="1:8" x14ac:dyDescent="0.3">
      <c r="A45" s="214" t="s">
        <v>473</v>
      </c>
      <c r="B45" s="215"/>
      <c r="G45" s="214" t="s">
        <v>473</v>
      </c>
      <c r="H45" s="215">
        <v>0</v>
      </c>
    </row>
    <row r="46" spans="1:8" x14ac:dyDescent="0.3">
      <c r="A46" s="214" t="s">
        <v>479</v>
      </c>
      <c r="B46" s="215"/>
      <c r="G46" s="214" t="s">
        <v>479</v>
      </c>
      <c r="H46" s="215">
        <v>0</v>
      </c>
    </row>
    <row r="47" spans="1:8" x14ac:dyDescent="0.3">
      <c r="A47" s="214" t="s">
        <v>569</v>
      </c>
      <c r="B47" s="215"/>
      <c r="G47" s="214" t="s">
        <v>493</v>
      </c>
      <c r="H47" s="215">
        <v>642502.81700000016</v>
      </c>
    </row>
    <row r="48" spans="1:8" x14ac:dyDescent="0.3">
      <c r="A48" s="214" t="s">
        <v>570</v>
      </c>
      <c r="B48" s="215"/>
      <c r="G48" s="214" t="s">
        <v>525</v>
      </c>
      <c r="H48" s="215">
        <v>120562.55900000001</v>
      </c>
    </row>
    <row r="49" spans="1:8" x14ac:dyDescent="0.3">
      <c r="A49" s="214" t="s">
        <v>571</v>
      </c>
      <c r="B49" s="215"/>
      <c r="G49" s="214" t="s">
        <v>552</v>
      </c>
      <c r="H49" s="215">
        <v>0</v>
      </c>
    </row>
  </sheetData>
  <mergeCells count="2">
    <mergeCell ref="A2:B2"/>
    <mergeCell ref="G2:H2"/>
  </mergeCells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1267" r:id="rId4" name="Calc_BT_CMD">
          <controlPr defaultSize="0" autoLine="0" r:id="rId5">
            <anchor moveWithCells="1">
              <from>
                <xdr:col>0</xdr:col>
                <xdr:colOff>236220</xdr:colOff>
                <xdr:row>0</xdr:row>
                <xdr:rowOff>68580</xdr:rowOff>
              </from>
              <to>
                <xdr:col>0</xdr:col>
                <xdr:colOff>1188720</xdr:colOff>
                <xdr:row>0</xdr:row>
                <xdr:rowOff>502920</xdr:rowOff>
              </to>
            </anchor>
          </controlPr>
        </control>
      </mc:Choice>
      <mc:Fallback>
        <control shapeId="11267" r:id="rId4" name="Calc_BT_CM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9A5D-E99B-44A6-B0E3-0C8419204A37}">
  <sheetPr codeName="Sheet4"/>
  <dimension ref="B3:D17"/>
  <sheetViews>
    <sheetView workbookViewId="0">
      <selection activeCell="B21" sqref="B21"/>
    </sheetView>
  </sheetViews>
  <sheetFormatPr defaultColWidth="11.44140625" defaultRowHeight="14.4" x14ac:dyDescent="0.3"/>
  <cols>
    <col min="1" max="1" width="11.44140625" style="4"/>
    <col min="2" max="2" width="26" style="4" customWidth="1"/>
    <col min="3" max="3" width="17.33203125" style="4" customWidth="1"/>
    <col min="4" max="4" width="11.33203125" style="8" customWidth="1"/>
    <col min="5" max="8" width="11.33203125" style="4" customWidth="1"/>
    <col min="9" max="16384" width="11.44140625" style="4"/>
  </cols>
  <sheetData>
    <row r="3" spans="2:4" ht="37.799999999999997" x14ac:dyDescent="0.3">
      <c r="B3" s="1" t="s">
        <v>631</v>
      </c>
      <c r="C3" s="2" t="s">
        <v>632</v>
      </c>
      <c r="D3" s="3" t="s">
        <v>633</v>
      </c>
    </row>
    <row r="4" spans="2:4" x14ac:dyDescent="0.3">
      <c r="B4" s="5" t="s">
        <v>75</v>
      </c>
      <c r="C4" s="6"/>
      <c r="D4" s="7">
        <f>Material_PN!M25</f>
        <v>0</v>
      </c>
    </row>
    <row r="5" spans="2:4" x14ac:dyDescent="0.3">
      <c r="B5" s="5" t="s">
        <v>634</v>
      </c>
      <c r="C5" s="6"/>
      <c r="D5" s="7">
        <f>Material_PN!M26</f>
        <v>0</v>
      </c>
    </row>
    <row r="6" spans="2:4" x14ac:dyDescent="0.3">
      <c r="B6" s="5" t="s">
        <v>635</v>
      </c>
      <c r="C6" s="6"/>
      <c r="D6" s="7">
        <f>Material_PN!M27</f>
        <v>0</v>
      </c>
    </row>
    <row r="7" spans="2:4" x14ac:dyDescent="0.3">
      <c r="B7" s="5" t="s">
        <v>636</v>
      </c>
      <c r="C7" s="6"/>
      <c r="D7" s="7">
        <f>Material_PN!M28</f>
        <v>0</v>
      </c>
    </row>
    <row r="8" spans="2:4" x14ac:dyDescent="0.3">
      <c r="B8" s="5" t="s">
        <v>637</v>
      </c>
      <c r="C8" s="6"/>
      <c r="D8" s="7">
        <f>Material_PN!M29</f>
        <v>0</v>
      </c>
    </row>
    <row r="9" spans="2:4" x14ac:dyDescent="0.3">
      <c r="B9" s="5" t="s">
        <v>638</v>
      </c>
      <c r="C9" s="6"/>
      <c r="D9" s="7">
        <f>Material_PN!M30</f>
        <v>0</v>
      </c>
    </row>
    <row r="10" spans="2:4" x14ac:dyDescent="0.3">
      <c r="B10" s="5" t="s">
        <v>639</v>
      </c>
      <c r="C10" s="6"/>
      <c r="D10" s="7">
        <f>Material_PN!M31</f>
        <v>0</v>
      </c>
    </row>
    <row r="11" spans="2:4" x14ac:dyDescent="0.3">
      <c r="B11" s="5" t="s">
        <v>111</v>
      </c>
      <c r="C11" s="6"/>
      <c r="D11" s="7">
        <f>Material_PN!M32</f>
        <v>0</v>
      </c>
    </row>
    <row r="12" spans="2:4" x14ac:dyDescent="0.3">
      <c r="B12" s="5" t="s">
        <v>640</v>
      </c>
      <c r="C12" s="6"/>
      <c r="D12" s="7">
        <f>Material_PN!M33</f>
        <v>0</v>
      </c>
    </row>
    <row r="13" spans="2:4" x14ac:dyDescent="0.3">
      <c r="B13" s="5" t="s">
        <v>122</v>
      </c>
      <c r="C13" s="6"/>
      <c r="D13" s="7">
        <f>Material_PN!M34</f>
        <v>0</v>
      </c>
    </row>
    <row r="14" spans="2:4" x14ac:dyDescent="0.3">
      <c r="B14" s="5" t="s">
        <v>128</v>
      </c>
      <c r="C14" s="6"/>
      <c r="D14" s="7">
        <f>Material_PN!M35</f>
        <v>0</v>
      </c>
    </row>
    <row r="15" spans="2:4" x14ac:dyDescent="0.3">
      <c r="B15" s="5" t="s">
        <v>131</v>
      </c>
      <c r="C15" s="6"/>
      <c r="D15" s="7">
        <f>Material_PN!M36</f>
        <v>0</v>
      </c>
    </row>
    <row r="16" spans="2:4" x14ac:dyDescent="0.3">
      <c r="B16" s="5" t="s">
        <v>641</v>
      </c>
      <c r="C16" s="6"/>
      <c r="D16" s="7">
        <f>Material_PN!M37</f>
        <v>0</v>
      </c>
    </row>
    <row r="17" spans="4:4" x14ac:dyDescent="0.3">
      <c r="D17" s="122">
        <f>SUM(D4:D16)</f>
        <v>0</v>
      </c>
    </row>
  </sheetData>
  <conditionalFormatting sqref="D4:D16">
    <cfRule type="cellIs" dxfId="0" priority="8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7E684-DB85-4DC4-A8F9-3FF5EAC3ACC2}">
  <sheetPr codeName="Sheet3"/>
  <dimension ref="A1"/>
  <sheetViews>
    <sheetView workbookViewId="0">
      <selection activeCell="Q37" sqref="Q37"/>
    </sheetView>
  </sheetViews>
  <sheetFormatPr defaultColWidth="11.44140625" defaultRowHeight="14.4" x14ac:dyDescent="0.3"/>
  <sheetData/>
  <pageMargins left="0.7" right="0.7" top="0.78740157499999996" bottom="0.78740157499999996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5a64f43-bf61-44a4-8de8-44c738c3b35f">
      <Terms xmlns="http://schemas.microsoft.com/office/infopath/2007/PartnerControls"/>
    </lcf76f155ced4ddcb4097134ff3c332f>
    <Description xmlns="55a64f43-bf61-44a4-8de8-44c738c3b35f" xsi:nil="true"/>
    <TaxCatchAll xmlns="9aed1b6a-3ac8-47a3-a813-1e2ac029d74e" xsi:nil="true"/>
    <_dlc_DocId xmlns="9aed1b6a-3ac8-47a3-a813-1e2ac029d74e">BPM0-1925678159-240238</_dlc_DocId>
    <_dlc_DocIdUrl xmlns="9aed1b6a-3ac8-47a3-a813-1e2ac029d74e">
      <Url>https://sppal.sharepoint.com/sites/BPM/_layouts/15/DocIdRedir.aspx?ID=BPM0-1925678159-240238</Url>
      <Description>BPM0-1925678159-240238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76B0193DF28942B7CEB512C806ED9C" ma:contentTypeVersion="22" ma:contentTypeDescription="Create a new document." ma:contentTypeScope="" ma:versionID="3ab56780aaebeee9077a6698679b20f8">
  <xsd:schema xmlns:xsd="http://www.w3.org/2001/XMLSchema" xmlns:xs="http://www.w3.org/2001/XMLSchema" xmlns:p="http://schemas.microsoft.com/office/2006/metadata/properties" xmlns:ns2="9aed1b6a-3ac8-47a3-a813-1e2ac029d74e" xmlns:ns3="55a64f43-bf61-44a4-8de8-44c738c3b35f" targetNamespace="http://schemas.microsoft.com/office/2006/metadata/properties" ma:root="true" ma:fieldsID="c82cfabdcb2908aaf99039eccb781d6c" ns2:_="" ns3:_="">
    <xsd:import namespace="9aed1b6a-3ac8-47a3-a813-1e2ac029d74e"/>
    <xsd:import namespace="55a64f43-bf61-44a4-8de8-44c738c3b35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2:SharedWithUsers" minOccurs="0"/>
                <xsd:element ref="ns2:SharedWithDetail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  <xsd:element ref="ns3:Descriptio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d1b6a-3ac8-47a3-a813-1e2ac029d7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181dc8e8-17db-45e9-aa30-2fda2d909abd}" ma:internalName="TaxCatchAll" ma:showField="CatchAllData" ma:web="9aed1b6a-3ac8-47a3-a813-1e2ac029d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a64f43-bf61-44a4-8de8-44c738c3b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f7d1aea-a120-4cd1-bced-3b54899d6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6" nillable="true" ma:displayName="Location" ma:internalName="MediaServiceLocation" ma:readOnly="true">
      <xsd:simpleType>
        <xsd:restriction base="dms:Text"/>
      </xsd:simpleType>
    </xsd:element>
    <xsd:element name="Description" ma:index="27" nillable="true" ma:displayName="Description" ma:format="Dropdown" ma:internalName="Description">
      <xsd:simpleType>
        <xsd:restriction base="dms:Text">
          <xsd:maxLength value="255"/>
        </xsd:restriction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A73AE15-1E4D-4573-A767-8F0CE4CD10B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F63505-CEB6-4711-A095-22F553D70768}">
  <ds:schemaRefs>
    <ds:schemaRef ds:uri="55a64f43-bf61-44a4-8de8-44c738c3b35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ed1b6a-3ac8-47a3-a813-1e2ac029d74e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C1E7A9E-54A2-4182-8192-5D93F1D7707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F2A920A0-BC72-472C-989E-9F6C08E9CE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ed1b6a-3ac8-47a3-a813-1e2ac029d74e"/>
    <ds:schemaRef ds:uri="55a64f43-bf61-44a4-8de8-44c738c3b3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Material_PN</vt:lpstr>
      <vt:lpstr>Material_PN_Belt</vt:lpstr>
      <vt:lpstr>Material_PN_ICS</vt:lpstr>
      <vt:lpstr>BCT_Belt</vt:lpstr>
      <vt:lpstr>BCT_ICS</vt:lpstr>
      <vt:lpstr>Sheet1</vt:lpstr>
      <vt:lpstr>Material_Price</vt:lpstr>
      <vt:lpstr>Panels_Smart_Devices</vt:lpstr>
      <vt:lpstr>Controls Architecture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Rettberg, Frank (AIR TI EN EE ES)</dc:creator>
  <cp:keywords/>
  <dc:description/>
  <cp:lastModifiedBy>Evelyn Eugenia Karta</cp:lastModifiedBy>
  <cp:revision/>
  <dcterms:created xsi:type="dcterms:W3CDTF">2021-11-29T10:45:26Z</dcterms:created>
  <dcterms:modified xsi:type="dcterms:W3CDTF">2023-12-14T23:56:42Z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0b9b341-cd91-4345-a5e6-38fcd3ee2a8c_Enabled">
    <vt:lpwstr>true</vt:lpwstr>
  </property>
  <property fmtid="{D5CDD505-2E9C-101B-9397-08002B2CF9AE}" pid="3" name="MSIP_Label_f0b9b341-cd91-4345-a5e6-38fcd3ee2a8c_SetDate">
    <vt:lpwstr>2021-11-29T10:49:12Z</vt:lpwstr>
  </property>
  <property fmtid="{D5CDD505-2E9C-101B-9397-08002B2CF9AE}" pid="4" name="MSIP_Label_f0b9b341-cd91-4345-a5e6-38fcd3ee2a8c_Method">
    <vt:lpwstr>Privileged</vt:lpwstr>
  </property>
  <property fmtid="{D5CDD505-2E9C-101B-9397-08002B2CF9AE}" pid="5" name="MSIP_Label_f0b9b341-cd91-4345-a5e6-38fcd3ee2a8c_Name">
    <vt:lpwstr>Restricted_Default</vt:lpwstr>
  </property>
  <property fmtid="{D5CDD505-2E9C-101B-9397-08002B2CF9AE}" pid="6" name="MSIP_Label_f0b9b341-cd91-4345-a5e6-38fcd3ee2a8c_SiteId">
    <vt:lpwstr>2affee43-3738-4e92-b0e2-44615bd16e3f</vt:lpwstr>
  </property>
  <property fmtid="{D5CDD505-2E9C-101B-9397-08002B2CF9AE}" pid="7" name="MSIP_Label_f0b9b341-cd91-4345-a5e6-38fcd3ee2a8c_ActionId">
    <vt:lpwstr>b299caae-c01d-4186-b5b0-c8bea009db5d</vt:lpwstr>
  </property>
  <property fmtid="{D5CDD505-2E9C-101B-9397-08002B2CF9AE}" pid="8" name="MSIP_Label_f0b9b341-cd91-4345-a5e6-38fcd3ee2a8c_ContentBits">
    <vt:lpwstr>0</vt:lpwstr>
  </property>
  <property fmtid="{D5CDD505-2E9C-101B-9397-08002B2CF9AE}" pid="9" name="ContentTypeId">
    <vt:lpwstr>0x0101002B76B0193DF28942B7CEB512C806ED9C</vt:lpwstr>
  </property>
  <property fmtid="{D5CDD505-2E9C-101B-9397-08002B2CF9AE}" pid="10" name="_dlc_DocIdItemGuid">
    <vt:lpwstr>77ee5689-7adb-477e-8ba7-e00ba6c8d670</vt:lpwstr>
  </property>
  <property fmtid="{D5CDD505-2E9C-101B-9397-08002B2CF9AE}" pid="11" name="MediaServiceImageTags">
    <vt:lpwstr/>
  </property>
</Properties>
</file>