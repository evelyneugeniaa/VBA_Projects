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ser\HESSENBOX-DA\LLC Material Costing Tool\"/>
    </mc:Choice>
  </mc:AlternateContent>
  <xr:revisionPtr revIDLastSave="0" documentId="13_ncr:1_{3B5FDD68-0A65-49A4-A72A-F9791B90D05C}" xr6:coauthVersionLast="47" xr6:coauthVersionMax="47" xr10:uidLastSave="{00000000-0000-0000-0000-000000000000}"/>
  <bookViews>
    <workbookView xWindow="-110" yWindow="-110" windowWidth="19420" windowHeight="10420" tabRatio="792" xr2:uid="{E25FE092-1381-4E56-8F14-FE826107CCD3}"/>
  </bookViews>
  <sheets>
    <sheet name="BOM_Pivot" sheetId="17" r:id="rId1"/>
    <sheet name="Parameter" sheetId="4" r:id="rId2"/>
    <sheet name="Qty_Typicals" sheetId="6" r:id="rId3"/>
    <sheet name="Qty_all_Devices_Belt" sheetId="2" r:id="rId4"/>
    <sheet name="Qty_all_Devices_ICS" sheetId="14" r:id="rId5"/>
    <sheet name="Conveyor_Types" sheetId="1" r:id="rId6"/>
  </sheets>
  <externalReferences>
    <externalReference r:id="rId7"/>
    <externalReference r:id="rId8"/>
  </externalReferences>
  <definedNames>
    <definedName name="_xlnm._FilterDatabase" localSheetId="3" hidden="1">Qty_all_Devices_Belt!$B$2:$E$133</definedName>
    <definedName name="_xlnm._FilterDatabase" localSheetId="4" hidden="1">Qty_all_Devices_ICS!$B$2:$E$119</definedName>
    <definedName name="Anzahl" localSheetId="5">Conveyor_Types!#REF!</definedName>
    <definedName name="ATR">[1]Qty_Typicals!$AT$136</definedName>
    <definedName name="DataArea_04_LLCHW">'[2]IN_04_LLC-HW'!$B$9:$AQ$583</definedName>
    <definedName name="DataArea_05_LLCSW">'[2]IN_05_LLC-SW'!$B$9:$AQ$42</definedName>
    <definedName name="Dropdown_PricePosition">'[2]6_CUST'!$B$11:$B$88</definedName>
    <definedName name="fc0.75">[1]Qty_Typicals!$BC$136</definedName>
    <definedName name="fc1.50">[1]Qty_Typicals!$BD$136</definedName>
    <definedName name="fc3.0">[1]Qty_Typicals!$BE$136</definedName>
    <definedName name="fc4.0">[1]Qty_Typicals!$BG$136</definedName>
    <definedName name="fc5.5">[1]Qty_Typicals!$BF$136</definedName>
    <definedName name="ig">[1]Qty_Typicals!$S$136</definedName>
    <definedName name="ls">[1]Qty_Typicals!$K$136</definedName>
    <definedName name="Navigation">"TextBox 4,Graphic 5"</definedName>
    <definedName name="PG">[1]Qty_Typicals!$U$136</definedName>
    <definedName name="RFID">[1]Qty_Typicals!$AU$136</definedName>
    <definedName name="sin">[1]Qty_Typicals!$AV$136</definedName>
    <definedName name="SST">[1]Qty_Typicals!$BM$136</definedName>
    <definedName name="STe">[1]Qty_Typicals!$BI$136</definedName>
    <definedName name="STm">[1]Qty_Typicals!$BH$136</definedName>
    <definedName name="STm0.9">[1]Qty_Typicals!$BK$136</definedName>
    <definedName name="STmr0.9">[1]Qty_Typicals!$BL$136</definedName>
    <definedName name="STrev">[1]Qty_Typicals!$BJ$136</definedName>
    <definedName name="taste49_a">[1]Conveyor_Types!$B$43</definedName>
    <definedName name="taste51_a">[1]Conveyor_Types!$B$28</definedName>
    <definedName name="taste52_a">[1]Conveyor_Types!$B$50</definedName>
    <definedName name="taste53_a">[1]Conveyor_Types!$B$37</definedName>
    <definedName name="taste54_a">[1]Conveyor_Types!$B$74</definedName>
    <definedName name="taste55_a">[1]Conveyor_Types!$B$65</definedName>
    <definedName name="taste56_a">[1]Conveyor_Types!$B$70</definedName>
    <definedName name="taste57_a">[1]Conveyor_Types!$B$41</definedName>
    <definedName name="taste58_a">[1]Conveyor_Types!$B$75</definedName>
    <definedName name="taste59_a">[1]Conveyor_Types!$B$17</definedName>
    <definedName name="taste60_a">[1]Conveyor_Types!$B$25</definedName>
    <definedName name="taste61_a">[1]Conveyor_Types!$B$20</definedName>
    <definedName name="taste62_a">[1]Conveyor_Types!$B$64</definedName>
    <definedName name="taste63_a">[1]Conveyor_Types!$B$21</definedName>
    <definedName name="taste64_a">[1]Conveyor_Types!$B$67</definedName>
    <definedName name="taste65_a">[1]Conveyor_Types!$B$73</definedName>
    <definedName name="taste66_a">[1]Conveyor_Types!$B$47</definedName>
    <definedName name="taste67_a">[1]Conveyor_Types!$B$54</definedName>
    <definedName name="taste68_a">[1]Conveyor_Types!$B$19</definedName>
    <definedName name="taste79_a">[1]Conveyor_Types!$B$60</definedName>
    <definedName name="taste81_a">[1]Conveyor_Types!$B$61</definedName>
    <definedName name="v2r">[1]Qty_Typicals!$E$136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6" l="1"/>
  <c r="D23" i="6"/>
  <c r="A24" i="6"/>
  <c r="D24" i="6"/>
  <c r="A25" i="6"/>
  <c r="D25" i="6"/>
  <c r="A26" i="6"/>
  <c r="D26" i="6"/>
  <c r="D65" i="6" l="1"/>
  <c r="B25" i="14" s="1"/>
  <c r="E120" i="2" l="1"/>
  <c r="E109" i="2"/>
  <c r="E105" i="2"/>
  <c r="E111" i="14"/>
  <c r="E99" i="14"/>
  <c r="E95" i="14"/>
  <c r="E81" i="14"/>
  <c r="E68" i="14"/>
  <c r="E55" i="14"/>
  <c r="E52" i="14"/>
  <c r="E12" i="14"/>
  <c r="E8" i="14"/>
  <c r="F125" i="6" l="1"/>
  <c r="G125" i="6"/>
  <c r="H125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AK125" i="6"/>
  <c r="AL125" i="6"/>
  <c r="AM125" i="6"/>
  <c r="AN125" i="6"/>
  <c r="AO125" i="6"/>
  <c r="AP125" i="6"/>
  <c r="AQ125" i="6"/>
  <c r="AR125" i="6"/>
  <c r="AS125" i="6"/>
  <c r="AT125" i="6"/>
  <c r="AU125" i="6"/>
  <c r="AV125" i="6"/>
  <c r="AW125" i="6"/>
  <c r="AX125" i="6"/>
  <c r="AY125" i="6"/>
  <c r="AZ125" i="6"/>
  <c r="BA125" i="6"/>
  <c r="BB125" i="6"/>
  <c r="BC125" i="6"/>
  <c r="BD125" i="6"/>
  <c r="BE125" i="6"/>
  <c r="BF125" i="6"/>
  <c r="BG125" i="6"/>
  <c r="BH125" i="6"/>
  <c r="BI125" i="6"/>
  <c r="BJ125" i="6"/>
  <c r="BK125" i="6"/>
  <c r="BL125" i="6"/>
  <c r="BM125" i="6"/>
  <c r="BN125" i="6"/>
  <c r="BO125" i="6"/>
  <c r="BP125" i="6"/>
  <c r="BQ125" i="6"/>
  <c r="BR125" i="6"/>
  <c r="BS125" i="6"/>
  <c r="E125" i="6"/>
  <c r="C86" i="6"/>
  <c r="C94" i="6" l="1"/>
  <c r="C93" i="6"/>
  <c r="C92" i="6"/>
  <c r="C91" i="6"/>
  <c r="C80" i="6"/>
  <c r="C79" i="6"/>
  <c r="C78" i="6"/>
  <c r="C46" i="6"/>
  <c r="E126" i="6"/>
  <c r="E124" i="6" s="1"/>
  <c r="D87" i="6" l="1"/>
  <c r="D80" i="6" l="1"/>
  <c r="D49" i="6"/>
  <c r="C48" i="6"/>
  <c r="E12" i="2"/>
  <c r="D77" i="6" l="1"/>
  <c r="E64" i="14"/>
  <c r="D64" i="6"/>
  <c r="B24" i="14" s="1"/>
  <c r="D62" i="6"/>
  <c r="B22" i="14" s="1"/>
  <c r="D63" i="6"/>
  <c r="B23" i="14" s="1"/>
  <c r="A60" i="6"/>
  <c r="A61" i="6"/>
  <c r="D61" i="6" l="1"/>
  <c r="B21" i="14" s="1"/>
  <c r="D60" i="6"/>
  <c r="B20" i="14" s="1"/>
  <c r="E40" i="14" l="1" a="1"/>
  <c r="E40" i="14" s="1"/>
  <c r="E8" i="2"/>
  <c r="E47" i="2"/>
  <c r="E45" i="2" a="1"/>
  <c r="E45" i="2" s="1"/>
  <c r="E75" i="2"/>
  <c r="E90" i="2"/>
  <c r="E60" i="2" l="1"/>
  <c r="E3" i="14" l="1"/>
  <c r="E58" i="14"/>
  <c r="E61" i="14" l="1"/>
  <c r="F126" i="6" l="1"/>
  <c r="F124" i="6" s="1"/>
  <c r="G126" i="6"/>
  <c r="G124" i="6" s="1"/>
  <c r="H126" i="6"/>
  <c r="H124" i="6" s="1"/>
  <c r="I126" i="6"/>
  <c r="I124" i="6" s="1"/>
  <c r="J126" i="6"/>
  <c r="J124" i="6" s="1"/>
  <c r="K126" i="6"/>
  <c r="K124" i="6" s="1"/>
  <c r="L126" i="6"/>
  <c r="L124" i="6" s="1"/>
  <c r="M126" i="6"/>
  <c r="M124" i="6" s="1"/>
  <c r="N126" i="6"/>
  <c r="N124" i="6" s="1"/>
  <c r="O126" i="6"/>
  <c r="O124" i="6" s="1"/>
  <c r="P126" i="6"/>
  <c r="P124" i="6" s="1"/>
  <c r="Q126" i="6"/>
  <c r="Q124" i="6" s="1"/>
  <c r="R126" i="6"/>
  <c r="R124" i="6" s="1"/>
  <c r="S126" i="6"/>
  <c r="S124" i="6" s="1"/>
  <c r="T126" i="6"/>
  <c r="T124" i="6" s="1"/>
  <c r="U126" i="6"/>
  <c r="U124" i="6" s="1"/>
  <c r="V126" i="6"/>
  <c r="V124" i="6" s="1"/>
  <c r="W126" i="6"/>
  <c r="W124" i="6" s="1"/>
  <c r="X126" i="6"/>
  <c r="X124" i="6" s="1"/>
  <c r="Y126" i="6"/>
  <c r="Y124" i="6" s="1"/>
  <c r="Z126" i="6"/>
  <c r="Z124" i="6" s="1"/>
  <c r="AA126" i="6"/>
  <c r="AA124" i="6" s="1"/>
  <c r="AB126" i="6"/>
  <c r="AB124" i="6" s="1"/>
  <c r="AC126" i="6"/>
  <c r="AC124" i="6" s="1"/>
  <c r="AD126" i="6"/>
  <c r="AD124" i="6" s="1"/>
  <c r="AE126" i="6"/>
  <c r="AE124" i="6" s="1"/>
  <c r="AF126" i="6"/>
  <c r="AF124" i="6" s="1"/>
  <c r="AG126" i="6"/>
  <c r="AG124" i="6" s="1"/>
  <c r="AH126" i="6"/>
  <c r="AH124" i="6" s="1"/>
  <c r="AI126" i="6"/>
  <c r="AI124" i="6" s="1"/>
  <c r="AJ126" i="6"/>
  <c r="AJ124" i="6" s="1"/>
  <c r="AK126" i="6"/>
  <c r="AK124" i="6" s="1"/>
  <c r="AL126" i="6"/>
  <c r="AL124" i="6" s="1"/>
  <c r="AM126" i="6"/>
  <c r="AM124" i="6" s="1"/>
  <c r="AN126" i="6"/>
  <c r="AN124" i="6" s="1"/>
  <c r="AO126" i="6"/>
  <c r="AO124" i="6" s="1"/>
  <c r="AP126" i="6"/>
  <c r="AP124" i="6" s="1"/>
  <c r="AQ126" i="6"/>
  <c r="AQ124" i="6" s="1"/>
  <c r="AR126" i="6"/>
  <c r="AR124" i="6" s="1"/>
  <c r="AS126" i="6"/>
  <c r="AS124" i="6" s="1"/>
  <c r="AT126" i="6"/>
  <c r="AT124" i="6" s="1"/>
  <c r="AU126" i="6"/>
  <c r="AU124" i="6" s="1"/>
  <c r="AV126" i="6"/>
  <c r="AV124" i="6" s="1"/>
  <c r="AW126" i="6"/>
  <c r="AW124" i="6" s="1"/>
  <c r="AX126" i="6"/>
  <c r="AX124" i="6" s="1"/>
  <c r="AY126" i="6"/>
  <c r="AY124" i="6" s="1"/>
  <c r="AZ126" i="6"/>
  <c r="AZ124" i="6" s="1"/>
  <c r="BA126" i="6"/>
  <c r="BA124" i="6" s="1"/>
  <c r="BB126" i="6"/>
  <c r="BB124" i="6" s="1"/>
  <c r="BC126" i="6"/>
  <c r="BC124" i="6" s="1"/>
  <c r="BD126" i="6"/>
  <c r="BD124" i="6" s="1"/>
  <c r="BE126" i="6"/>
  <c r="BE124" i="6" s="1"/>
  <c r="BF126" i="6"/>
  <c r="BF124" i="6" s="1"/>
  <c r="BG126" i="6"/>
  <c r="BG124" i="6" s="1"/>
  <c r="BH126" i="6"/>
  <c r="BH124" i="6" s="1"/>
  <c r="BI126" i="6"/>
  <c r="BI124" i="6" s="1"/>
  <c r="BJ126" i="6"/>
  <c r="BJ124" i="6" s="1"/>
  <c r="BK126" i="6"/>
  <c r="BK124" i="6" s="1"/>
  <c r="BL126" i="6"/>
  <c r="BL124" i="6" s="1"/>
  <c r="BM126" i="6"/>
  <c r="BM124" i="6" s="1"/>
  <c r="BN126" i="6"/>
  <c r="BN124" i="6" s="1"/>
  <c r="BO126" i="6"/>
  <c r="BO124" i="6" s="1"/>
  <c r="BP126" i="6"/>
  <c r="BP124" i="6" s="1"/>
  <c r="BQ126" i="6"/>
  <c r="BQ124" i="6" s="1"/>
  <c r="BR126" i="6"/>
  <c r="BR124" i="6" s="1"/>
  <c r="BS126" i="6"/>
  <c r="BS124" i="6" s="1"/>
  <c r="E55" i="2"/>
  <c r="E70" i="2"/>
  <c r="C117" i="6" l="1"/>
  <c r="BS2" i="6"/>
  <c r="BR2" i="6"/>
  <c r="BD2" i="6"/>
  <c r="BC2" i="6"/>
  <c r="BB2" i="6"/>
  <c r="BA2" i="6"/>
  <c r="AZ2" i="6"/>
  <c r="AY2" i="6"/>
  <c r="AX2" i="6"/>
  <c r="AW2" i="6"/>
  <c r="BQ2" i="6"/>
  <c r="BP2" i="6"/>
  <c r="BO2" i="6"/>
  <c r="BN2" i="6"/>
  <c r="BM2" i="6"/>
  <c r="BL2" i="6"/>
  <c r="BE2" i="6"/>
  <c r="AV2" i="6"/>
  <c r="AU2" i="6"/>
  <c r="AT2" i="6"/>
  <c r="BF2" i="6"/>
  <c r="AS2" i="6"/>
  <c r="AR2" i="6"/>
  <c r="AQ2" i="6"/>
  <c r="AP2" i="6"/>
  <c r="AO2" i="6"/>
  <c r="AN2" i="6"/>
  <c r="AM2" i="6"/>
  <c r="AL2" i="6"/>
  <c r="AK2" i="6"/>
  <c r="AJ2" i="6"/>
  <c r="AI2" i="6"/>
  <c r="BK2" i="6"/>
  <c r="AH2" i="6"/>
  <c r="AG2" i="6"/>
  <c r="AF2" i="6"/>
  <c r="AE2" i="6"/>
  <c r="AD2" i="6"/>
  <c r="AC2" i="6"/>
  <c r="BG2" i="6"/>
  <c r="AB2" i="6"/>
  <c r="AA2" i="6"/>
  <c r="Z2" i="6"/>
  <c r="Y2" i="6"/>
  <c r="X2" i="6"/>
  <c r="BJ2" i="6"/>
  <c r="W2" i="6"/>
  <c r="V2" i="6"/>
  <c r="U2" i="6"/>
  <c r="T2" i="6"/>
  <c r="S2" i="6"/>
  <c r="BI2" i="6"/>
  <c r="R2" i="6"/>
  <c r="Q2" i="6"/>
  <c r="P2" i="6"/>
  <c r="O2" i="6"/>
  <c r="N2" i="6"/>
  <c r="M2" i="6"/>
  <c r="L2" i="6"/>
  <c r="K2" i="6"/>
  <c r="J2" i="6"/>
  <c r="I2" i="6"/>
  <c r="BH2" i="6"/>
  <c r="H2" i="6"/>
  <c r="G2" i="6"/>
  <c r="F2" i="6"/>
  <c r="E2" i="6"/>
  <c r="D33" i="6" l="1"/>
  <c r="D73" i="6"/>
  <c r="D41" i="6"/>
  <c r="D40" i="6"/>
  <c r="D39" i="6"/>
  <c r="D38" i="6"/>
  <c r="D37" i="6"/>
  <c r="D36" i="6"/>
  <c r="C47" i="6"/>
  <c r="E56" i="2"/>
  <c r="E57" i="2"/>
  <c r="A74" i="6"/>
  <c r="A73" i="6"/>
  <c r="D74" i="6"/>
  <c r="A63" i="6"/>
  <c r="A64" i="6"/>
  <c r="A67" i="6"/>
  <c r="A66" i="6"/>
  <c r="A72" i="6"/>
  <c r="A71" i="6"/>
  <c r="A70" i="6"/>
  <c r="A69" i="6"/>
  <c r="A68" i="6"/>
  <c r="A62" i="6"/>
  <c r="A59" i="6"/>
  <c r="A58" i="6"/>
  <c r="A57" i="6"/>
  <c r="A56" i="6"/>
  <c r="A55" i="6"/>
  <c r="A54" i="6"/>
  <c r="A8" i="6"/>
  <c r="A7" i="6"/>
  <c r="A6" i="6"/>
  <c r="A5" i="6"/>
  <c r="A32" i="6"/>
  <c r="A44" i="6"/>
  <c r="A43" i="6"/>
  <c r="A41" i="6"/>
  <c r="A40" i="6"/>
  <c r="A39" i="6"/>
  <c r="A37" i="6"/>
  <c r="A36" i="6"/>
  <c r="A35" i="6"/>
  <c r="A34" i="6"/>
  <c r="A33" i="6"/>
  <c r="A31" i="6"/>
  <c r="A30" i="6"/>
  <c r="A29" i="6"/>
  <c r="A27" i="6"/>
  <c r="A28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4" i="6"/>
  <c r="D76" i="6"/>
  <c r="D78" i="6"/>
  <c r="D75" i="6"/>
  <c r="D67" i="6"/>
  <c r="B27" i="14" s="1"/>
  <c r="D66" i="6"/>
  <c r="B26" i="14" s="1"/>
  <c r="D72" i="6"/>
  <c r="D71" i="6"/>
  <c r="D70" i="6"/>
  <c r="D69" i="6"/>
  <c r="D68" i="6"/>
  <c r="D59" i="6"/>
  <c r="D58" i="6"/>
  <c r="D57" i="6"/>
  <c r="D56" i="6"/>
  <c r="D55" i="6"/>
  <c r="D54" i="6"/>
  <c r="D48" i="6"/>
  <c r="D47" i="6"/>
  <c r="D46" i="6"/>
  <c r="D45" i="6"/>
  <c r="D44" i="6"/>
  <c r="D43" i="6"/>
  <c r="D42" i="6"/>
  <c r="D35" i="6"/>
  <c r="D34" i="6"/>
  <c r="B24" i="2"/>
  <c r="B23" i="2"/>
  <c r="D31" i="6"/>
  <c r="D30" i="6"/>
  <c r="B30" i="2"/>
  <c r="B29" i="2"/>
  <c r="D29" i="6"/>
  <c r="D27" i="6"/>
  <c r="D28" i="6"/>
  <c r="D22" i="6"/>
  <c r="B32" i="2" s="1"/>
  <c r="D21" i="6"/>
  <c r="B31" i="2" s="1"/>
  <c r="D20" i="6"/>
  <c r="B25" i="2" s="1"/>
  <c r="D19" i="6"/>
  <c r="B28" i="2" s="1"/>
  <c r="D18" i="6"/>
  <c r="B27" i="2" s="1"/>
  <c r="D17" i="6"/>
  <c r="B26" i="2" s="1"/>
  <c r="D16" i="6"/>
  <c r="D15" i="6"/>
  <c r="D14" i="6"/>
  <c r="D13" i="6"/>
  <c r="D32" i="6"/>
  <c r="D12" i="6"/>
  <c r="D11" i="6"/>
  <c r="D10" i="6"/>
  <c r="D9" i="6"/>
  <c r="D7" i="6"/>
  <c r="D6" i="6"/>
  <c r="D5" i="6"/>
  <c r="D8" i="6"/>
  <c r="D4" i="6"/>
  <c r="E32" i="2" l="1"/>
  <c r="E28" i="2"/>
  <c r="E20" i="14"/>
  <c r="E21" i="14"/>
  <c r="E29" i="2"/>
  <c r="E30" i="2"/>
  <c r="E31" i="2"/>
  <c r="E58" i="2"/>
  <c r="E27" i="14" l="1"/>
  <c r="E26" i="14"/>
  <c r="E25" i="14"/>
  <c r="E24" i="14"/>
  <c r="E23" i="14"/>
  <c r="E22" i="14"/>
  <c r="E41" i="2"/>
  <c r="E39" i="2" s="1"/>
  <c r="E27" i="2"/>
  <c r="E26" i="2"/>
  <c r="E25" i="2"/>
  <c r="E24" i="2"/>
  <c r="E23" i="2"/>
  <c r="E42" i="14"/>
  <c r="B1" i="14"/>
  <c r="E29" i="14" l="1"/>
  <c r="E36" i="14"/>
  <c r="E34" i="14" s="1"/>
  <c r="D82" i="6"/>
  <c r="C119" i="6" s="1"/>
  <c r="B6" i="4" s="1"/>
  <c r="D51" i="6"/>
  <c r="C118" i="6" l="1"/>
  <c r="C108" i="6"/>
  <c r="C100" i="6"/>
  <c r="C101" i="6"/>
  <c r="C107" i="6"/>
  <c r="C99" i="6"/>
  <c r="C97" i="6"/>
  <c r="C114" i="6"/>
  <c r="C106" i="6"/>
  <c r="C98" i="6"/>
  <c r="C113" i="6"/>
  <c r="C105" i="6"/>
  <c r="C112" i="6"/>
  <c r="C104" i="6"/>
  <c r="C111" i="6"/>
  <c r="C103" i="6"/>
  <c r="C109" i="6"/>
  <c r="C110" i="6"/>
  <c r="C102" i="6"/>
  <c r="E33" i="14"/>
  <c r="C120" i="6" l="1"/>
  <c r="B5" i="4"/>
  <c r="C49" i="6"/>
  <c r="B1" i="2" l="1"/>
  <c r="E67" i="2"/>
  <c r="E64" i="2"/>
  <c r="E3" i="2"/>
  <c r="E19" i="14" l="1"/>
  <c r="E18" i="14" l="1"/>
  <c r="E17" i="14" s="1"/>
  <c r="E5" i="14"/>
  <c r="E48" i="14" l="1"/>
  <c r="E53" i="2" l="1"/>
  <c r="E5" i="2"/>
  <c r="B4" i="4"/>
  <c r="C82" i="6"/>
  <c r="C122" i="6" s="1"/>
  <c r="C51" i="6"/>
  <c r="C121" i="6" s="1"/>
  <c r="C123" i="6" l="1"/>
  <c r="B11" i="4" s="1"/>
  <c r="E38" i="2"/>
  <c r="E34" i="2" l="1"/>
  <c r="E20" i="2" l="1"/>
  <c r="E1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Karta, Evelyn Eugenia (SL AIR TI EN EE ES)</author>
    <author>Rettberg, Frank (ICS TI SA AS)</author>
  </authors>
  <commentList>
    <comment ref="B2" authorId="0" shapeId="0" xr:uid="{9BB88874-1A93-43B8-8875-3241219867F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10"/>
            <rFont val="Tahoma"/>
            <family val="2"/>
          </rPr>
          <t>Dont forget to fill the Projectname!!</t>
        </r>
      </text>
    </comment>
    <comment ref="A7" authorId="0" shapeId="0" xr:uid="{22879A81-AEC7-47AD-87D5-6E6C39EF0D5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Counted based on MPS Number from BOM_Pivot</t>
        </r>
      </text>
    </comment>
    <comment ref="A8" authorId="0" shapeId="0" xr:uid="{AF718DDF-C9F4-4136-9CCF-2E4D94CD38A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Counted based on MPS Number from BOM_Pivot</t>
        </r>
      </text>
    </comment>
    <comment ref="A9" authorId="0" shapeId="0" xr:uid="{D8EC76E1-CFBC-42B6-9DD7-D5D25B5E111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Counted based on MPS Number from BOM_Pivot</t>
        </r>
      </text>
    </comment>
    <comment ref="B9" authorId="1" shapeId="0" xr:uid="{C3AAB064-D6F4-4825-A733-598BFC7F6206}">
      <text>
        <r>
          <rPr>
            <b/>
            <sz val="9"/>
            <color indexed="81"/>
            <rFont val="Segoe UI"/>
            <family val="2"/>
          </rPr>
          <t>Belt:</t>
        </r>
        <r>
          <rPr>
            <sz val="9"/>
            <color indexed="81"/>
            <rFont val="Segoe UI"/>
            <family val="2"/>
          </rPr>
          <t xml:space="preserve">
Check-In, Takeaway, Metering, Straight, Pier,  Load,  Roller</t>
        </r>
      </text>
    </comment>
    <comment ref="A10" authorId="0" shapeId="0" xr:uid="{021BE742-F547-487C-9093-86C92031855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Counted based on MPS Number from BOM_Pivot</t>
        </r>
      </text>
    </comment>
    <comment ref="B10" authorId="1" shapeId="0" xr:uid="{C27AB292-DC92-42F0-9F66-865FFDE85C29}">
      <text>
        <r>
          <rPr>
            <b/>
            <sz val="9"/>
            <color indexed="81"/>
            <rFont val="Segoe UI"/>
            <family val="2"/>
          </rPr>
          <t>ICS:</t>
        </r>
        <r>
          <rPr>
            <sz val="9"/>
            <color indexed="81"/>
            <rFont val="Segoe UI"/>
            <family val="2"/>
          </rPr>
          <t xml:space="preserve">
Metering, Straight, Right Angel Transfer, High Speed Straight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Karta, Evelyn Eugenia (SL AIR TI EN EE ES)</author>
    <author>F. Rettberg</author>
    <author>Rettberg, Frank</author>
  </authors>
  <commentList>
    <comment ref="AI2" authorId="0" shapeId="0" xr:uid="{E849D11D-27FB-4F83-8CCF-46601EE9002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Please keep this format without adding blank characters between the "-"</t>
        </r>
      </text>
    </comment>
    <comment ref="AJ2" authorId="0" shapeId="0" xr:uid="{25FA126B-BE57-47A6-91FE-FB26AD09CCE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Please keep this format without adding blank characters between the "-"</t>
        </r>
      </text>
    </comment>
    <comment ref="AK2" authorId="0" shapeId="0" xr:uid="{CC403359-7B13-4189-8040-B9F41EFAF8E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Please keep this format without adding blank characters between the "-"</t>
        </r>
      </text>
    </comment>
    <comment ref="AL2" authorId="0" shapeId="0" xr:uid="{BBF0A857-890E-4234-BAFC-D2E413CB8CA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Please keep this format without adding blank characters between the "-"</t>
        </r>
      </text>
    </comment>
    <comment ref="AM2" authorId="0" shapeId="0" xr:uid="{8AAA4571-872E-4145-BDF0-57DC967F713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Please keep this format without adding blank characters between the "-"</t>
        </r>
      </text>
    </comment>
    <comment ref="AN2" authorId="0" shapeId="0" xr:uid="{D40F082C-CD75-4303-857F-5E40551122F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Please keep this format without adding blank characters between the "-"</t>
        </r>
      </text>
    </comment>
    <comment ref="AO2" authorId="0" shapeId="0" xr:uid="{3255910F-F75F-44F5-96FB-9C45C01A09D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Please keep this format without adding blank characters between the "-"</t>
        </r>
      </text>
    </comment>
    <comment ref="AP2" authorId="0" shapeId="0" xr:uid="{6008BBBB-D84A-49EF-A4A8-D48E8CAB8A5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Please keep this format without adding blank characters between the "-"</t>
        </r>
      </text>
    </comment>
    <comment ref="D42" authorId="0" shapeId="0" xr:uid="{CF9A914B-E163-4039-9F90-40417A1F01F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D45" authorId="0" shapeId="0" xr:uid="{BCD2ECB7-E743-49EA-817F-4E9496185FD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C46" authorId="1" shapeId="0" xr:uid="{9DF355F7-6932-48DD-A9A4-F7DBDA6DB5C6}">
      <text>
        <r>
          <rPr>
            <b/>
            <sz val="8"/>
            <color indexed="81"/>
            <rFont val="Tahoma"/>
            <family val="2"/>
          </rPr>
          <t>F. Rettberg:</t>
        </r>
        <r>
          <rPr>
            <sz val="8"/>
            <color indexed="81"/>
            <rFont val="Tahoma"/>
            <family val="2"/>
          </rPr>
          <t xml:space="preserve">
Default: All Merge / Divert / Special Devices</t>
        </r>
      </text>
    </comment>
    <comment ref="C47" authorId="1" shapeId="0" xr:uid="{3C6BDACF-899B-4573-A8A2-74F2629F61EC}">
      <text>
        <r>
          <rPr>
            <b/>
            <sz val="8"/>
            <color indexed="81"/>
            <rFont val="Tahoma"/>
            <family val="2"/>
          </rPr>
          <t>F. Rettberg:</t>
        </r>
        <r>
          <rPr>
            <sz val="8"/>
            <color indexed="81"/>
            <rFont val="Tahoma"/>
            <family val="2"/>
          </rPr>
          <t xml:space="preserve">
Default: 10% Belt</t>
        </r>
      </text>
    </comment>
    <comment ref="C48" authorId="1" shapeId="0" xr:uid="{CE72B09F-7662-4743-9234-E16E97A65614}">
      <text>
        <r>
          <rPr>
            <b/>
            <sz val="8"/>
            <color indexed="81"/>
            <rFont val="Tahoma"/>
            <family val="2"/>
          </rPr>
          <t>F. Rettberg:</t>
        </r>
        <r>
          <rPr>
            <sz val="8"/>
            <color indexed="81"/>
            <rFont val="Tahoma"/>
            <family val="2"/>
          </rPr>
          <t xml:space="preserve">
Default: 10% Belt</t>
        </r>
      </text>
    </comment>
    <comment ref="C49" authorId="2" shapeId="0" xr:uid="{001A31DF-6F7E-4BE4-9ADC-6B5229A3591A}">
      <text>
        <r>
          <rPr>
            <b/>
            <sz val="9"/>
            <color indexed="81"/>
            <rFont val="Segoe UI"/>
            <family val="2"/>
          </rPr>
          <t>Rettberg, Frank:</t>
        </r>
        <r>
          <rPr>
            <sz val="9"/>
            <color indexed="81"/>
            <rFont val="Segoe UI"/>
            <family val="2"/>
          </rPr>
          <t xml:space="preserve">
E-stop button every 15m</t>
        </r>
      </text>
    </comment>
    <comment ref="D75" authorId="0" shapeId="0" xr:uid="{E0D7464A-C1C7-4C8E-95E2-E3E97BB7F26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D76" authorId="0" shapeId="0" xr:uid="{398F1478-DC61-487F-9E9E-2B00C76B209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D77" authorId="0" shapeId="0" xr:uid="{AD7F233A-B82A-482B-AAB1-1BC0364F6C7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C79" authorId="1" shapeId="0" xr:uid="{B910D584-DADF-4BCB-8EF1-6850DF98F9A5}">
      <text>
        <r>
          <rPr>
            <b/>
            <sz val="8"/>
            <color indexed="81"/>
            <rFont val="Tahoma"/>
            <family val="2"/>
          </rPr>
          <t>F. Rettberg:</t>
        </r>
        <r>
          <rPr>
            <sz val="8"/>
            <color indexed="81"/>
            <rFont val="Tahoma"/>
            <family val="2"/>
          </rPr>
          <t xml:space="preserve">
Default: All Merge / Divert / Special Devices</t>
        </r>
      </text>
    </comment>
    <comment ref="C80" authorId="2" shapeId="0" xr:uid="{D84DF1A7-9EF4-45A6-A82A-F397F6BDEEF9}">
      <text>
        <r>
          <rPr>
            <b/>
            <sz val="9"/>
            <color indexed="81"/>
            <rFont val="Segoe UI"/>
            <family val="2"/>
          </rPr>
          <t>Rettberg, Frank:</t>
        </r>
        <r>
          <rPr>
            <sz val="9"/>
            <color indexed="81"/>
            <rFont val="Segoe UI"/>
            <family val="2"/>
          </rPr>
          <t xml:space="preserve">
E-stop button every 15m</t>
        </r>
      </text>
    </comment>
    <comment ref="C86" authorId="1" shapeId="0" xr:uid="{E6D91AFD-39B4-496D-AE59-8E2F5D930BA2}">
      <text>
        <r>
          <rPr>
            <b/>
            <sz val="8"/>
            <color indexed="81"/>
            <rFont val="Tahoma"/>
            <family val="2"/>
          </rPr>
          <t>F. Rettberg:</t>
        </r>
        <r>
          <rPr>
            <sz val="8"/>
            <color indexed="81"/>
            <rFont val="Tahoma"/>
            <family val="2"/>
          </rPr>
          <t xml:space="preserve">
Qty. PLC panels (LP)</t>
        </r>
      </text>
    </comment>
    <comment ref="D87" authorId="0" shapeId="0" xr:uid="{0C960B8F-0C38-41DA-918F-7EB5ECDA22A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D118" authorId="0" shapeId="0" xr:uid="{B43F4FB0-79A2-4BCC-8E1B-20A842520F8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D119" authorId="0" shapeId="0" xr:uid="{A4552708-3E87-48BC-9E61-7A9A25DD9F0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D123" authorId="0" shapeId="0" xr:uid="{6534FFD8-183F-4CF9-8A85-D9F32D4F354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D125" authorId="0" shapeId="0" xr:uid="{88E8DF4F-E522-42E2-87BE-7220F206689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  <comment ref="D126" authorId="0" shapeId="0" xr:uid="{9C3E908F-391E-4D42-8625-69F11FEB6B1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because I make it as a reference in the code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Karta, Evelyn Eugenia (SL AIR TI EN EE ES)</author>
    <author>Rettberg, Frank</author>
    <author>u03639</author>
    <author>Rettberg, Frank (ICS TI SA AS)</author>
    <author>Rettberg, Frank (AIR TI EN EE ES)</author>
  </authors>
  <commentList>
    <comment ref="E9" authorId="0" shapeId="0" xr:uid="{5DB3D1AD-F93F-4895-98A1-12CC6BB65A4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If Compensation per PLC is true then this value = Cell "E12" (Control Cabinets Qty)
</t>
        </r>
      </text>
    </comment>
    <comment ref="E10" authorId="0" shapeId="0" xr:uid="{834E3303-A4E1-4D01-B471-6135D5AE27D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By Default this value = cell "E6" (Power Distribution PDP). But If Compensation per PLC is true then this value become 0 .</t>
        </r>
      </text>
    </comment>
    <comment ref="B12" authorId="0" shapeId="0" xr:uid="{A8224DAD-B1C3-47E5-9717-7FBBCBE93BB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group name because I make it as a reference in the code</t>
        </r>
      </text>
    </comment>
    <comment ref="E16" authorId="0" shapeId="0" xr:uid="{1FFA8E34-96B3-4363-9B22-A633ECEA6A7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'' If no H-PLC then value =ROUNDUP(Qty_Typicals!C119/100;0)  and cell "E17" = 0</t>
        </r>
      </text>
    </comment>
    <comment ref="E17" authorId="1" shapeId="0" xr:uid="{98B4E2EB-38CA-4EC1-976F-9FBE4EBD21C7}">
      <text>
        <r>
          <rPr>
            <b/>
            <sz val="9"/>
            <color indexed="81"/>
            <rFont val="Segoe UI"/>
            <family val="2"/>
          </rPr>
          <t>Rettberg, Frank:</t>
        </r>
        <r>
          <rPr>
            <sz val="9"/>
            <color indexed="81"/>
            <rFont val="Segoe UI"/>
            <family val="2"/>
          </rPr>
          <t xml:space="preserve">
Qty Drives / 100 + Spare
(or from Layout definition)
'' If with H-PLC then value =ROUNDUP(Qty_Typicals!C119/100;0)  and cell "E16" = 0</t>
        </r>
      </text>
    </comment>
    <comment ref="E34" authorId="2" shapeId="0" xr:uid="{D4AF6478-6C32-4632-AE8D-7CB1066FC931}">
      <text>
        <r>
          <rPr>
            <b/>
            <sz val="8"/>
            <color indexed="81"/>
            <rFont val="Tahoma"/>
            <family val="2"/>
          </rPr>
          <t>u03639:</t>
        </r>
        <r>
          <rPr>
            <sz val="8"/>
            <color indexed="81"/>
            <rFont val="Tahoma"/>
            <family val="2"/>
          </rPr>
          <t xml:space="preserve">
RED = increase EPs</t>
        </r>
      </text>
    </comment>
    <comment ref="E35" authorId="0" shapeId="0" xr:uid="{37A612A9-64D6-4809-9415-5FB2B83B72B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 If no H-PLC then cell "E31" = ROUNDUP(E34/12;0) but if with H-PLC this become 0</t>
        </r>
      </text>
    </comment>
    <comment ref="E36" authorId="3" shapeId="0" xr:uid="{C1D470A2-DDFD-40D7-9AAF-B622B962D72D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(max. 12 EB's per EP)
* If with H-PLC then cell "E32" = ROUNDUP(E34/12;0) but if no H-PLC this become 0</t>
        </r>
      </text>
    </comment>
    <comment ref="B38" authorId="0" shapeId="0" xr:uid="{4CC37D7F-00BA-436D-ABA5-39DA9D6F820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group name because I make it as a reference in the code</t>
        </r>
      </text>
    </comment>
    <comment ref="E38" authorId="2" shapeId="0" xr:uid="{8B6FB55D-8670-499C-84BC-20F070CC7DB4}">
      <text>
        <r>
          <rPr>
            <b/>
            <sz val="8"/>
            <color indexed="81"/>
            <rFont val="Tahoma"/>
            <family val="2"/>
          </rPr>
          <t>u03639:</t>
        </r>
        <r>
          <rPr>
            <sz val="8"/>
            <color indexed="81"/>
            <rFont val="Tahoma"/>
            <family val="2"/>
          </rPr>
          <t xml:space="preserve">
RED = increase EBs</t>
        </r>
      </text>
    </comment>
    <comment ref="E45" authorId="4" shapeId="0" xr:uid="{C315497A-9A7E-45C2-B0FA-353DE8DAFA8B}">
      <text>
        <r>
          <rPr>
            <b/>
            <sz val="10"/>
            <color indexed="81"/>
            <rFont val="Segoe UI"/>
            <family val="2"/>
          </rPr>
          <t>Rettberg, Frank (AIR TI EN EE ES):</t>
        </r>
        <r>
          <rPr>
            <sz val="10"/>
            <color indexed="81"/>
            <rFont val="Segoe UI"/>
            <family val="2"/>
          </rPr>
          <t xml:space="preserve">
Default 5%</t>
        </r>
      </text>
    </comment>
    <comment ref="F110" authorId="0" shapeId="0" xr:uid="{C3FAE446-D08D-434A-8EC6-FEC0B8E6F61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Qty from Qty_Typicals for temporary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Karta, Evelyn Eugenia (SL AIR TI EN EE ES)</author>
    <author>Rettberg, Frank</author>
    <author>u03639</author>
    <author>Rettberg, Frank (ICS TI SA AS)</author>
    <author>Rettberg, Frank (AIR TI EN EE ES)</author>
  </authors>
  <commentList>
    <comment ref="E9" authorId="0" shapeId="0" xr:uid="{3F7C78C0-7A14-48F1-AE3F-A5E96537379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If Compensation per PLC is true then this value = Cell "E12" (Control Cabinets Qty)
</t>
        </r>
      </text>
    </comment>
    <comment ref="E10" authorId="0" shapeId="0" xr:uid="{B0651804-42B0-413A-B5E4-A2412175FEC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By Default this value = cell "E6" (Power Distribution PDP). But If Compensation per PLC is true then this value become 0 .</t>
        </r>
      </text>
    </comment>
    <comment ref="E14" authorId="0" shapeId="0" xr:uid="{606A1067-6528-4853-A6A7-AD2592B9C13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'' If no H-PLC then value =ROUNDUP(Qty_Typicals!C120/100;0)  and cell "E15" = 0</t>
        </r>
      </text>
    </comment>
    <comment ref="E15" authorId="1" shapeId="0" xr:uid="{1EE0E6CD-66AC-496D-A636-CF2878424C1D}">
      <text>
        <r>
          <rPr>
            <b/>
            <sz val="9"/>
            <color indexed="81"/>
            <rFont val="Segoe UI"/>
            <family val="2"/>
          </rPr>
          <t>Rettberg, Frank:</t>
        </r>
        <r>
          <rPr>
            <sz val="9"/>
            <color indexed="81"/>
            <rFont val="Segoe UI"/>
            <family val="2"/>
          </rPr>
          <t xml:space="preserve">
Qty Drives / 100 + Spare
(or from Layout definition)
* If with H-PLC then value =ROUNDUP(Qty_Typicals!C120/100;0)  and cell "E14" = 0</t>
        </r>
      </text>
    </comment>
    <comment ref="E29" authorId="2" shapeId="0" xr:uid="{1150AF04-E76F-4003-B0E7-1F182AEB8080}">
      <text>
        <r>
          <rPr>
            <b/>
            <sz val="8"/>
            <color indexed="81"/>
            <rFont val="Tahoma"/>
            <family val="2"/>
          </rPr>
          <t>u03639:</t>
        </r>
        <r>
          <rPr>
            <sz val="8"/>
            <color indexed="81"/>
            <rFont val="Tahoma"/>
            <family val="2"/>
          </rPr>
          <t xml:space="preserve">
RED = increase EPs</t>
        </r>
      </text>
    </comment>
    <comment ref="E30" authorId="0" shapeId="0" xr:uid="{8600119C-0DEA-4360-8526-E8533484C64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 If no H-PLC then cell "E30" = ROUNDUP(E33/12;0) but if with H-PLC this become 0</t>
        </r>
      </text>
    </comment>
    <comment ref="E31" authorId="3" shapeId="0" xr:uid="{29CFB6A4-3CF3-4FF1-B74C-10BCDA5F74B2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(max. 12 EB's per EP)
* If with H-PLC then cell "E31" = ROUNDUP(E33/12;0) but if no H-PLC this become 0</t>
        </r>
      </text>
    </comment>
    <comment ref="E33" authorId="2" shapeId="0" xr:uid="{119D1EFA-9760-4F5D-A4CC-FAD731F4FB5E}">
      <text>
        <r>
          <rPr>
            <b/>
            <sz val="8"/>
            <color indexed="81"/>
            <rFont val="Tahoma"/>
            <family val="2"/>
          </rPr>
          <t>u03639:</t>
        </r>
        <r>
          <rPr>
            <sz val="8"/>
            <color indexed="81"/>
            <rFont val="Tahoma"/>
            <family val="2"/>
          </rPr>
          <t xml:space="preserve">
RED = increase EBs</t>
        </r>
      </text>
    </comment>
    <comment ref="E34" authorId="3" shapeId="0" xr:uid="{78222DC8-6946-47CA-882D-DD52FCBA293C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calculated with 25 E-Stop PB per Box</t>
        </r>
      </text>
    </comment>
    <comment ref="E40" authorId="4" shapeId="0" xr:uid="{BD3D6B70-C630-4AB5-B932-5F50CB3F48DD}">
      <text>
        <r>
          <rPr>
            <b/>
            <sz val="10"/>
            <color indexed="81"/>
            <rFont val="Segoe UI"/>
            <family val="2"/>
          </rPr>
          <t>Rettberg, Frank (AIR TI EN EE ES):</t>
        </r>
        <r>
          <rPr>
            <sz val="10"/>
            <color indexed="81"/>
            <rFont val="Segoe UI"/>
            <family val="2"/>
          </rPr>
          <t xml:space="preserve">
Default 5%</t>
        </r>
      </text>
    </comment>
    <comment ref="F100" authorId="0" shapeId="0" xr:uid="{EB31A3FA-2134-4F12-AE0E-F4FF369B404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Qty from Qty_Typicals for temporary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Rettberg, Frank (ICS TI SA AS)</author>
    <author>U03713</author>
    <author>u03639</author>
    <author>F. Rettberg</author>
    <author>Rettberg, Frank</author>
  </authors>
  <commentList>
    <comment ref="F8" authorId="0" shapeId="0" xr:uid="{86750FE3-E26C-45AD-AE52-EEF35AFF2C82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9" authorId="0" shapeId="0" xr:uid="{66FACA68-9732-42B5-8AC8-ED1142ECC1AD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E10" authorId="0" shapeId="0" xr:uid="{91B8782E-151F-486F-8C12-46915FE58F35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21" authorId="0" shapeId="0" xr:uid="{84A63F77-B322-43C1-917E-EC5B0BC17DE7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22" authorId="0" shapeId="0" xr:uid="{BF02E5E6-6C17-46CB-A3BD-9ECA0E90C763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E23" authorId="0" shapeId="0" xr:uid="{4E2A970C-618E-4101-B0BE-945DFD3F3AA7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23" authorId="0" shapeId="0" xr:uid="{8E33EE5A-4BB7-49F2-8581-3EAC09A24BB8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24" authorId="0" shapeId="0" xr:uid="{CF8BCC97-B0D9-417C-BCE2-82DCBC5412BE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25" authorId="0" shapeId="0" xr:uid="{A0DA26DB-5353-4007-A151-6B8D032EE8E8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26" authorId="0" shapeId="0" xr:uid="{DD92288B-09E2-441F-80F4-0F877B6CF26A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D30" authorId="1" shapeId="0" xr:uid="{E1502DB6-5F8D-4073-BED8-279AB2F40BB8}">
      <text>
        <r>
          <rPr>
            <b/>
            <sz val="8"/>
            <color indexed="81"/>
            <rFont val="Tahoma"/>
            <family val="2"/>
          </rPr>
          <t>U03713:</t>
        </r>
        <r>
          <rPr>
            <sz val="8"/>
            <color indexed="81"/>
            <rFont val="Tahoma"/>
            <family val="2"/>
          </rPr>
          <t xml:space="preserve">
X-Ray Machine with dig. Interface Signals and power supply</t>
        </r>
      </text>
    </comment>
    <comment ref="D31" authorId="1" shapeId="0" xr:uid="{FE720B32-090E-46E7-BD47-0D766BB3F0EB}">
      <text>
        <r>
          <rPr>
            <b/>
            <sz val="8"/>
            <color indexed="81"/>
            <rFont val="Tahoma"/>
            <family val="2"/>
          </rPr>
          <t>U03713:</t>
        </r>
        <r>
          <rPr>
            <sz val="8"/>
            <color indexed="81"/>
            <rFont val="Tahoma"/>
            <family val="2"/>
          </rPr>
          <t xml:space="preserve">
X-Ray Machine with dig. Interface Signals and power supply</t>
        </r>
      </text>
    </comment>
    <comment ref="D34" authorId="2" shapeId="0" xr:uid="{41A9995B-8A0D-4647-998F-4299E9B0BCC8}">
      <text>
        <r>
          <rPr>
            <b/>
            <sz val="9"/>
            <color indexed="81"/>
            <rFont val="Tahoma"/>
            <family val="2"/>
          </rPr>
          <t>u03639:</t>
        </r>
        <r>
          <rPr>
            <sz val="9"/>
            <color indexed="81"/>
            <rFont val="Tahoma"/>
            <family val="2"/>
          </rPr>
          <t xml:space="preserve">
t.b checked</t>
        </r>
      </text>
    </comment>
    <comment ref="D35" authorId="2" shapeId="0" xr:uid="{0C16F08E-033F-4757-B9CB-62859CCE4702}">
      <text>
        <r>
          <rPr>
            <b/>
            <sz val="9"/>
            <color indexed="81"/>
            <rFont val="Tahoma"/>
            <family val="2"/>
          </rPr>
          <t>u03639:</t>
        </r>
        <r>
          <rPr>
            <sz val="9"/>
            <color indexed="81"/>
            <rFont val="Tahoma"/>
            <family val="2"/>
          </rPr>
          <t xml:space="preserve">
t.b checked</t>
        </r>
      </text>
    </comment>
    <comment ref="D37" authorId="2" shapeId="0" xr:uid="{D6B7D465-BFA8-4A85-803B-FFA20FDDBA46}">
      <text>
        <r>
          <rPr>
            <b/>
            <sz val="9"/>
            <color indexed="81"/>
            <rFont val="Tahoma"/>
            <family val="2"/>
          </rPr>
          <t>u03639:</t>
        </r>
        <r>
          <rPr>
            <sz val="9"/>
            <color indexed="81"/>
            <rFont val="Tahoma"/>
            <family val="2"/>
          </rPr>
          <t xml:space="preserve">
t.b checked</t>
        </r>
      </text>
    </comment>
    <comment ref="D39" authorId="2" shapeId="0" xr:uid="{F6AE57CA-3F53-44E2-9A36-033D8FCC2579}">
      <text>
        <r>
          <rPr>
            <b/>
            <sz val="9"/>
            <color indexed="81"/>
            <rFont val="Tahoma"/>
            <family val="2"/>
          </rPr>
          <t>u03639:</t>
        </r>
        <r>
          <rPr>
            <sz val="9"/>
            <color indexed="81"/>
            <rFont val="Tahoma"/>
            <family val="2"/>
          </rPr>
          <t xml:space="preserve">
t.b checked</t>
        </r>
      </text>
    </comment>
    <comment ref="F43" authorId="0" shapeId="0" xr:uid="{464964BA-721C-4EB9-8B28-3B996D04E92C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Switch Drive</t>
        </r>
      </text>
    </comment>
    <comment ref="F44" authorId="0" shapeId="0" xr:uid="{5BB69B22-FEBF-4343-B314-C89BA8A8E022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Switch Drive</t>
        </r>
      </text>
    </comment>
    <comment ref="D46" authorId="0" shapeId="0" xr:uid="{41695FD0-2F71-4A36-BDE9-0F865C66166D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VFD's installed in Product Panel (incl. Infeed Conv.)</t>
        </r>
      </text>
    </comment>
    <comment ref="E46" authorId="0" shapeId="0" xr:uid="{8F90FC72-E0A1-440D-BF37-5D963A153530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H46" authorId="0" shapeId="0" xr:uid="{D083583E-C297-4AFB-98D8-289269717FDE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D47" authorId="0" shapeId="0" xr:uid="{BBB03ABA-A39E-4CE0-9F92-357265F3B4FD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VFD's installed in Product Panel (incl. Infeed Conv.)</t>
        </r>
      </text>
    </comment>
    <comment ref="E47" authorId="0" shapeId="0" xr:uid="{EE90D931-9D68-4A7D-B678-F0BE1DA12089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H47" authorId="0" shapeId="0" xr:uid="{E8595389-0111-45F5-AAAC-A08349F24F8E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D48" authorId="3" shapeId="0" xr:uid="{1900AF69-5DD6-4305-8626-A263FBF2A377}">
      <text>
        <r>
          <rPr>
            <b/>
            <sz val="8"/>
            <color indexed="81"/>
            <rFont val="Tahoma"/>
            <family val="2"/>
          </rPr>
          <t>F. Rettberg:</t>
        </r>
        <r>
          <rPr>
            <sz val="8"/>
            <color indexed="81"/>
            <rFont val="Tahoma"/>
            <family val="2"/>
          </rPr>
          <t xml:space="preserve">
Sensors &amp; control Box supplied with Product. </t>
        </r>
      </text>
    </comment>
    <comment ref="E48" authorId="0" shapeId="0" xr:uid="{FE337689-4609-4132-9BD1-80BF5C05766A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48" authorId="0" shapeId="0" xr:uid="{C9672E78-8832-4C9F-A7F7-AC06F8A9D343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D49" authorId="0" shapeId="0" xr:uid="{D5F3FE06-DA9F-4329-AC95-9809A863D4D2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VFD's installed in Product Panel (incl. Infeed Conv.)</t>
        </r>
      </text>
    </comment>
    <comment ref="E49" authorId="0" shapeId="0" xr:uid="{A17888F5-64AD-4973-815B-5E7C164F7E13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49" authorId="4" shapeId="0" xr:uid="{9F8BDCB1-16A6-483F-BC25-7FA9395084CC}">
      <text>
        <r>
          <rPr>
            <b/>
            <sz val="9"/>
            <color indexed="81"/>
            <rFont val="Segoe UI"/>
            <family val="2"/>
          </rPr>
          <t>Rettberg, Frank:</t>
        </r>
        <r>
          <rPr>
            <sz val="9"/>
            <color indexed="81"/>
            <rFont val="Segoe UI"/>
            <family val="2"/>
          </rPr>
          <t xml:space="preserve">
Lift &amp; Gripper</t>
        </r>
      </text>
    </comment>
    <comment ref="D50" authorId="3" shapeId="0" xr:uid="{1EABFEDF-9B75-440B-A49C-91D2D32E9C54}">
      <text>
        <r>
          <rPr>
            <b/>
            <sz val="8"/>
            <color indexed="81"/>
            <rFont val="Tahoma"/>
            <family val="2"/>
          </rPr>
          <t>F. Rettberg:</t>
        </r>
        <r>
          <rPr>
            <sz val="8"/>
            <color indexed="81"/>
            <rFont val="Tahoma"/>
            <family val="2"/>
          </rPr>
          <t xml:space="preserve">
Sensors &amp; control Box supplied with Product. </t>
        </r>
      </text>
    </comment>
    <comment ref="E50" authorId="0" shapeId="0" xr:uid="{63522C04-95CD-4F0B-ACD1-37B3220209EC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F50" authorId="4" shapeId="0" xr:uid="{4A54BAEA-F0CB-47AD-B95E-17EA38A63847}">
      <text>
        <r>
          <rPr>
            <b/>
            <sz val="9"/>
            <color indexed="81"/>
            <rFont val="Segoe UI"/>
            <family val="2"/>
          </rPr>
          <t>Rettberg, Frank:</t>
        </r>
        <r>
          <rPr>
            <sz val="9"/>
            <color indexed="81"/>
            <rFont val="Segoe UI"/>
            <family val="2"/>
          </rPr>
          <t xml:space="preserve">
Lift &amp; Gripper</t>
        </r>
      </text>
    </comment>
    <comment ref="D55" authorId="3" shapeId="0" xr:uid="{68C066D1-A718-4867-87DA-829940E133DB}">
      <text>
        <r>
          <rPr>
            <b/>
            <sz val="8"/>
            <color indexed="81"/>
            <rFont val="Tahoma"/>
            <family val="2"/>
          </rPr>
          <t>F. Rettberg:</t>
        </r>
        <r>
          <rPr>
            <sz val="8"/>
            <color indexed="81"/>
            <rFont val="Tahoma"/>
            <family val="2"/>
          </rPr>
          <t xml:space="preserve">
additional Sensors for loading (Belt/Tray) &amp; loading check incl.!</t>
        </r>
      </text>
    </comment>
    <comment ref="F59" authorId="0" shapeId="0" xr:uid="{7A933C6E-75B7-4BE7-8438-C818126E1596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VFD incl. in Product Panel</t>
        </r>
      </text>
    </comment>
    <comment ref="D63" authorId="2" shapeId="0" xr:uid="{C0941BA6-96EF-43C7-842C-F222A039BD80}">
      <text>
        <r>
          <rPr>
            <sz val="8"/>
            <color indexed="81"/>
            <rFont val="Tahoma"/>
            <family val="2"/>
          </rPr>
          <t>Autom. Tag Reader req. dig. Interface Signals and power supply.</t>
        </r>
      </text>
    </comment>
    <comment ref="D64" authorId="2" shapeId="0" xr:uid="{27B1D1FF-D852-4A1B-A848-397FD5623ADD}">
      <text>
        <r>
          <rPr>
            <sz val="8"/>
            <color indexed="81"/>
            <rFont val="Tahoma"/>
            <family val="2"/>
          </rPr>
          <t>Autom. Tag Reader req. dig. Interface Signals and power supply.</t>
        </r>
      </text>
    </comment>
    <comment ref="D65" authorId="2" shapeId="0" xr:uid="{6251F7AA-0C49-4DD3-9956-98B09443E3A6}">
      <text>
        <r>
          <rPr>
            <sz val="8"/>
            <color indexed="81"/>
            <rFont val="Tahoma"/>
            <family val="2"/>
          </rPr>
          <t>Autom. Tag Reader req. dig. Interface Signals and power supply.</t>
        </r>
      </text>
    </comment>
    <comment ref="D66" authorId="2" shapeId="0" xr:uid="{A39FDF5E-0932-4BF1-B4D4-412CF47C8897}">
      <text>
        <r>
          <rPr>
            <sz val="8"/>
            <color indexed="81"/>
            <rFont val="Tahoma"/>
            <family val="2"/>
          </rPr>
          <t>Autom. Tag Reader req. dig. Interface Signals and power supply.</t>
        </r>
      </text>
    </comment>
    <comment ref="D67" authorId="2" shapeId="0" xr:uid="{A00A646D-6480-4ED4-B155-DC586E87551F}">
      <text>
        <r>
          <rPr>
            <sz val="8"/>
            <color indexed="81"/>
            <rFont val="Tahoma"/>
            <family val="2"/>
          </rPr>
          <t>Autom. Tag Reader with dig. Interface Signals and power supply.</t>
        </r>
      </text>
    </comment>
    <comment ref="D68" authorId="2" shapeId="0" xr:uid="{ED75044B-1697-4ACD-847E-12F5DEFD8383}">
      <text>
        <r>
          <rPr>
            <sz val="8"/>
            <color indexed="81"/>
            <rFont val="Tahoma"/>
            <family val="2"/>
          </rPr>
          <t>Autom. Tag Reader with dig. Interface Signals and power supply.</t>
        </r>
      </text>
    </comment>
    <comment ref="D69" authorId="2" shapeId="0" xr:uid="{AC948467-3D6B-49C8-881E-DFD42DFF9BB5}">
      <text>
        <r>
          <rPr>
            <sz val="8"/>
            <color indexed="81"/>
            <rFont val="Tahoma"/>
            <family val="2"/>
          </rPr>
          <t>Autom. Tag Reader with dig. Interface Signals and power supply.</t>
        </r>
      </text>
    </comment>
    <comment ref="D78" authorId="3" shapeId="0" xr:uid="{722C7307-CB4F-4A80-A097-1258A7BD2981}">
      <text>
        <r>
          <rPr>
            <b/>
            <sz val="8"/>
            <color indexed="81"/>
            <rFont val="Tahoma"/>
            <family val="2"/>
          </rPr>
          <t>F. Rettberg:</t>
        </r>
        <r>
          <rPr>
            <sz val="8"/>
            <color indexed="81"/>
            <rFont val="Tahoma"/>
            <family val="2"/>
          </rPr>
          <t xml:space="preserve">
incl. Tray-Read-St.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<sst xmlns="http://schemas.openxmlformats.org/spreadsheetml/2006/main" count="1641" uniqueCount="868">
  <si>
    <t>02-GC-BS-01</t>
  </si>
  <si>
    <t>02-GC-IW-03</t>
  </si>
  <si>
    <t>Description</t>
  </si>
  <si>
    <t>Parameter</t>
  </si>
  <si>
    <t>Comments</t>
  </si>
  <si>
    <t>Project Name</t>
  </si>
  <si>
    <t>Layout / BoQ</t>
  </si>
  <si>
    <t>Qty of Drives</t>
  </si>
  <si>
    <t>Total Conveyor Length (Inst.)</t>
  </si>
  <si>
    <t>BELT (from BoM or estimated)</t>
  </si>
  <si>
    <t>ICS (from BoM or estimated)</t>
  </si>
  <si>
    <t>BELT Metering/Straight (from BoM or estimated)</t>
  </si>
  <si>
    <t>ICS Metering/Straight (from BoM or estimated)</t>
  </si>
  <si>
    <t>Conveyor Length (average)</t>
  </si>
  <si>
    <t>Outfit Name</t>
  </si>
  <si>
    <t>MPS No.</t>
  </si>
  <si>
    <t>Pcs.</t>
  </si>
  <si>
    <t>Type</t>
  </si>
  <si>
    <t>M&gt;</t>
  </si>
  <si>
    <t>&lt;M&gt;</t>
  </si>
  <si>
    <t>M&gt;&gt;</t>
  </si>
  <si>
    <t>&lt;&lt;M&gt;&gt;</t>
  </si>
  <si>
    <t>PE</t>
  </si>
  <si>
    <t>PEP</t>
  </si>
  <si>
    <t>S/Tr</t>
  </si>
  <si>
    <t>LC</t>
  </si>
  <si>
    <t>Prox Ø 30</t>
  </si>
  <si>
    <t>Prox Ø 18</t>
  </si>
  <si>
    <t>LS</t>
  </si>
  <si>
    <t>FS</t>
  </si>
  <si>
    <t>PG</t>
  </si>
  <si>
    <t>SA</t>
  </si>
  <si>
    <t>TL1</t>
  </si>
  <si>
    <t>TL2</t>
  </si>
  <si>
    <t>TL3</t>
  </si>
  <si>
    <t>TL4</t>
  </si>
  <si>
    <t>TL5</t>
  </si>
  <si>
    <t>ES</t>
  </si>
  <si>
    <t>ESCI</t>
  </si>
  <si>
    <t>ESRT</t>
  </si>
  <si>
    <t>ESPW</t>
  </si>
  <si>
    <t>SF</t>
  </si>
  <si>
    <t>PBCI</t>
  </si>
  <si>
    <t>CS1</t>
  </si>
  <si>
    <t>CS2</t>
  </si>
  <si>
    <t>CS3</t>
  </si>
  <si>
    <t>CS4</t>
  </si>
  <si>
    <t>CS5</t>
  </si>
  <si>
    <t>ATR-L1</t>
  </si>
  <si>
    <t>ATR-L2</t>
  </si>
  <si>
    <t>ATR-L3</t>
  </si>
  <si>
    <t>ATR-C2</t>
  </si>
  <si>
    <t>ATR-D</t>
  </si>
  <si>
    <t>Ctr</t>
  </si>
  <si>
    <t>RI</t>
  </si>
  <si>
    <t>8I/8O</t>
  </si>
  <si>
    <t>4I/4O</t>
  </si>
  <si>
    <t>TrMD</t>
  </si>
  <si>
    <t>End</t>
  </si>
  <si>
    <t>BELT</t>
  </si>
  <si>
    <t>02-GC-VR-13</t>
  </si>
  <si>
    <t>02-GC-VR-14</t>
  </si>
  <si>
    <t>02-GC-VR-15</t>
  </si>
  <si>
    <t>02-GC-VR-21</t>
  </si>
  <si>
    <t>02-GC-VR-22</t>
  </si>
  <si>
    <t>02-GC-VR-23</t>
  </si>
  <si>
    <t>02-GC-VR-32</t>
  </si>
  <si>
    <t>manual Input</t>
  </si>
  <si>
    <t>internal Formular</t>
  </si>
  <si>
    <t>Total Belt</t>
  </si>
  <si>
    <t>ICS</t>
  </si>
  <si>
    <t>???</t>
  </si>
  <si>
    <t>02-GC-IW-02</t>
  </si>
  <si>
    <t>Jam Add on</t>
  </si>
  <si>
    <t>Total ICS</t>
  </si>
  <si>
    <t>Statistic Values</t>
  </si>
  <si>
    <t>General</t>
  </si>
  <si>
    <t>General PLC (Interface, Horn)</t>
  </si>
  <si>
    <t>PLC/PLC(Sorter) Interface</t>
  </si>
  <si>
    <r>
      <rPr>
        <b/>
        <u/>
        <sz val="10"/>
        <rFont val="Arial"/>
        <family val="2"/>
      </rPr>
      <t>P</t>
    </r>
    <r>
      <rPr>
        <b/>
        <sz val="10"/>
        <rFont val="Arial"/>
        <family val="2"/>
      </rPr>
      <t xml:space="preserve">ower </t>
    </r>
    <r>
      <rPr>
        <b/>
        <u/>
        <sz val="10"/>
        <rFont val="Arial"/>
        <family val="2"/>
      </rPr>
      <t>S</t>
    </r>
    <r>
      <rPr>
        <b/>
        <sz val="10"/>
        <rFont val="Arial"/>
        <family val="2"/>
      </rPr>
      <t>upply &amp; Interface</t>
    </r>
  </si>
  <si>
    <r>
      <t>230V</t>
    </r>
    <r>
      <rPr>
        <b/>
        <sz val="10"/>
        <rFont val="Arial"/>
        <family val="2"/>
      </rPr>
      <t xml:space="preserve"> P.S.</t>
    </r>
    <r>
      <rPr>
        <sz val="10"/>
        <rFont val="Arial"/>
        <family val="2"/>
      </rPr>
      <t xml:space="preserve"> req.</t>
    </r>
  </si>
  <si>
    <t>02-GF-N_-01; 02-GF-N_-02; 02-GF-N_-03</t>
  </si>
  <si>
    <t>Shutter Door / Smoke Door</t>
  </si>
  <si>
    <t xml:space="preserve">ATR - Automatic Tag Reader </t>
  </si>
  <si>
    <t xml:space="preserve">BVS - Camera ATR </t>
  </si>
  <si>
    <r>
      <rPr>
        <b/>
        <sz val="10"/>
        <rFont val="Arial"/>
        <family val="2"/>
      </rPr>
      <t>P.S.</t>
    </r>
    <r>
      <rPr>
        <sz val="10"/>
        <rFont val="Arial"/>
        <family val="2"/>
      </rPr>
      <t xml:space="preserve"> from Customer</t>
    </r>
  </si>
  <si>
    <t>X-Ray L1</t>
  </si>
  <si>
    <t>X-Ray L3</t>
  </si>
  <si>
    <t>400V P.S. req.</t>
  </si>
  <si>
    <t>Smart Units</t>
  </si>
  <si>
    <t>High Speed Diverter (HSD/HDU)</t>
  </si>
  <si>
    <t xml:space="preserve">Plough (Single Arm) Divert </t>
  </si>
  <si>
    <t>Belt Tilter Plus</t>
  </si>
  <si>
    <t>Verti-Sorter -1200</t>
  </si>
  <si>
    <t>Verti-Merge -1200</t>
  </si>
  <si>
    <t>Verti-Sorter -1800</t>
  </si>
  <si>
    <t>Belt Pusher</t>
  </si>
  <si>
    <t>Belt Vario Flip</t>
  </si>
  <si>
    <t>Belt Lift</t>
  </si>
  <si>
    <t>Belt S/C - Lift</t>
  </si>
  <si>
    <t>Tray Tilter</t>
  </si>
  <si>
    <t>Tray SmartTilter</t>
  </si>
  <si>
    <t>Tray Stacker</t>
  </si>
  <si>
    <t>Tray Line Stacker</t>
  </si>
  <si>
    <t>Tray Lift</t>
  </si>
  <si>
    <t>Tray S/C - Lift</t>
  </si>
  <si>
    <t>BHS Summary</t>
  </si>
  <si>
    <t>Total Starter &amp; VFD</t>
  </si>
  <si>
    <t>Total Drives Belt</t>
  </si>
  <si>
    <t>Total Drives</t>
  </si>
  <si>
    <t>Total Elements Belt</t>
  </si>
  <si>
    <t>Total Elements</t>
  </si>
  <si>
    <t>Total Device Qty.</t>
  </si>
  <si>
    <t>Total Device for Belt</t>
  </si>
  <si>
    <t>Total Device for ICS</t>
  </si>
  <si>
    <t>Device Description</t>
  </si>
  <si>
    <t xml:space="preserve">Drive </t>
  </si>
  <si>
    <t>Drive Reversing</t>
  </si>
  <si>
    <t>Drive 2 Speed</t>
  </si>
  <si>
    <t>Drive Reversing 2 Speed</t>
  </si>
  <si>
    <t>Photocell</t>
  </si>
  <si>
    <t>Photoelectric Proximity Switch</t>
  </si>
  <si>
    <t>Through Beam Photocell</t>
  </si>
  <si>
    <t>Light Curtain</t>
  </si>
  <si>
    <t>Proximity Switch Ø 30mm</t>
  </si>
  <si>
    <t>Proximity Switch Ø 18/12mm</t>
  </si>
  <si>
    <t>Limit Switch</t>
  </si>
  <si>
    <t>Foot Operated Switch</t>
  </si>
  <si>
    <t>Tracking Pulse Generator</t>
  </si>
  <si>
    <t>Signal Adapter</t>
  </si>
  <si>
    <t>Tower Lamp 1x + Horn</t>
  </si>
  <si>
    <t>Tower Lamp 2x + Horn (e.g. LB??)</t>
  </si>
  <si>
    <t>Tower Lamp 3x + Horn (e.g. LB??)</t>
  </si>
  <si>
    <t>Tower Lamp 4x + Horn (e.g. LB??)</t>
  </si>
  <si>
    <t>Tower Lamp 5x + Horn (e.g. LB??)</t>
  </si>
  <si>
    <t>E-Stop PB</t>
  </si>
  <si>
    <t>E-Stop Check in PB</t>
  </si>
  <si>
    <t>E-Stop PB Race-Track (Carousel)</t>
  </si>
  <si>
    <t>E-Stop Pull Wire Switch</t>
  </si>
  <si>
    <t>Safety Fence Limit Switch</t>
  </si>
  <si>
    <t>Check In Control Station (project specific)</t>
  </si>
  <si>
    <t>JAM Control Station (e.g. CS31)</t>
  </si>
  <si>
    <t>Control Station 2 operating units (e.g. CS30)</t>
  </si>
  <si>
    <t>Control Station 4 operating units (e.g. CS34)</t>
  </si>
  <si>
    <t>Control Station 6 operating units (e.g. CS16)</t>
  </si>
  <si>
    <t>Touch panel CS96 (Incheon specific)</t>
  </si>
  <si>
    <t>Volume Scanner ALIS DIM</t>
  </si>
  <si>
    <t>Tray Read Station Compl.</t>
  </si>
  <si>
    <t>Roller Inspection Device</t>
  </si>
  <si>
    <t>IMPACT67 Pro 8I/8O</t>
  </si>
  <si>
    <t>AS i 4I/4O</t>
  </si>
  <si>
    <t>Tray Merge/Divert Switch Box</t>
  </si>
  <si>
    <t>FC 0,75KW</t>
  </si>
  <si>
    <t>FC 1,1KW</t>
  </si>
  <si>
    <t>FC 1,5KW</t>
  </si>
  <si>
    <t>FC 2,2KW</t>
  </si>
  <si>
    <t>FC 3,0KW</t>
  </si>
  <si>
    <t>FC 4,0KW</t>
  </si>
  <si>
    <t>FC 5,5KW</t>
  </si>
  <si>
    <t>FC 7,5KW</t>
  </si>
  <si>
    <t xml:space="preserve">   (only for Statistics)</t>
  </si>
  <si>
    <t>Conveyor Types</t>
  </si>
  <si>
    <t>ATR-
L1</t>
  </si>
  <si>
    <t>ATR-
L2</t>
  </si>
  <si>
    <t>ATR-
L3</t>
  </si>
  <si>
    <t>ATR-
C1</t>
  </si>
  <si>
    <t>ATR-
C2</t>
  </si>
  <si>
    <t>ATR-
D</t>
  </si>
  <si>
    <t>ALIS-
DIM</t>
  </si>
  <si>
    <t>FC
0,75</t>
  </si>
  <si>
    <t>FC
1,1</t>
  </si>
  <si>
    <t>FC
1,5</t>
  </si>
  <si>
    <t>FC
2,2</t>
  </si>
  <si>
    <t>FC
3,0</t>
  </si>
  <si>
    <t>FC
4,0</t>
  </si>
  <si>
    <t>FC
5,5</t>
  </si>
  <si>
    <t>FC
7,5</t>
  </si>
  <si>
    <t>Belt</t>
  </si>
  <si>
    <t>BLWC001</t>
  </si>
  <si>
    <t>Check-In Weighing</t>
  </si>
  <si>
    <t>Bnnnxxx</t>
  </si>
  <si>
    <t>Check-In Labelling</t>
  </si>
  <si>
    <t>Check-In Dispatch</t>
  </si>
  <si>
    <t>Check-In Take Away</t>
  </si>
  <si>
    <t xml:space="preserve">SBD AutoCheck-In </t>
  </si>
  <si>
    <t>BMSC001</t>
  </si>
  <si>
    <t>Belt Metering</t>
  </si>
  <si>
    <t>Belt Straight</t>
  </si>
  <si>
    <t>BTNC001</t>
  </si>
  <si>
    <t>Belt Turn (Curve)</t>
  </si>
  <si>
    <t>BMGC001; BDDV001</t>
  </si>
  <si>
    <t>Belt Merge/Divert</t>
  </si>
  <si>
    <t>BICC001</t>
  </si>
  <si>
    <t>Belt Incline Conveyor</t>
  </si>
  <si>
    <t>BDCC001</t>
  </si>
  <si>
    <t>Belt Decline Conveyor</t>
  </si>
  <si>
    <t>BPRC001</t>
  </si>
  <si>
    <t>Belt Pier Conveyor</t>
  </si>
  <si>
    <t>BTLS001</t>
  </si>
  <si>
    <t>Belt Load Conveyor</t>
  </si>
  <si>
    <t>BHSD001</t>
  </si>
  <si>
    <t>BHDC001</t>
  </si>
  <si>
    <t>BVSU001</t>
  </si>
  <si>
    <t>Verti-Sorter - one Arm</t>
  </si>
  <si>
    <t>BVMU001</t>
  </si>
  <si>
    <t>Verti-Merge - one Arm</t>
  </si>
  <si>
    <t>Verti-Sorter - three Arm</t>
  </si>
  <si>
    <t>Carousel Arrival 2 Drives</t>
  </si>
  <si>
    <t>Carousel Departure 2 Drives</t>
  </si>
  <si>
    <t>Roller Conv./Turn</t>
  </si>
  <si>
    <t>???? Spare Conveyor ????</t>
  </si>
  <si>
    <t>Belt Manual Encoding Station</t>
  </si>
  <si>
    <t>Customs-Workstation</t>
  </si>
  <si>
    <t>TDDV001 / TIMG001</t>
  </si>
  <si>
    <t>Tray Metering Conveyor</t>
  </si>
  <si>
    <t>TSTR001 / TSRV001</t>
  </si>
  <si>
    <t>Tray Straight Conveyor</t>
  </si>
  <si>
    <t>TCRV001</t>
  </si>
  <si>
    <t>Tray Turn Active</t>
  </si>
  <si>
    <t>TMRG001</t>
  </si>
  <si>
    <t>Tray Merge Conveyor</t>
  </si>
  <si>
    <t>TDIV001</t>
  </si>
  <si>
    <t>Tray Divert Conveyor</t>
  </si>
  <si>
    <t>TICL001 / TDCL001</t>
  </si>
  <si>
    <t>Tray Incline/Decline</t>
  </si>
  <si>
    <t>TSTT002</t>
  </si>
  <si>
    <t>Tnnnxxx</t>
  </si>
  <si>
    <t>TSMT001</t>
  </si>
  <si>
    <t>TSST001</t>
  </si>
  <si>
    <t>TLST001</t>
  </si>
  <si>
    <t>TRAT001</t>
  </si>
  <si>
    <t>Tray Right Angel</t>
  </si>
  <si>
    <t>TMSC001</t>
  </si>
  <si>
    <t>Tray Maintenance Station</t>
  </si>
  <si>
    <t>Tray Manual Encoding Station</t>
  </si>
  <si>
    <t>THSC001</t>
  </si>
  <si>
    <t>Tray High Speed Straight</t>
  </si>
  <si>
    <t>TTLS001</t>
  </si>
  <si>
    <t>Top Load Tray</t>
  </si>
  <si>
    <t>Others</t>
  </si>
  <si>
    <t>BSSD001</t>
  </si>
  <si>
    <t>Chute with tracking</t>
  </si>
  <si>
    <t>BSCR001</t>
  </si>
  <si>
    <t>Laser 360° LCB750/10</t>
  </si>
  <si>
    <t>BSCR002</t>
  </si>
  <si>
    <t>Laser 360° LCB750/12</t>
  </si>
  <si>
    <t>BSCR003</t>
  </si>
  <si>
    <t>Laser 360° LCB750/14</t>
  </si>
  <si>
    <t>RFID Add-on</t>
  </si>
  <si>
    <t>BSCR004</t>
  </si>
  <si>
    <t>RFID Standalone System</t>
  </si>
  <si>
    <t>BSCR005</t>
  </si>
  <si>
    <t>ALIS Hybrid System ATR+RFID</t>
  </si>
  <si>
    <t>BSCR006</t>
  </si>
  <si>
    <t>ALIS CAM: Add-on  8 x cameras</t>
  </si>
  <si>
    <t>ATR Diagnostic RTD 400</t>
  </si>
  <si>
    <t>BOHD001</t>
  </si>
  <si>
    <t>Height/Length Check</t>
  </si>
  <si>
    <t>Width Check</t>
  </si>
  <si>
    <t>Step Through (Tray)</t>
  </si>
  <si>
    <t xml:space="preserve">Track. Devices PG (addit.) </t>
  </si>
  <si>
    <t xml:space="preserve">Track. Devices PE (addit.) </t>
  </si>
  <si>
    <t>Tray Empty Check</t>
  </si>
  <si>
    <t xml:space="preserve">Tray Read St. (addit.) </t>
  </si>
  <si>
    <t>Spare 1</t>
  </si>
  <si>
    <t>Spare 2</t>
  </si>
  <si>
    <t>Spare 3</t>
  </si>
  <si>
    <t>Spare 4</t>
  </si>
  <si>
    <t>Spare 5</t>
  </si>
  <si>
    <t>Reference ID to
`PLC_Material_Costs´</t>
  </si>
  <si>
    <t>Element Description</t>
  </si>
  <si>
    <t>Element Beschreibung</t>
  </si>
  <si>
    <t>Manufacturer / Typ</t>
  </si>
  <si>
    <t>Qty.</t>
  </si>
  <si>
    <t>Main Distribution Cabinet</t>
  </si>
  <si>
    <t>Haupt-Niederspannungsverteilungen</t>
  </si>
  <si>
    <t>define manually</t>
  </si>
  <si>
    <t>Power Distribution</t>
  </si>
  <si>
    <t>Niederspannungsverteilungen</t>
  </si>
  <si>
    <t>PDP</t>
  </si>
  <si>
    <t>PDP Distribution Cabinet SIVACON</t>
  </si>
  <si>
    <t>PDP Niederspannungsverteilung SIVACON</t>
  </si>
  <si>
    <t>Compensation</t>
  </si>
  <si>
    <t>Kompensation</t>
  </si>
  <si>
    <t>PFCLP</t>
  </si>
  <si>
    <t xml:space="preserve">Reactive Power Compensation per PLC Cabinet </t>
  </si>
  <si>
    <t>RC Kompensation (pro PLC)</t>
  </si>
  <si>
    <t>Comsys</t>
  </si>
  <si>
    <t>PFCPDP</t>
  </si>
  <si>
    <t xml:space="preserve">Reactive Power Compensation per PDP Cabinet </t>
  </si>
  <si>
    <t>RC Kompensation (pro PDP)</t>
  </si>
  <si>
    <t>Control Cabinets</t>
  </si>
  <si>
    <t>Steuerschränke</t>
  </si>
  <si>
    <t>Check-In Distr. &amp; Starter &amp; PLC Cabinet (from CAN, 2 per CI Island))</t>
  </si>
  <si>
    <t xml:space="preserve">CB001 </t>
  </si>
  <si>
    <t>Check-In I/O Box for 4 Counters (from CAN)</t>
  </si>
  <si>
    <t>LP120</t>
  </si>
  <si>
    <t>LP220</t>
  </si>
  <si>
    <t>Leistungsunterverteiler</t>
  </si>
  <si>
    <t>LB2014</t>
  </si>
  <si>
    <t>LB lokale Profinet Box</t>
  </si>
  <si>
    <t>LB2114</t>
  </si>
  <si>
    <t>LB lokale Profinet Box (with F-DI/DO)</t>
  </si>
  <si>
    <t>BtL</t>
  </si>
  <si>
    <t>Belt Lift Cabinet</t>
  </si>
  <si>
    <t>BtS/C</t>
  </si>
  <si>
    <t>Belt S/C - Lift Cabinet</t>
  </si>
  <si>
    <t>BtVSU</t>
  </si>
  <si>
    <t>Verti-Sorter  -1200 Cabinet</t>
  </si>
  <si>
    <t>H_VSU02_0000_Vxxx</t>
  </si>
  <si>
    <t>BtHD</t>
  </si>
  <si>
    <t>High Speed Diverter Cabinet</t>
  </si>
  <si>
    <t>H_HD001_0000_Vxxx</t>
  </si>
  <si>
    <t>Cabinet come together with mechanical equipment</t>
  </si>
  <si>
    <t>BtPD</t>
  </si>
  <si>
    <t>Plough Divert Cabinet</t>
  </si>
  <si>
    <t>BtST</t>
  </si>
  <si>
    <t>Belt Tilter Cabinet</t>
  </si>
  <si>
    <t>H_ST003_0000_Vxxx</t>
  </si>
  <si>
    <t>TrSMT</t>
  </si>
  <si>
    <t>Tray SmartTilter Cabinet</t>
  </si>
  <si>
    <t>TrSS</t>
  </si>
  <si>
    <t>Tray Stacker Cabinet</t>
  </si>
  <si>
    <t>H_SS001_0000_Vxxx</t>
  </si>
  <si>
    <t>TrLS</t>
  </si>
  <si>
    <t>Tray Line Stacker Cabinet</t>
  </si>
  <si>
    <t>H_LS001_0000_Vxxx</t>
  </si>
  <si>
    <t>TrVSU</t>
  </si>
  <si>
    <t>Tray VSU/VMU Cabinet</t>
  </si>
  <si>
    <t>TrL</t>
  </si>
  <si>
    <t>Tray Lift Cabinet</t>
  </si>
  <si>
    <t>TrS/C</t>
  </si>
  <si>
    <t>Tray S/C - Lift Cabinet</t>
  </si>
  <si>
    <t>Emergency Stop Control Cabintes</t>
  </si>
  <si>
    <t>Not-Aus Steuerung</t>
  </si>
  <si>
    <t>EP006</t>
  </si>
  <si>
    <t>EP E-Stop PLC Cabinet  S7-1500F</t>
  </si>
  <si>
    <t>E-Stop PLC Cabinet  S7-1500F</t>
  </si>
  <si>
    <t>H_EP006</t>
  </si>
  <si>
    <t>EP004</t>
  </si>
  <si>
    <t>EP E-Stop PLC Cabinet  S7-1500F(H)</t>
  </si>
  <si>
    <t>E-Stop PLC Cabinet  S7-1500F(H)</t>
  </si>
  <si>
    <t>H_EP004</t>
  </si>
  <si>
    <t>Emergency Stop Sub Cabinets</t>
  </si>
  <si>
    <t>Not-Aus Unterverteiler</t>
  </si>
  <si>
    <t>EB063</t>
  </si>
  <si>
    <t>EB E-Stop I/O Box</t>
  </si>
  <si>
    <r>
      <t>EB Not-Aus Unterverteiler (</t>
    </r>
    <r>
      <rPr>
        <strike/>
        <sz val="10"/>
        <rFont val="Arial"/>
        <family val="2"/>
      </rPr>
      <t>28 F-DO</t>
    </r>
    <r>
      <rPr>
        <sz val="10"/>
        <rFont val="Arial"/>
        <family val="2"/>
      </rPr>
      <t>, 32 dopplte F-DI)</t>
    </r>
  </si>
  <si>
    <t>H_EB063</t>
  </si>
  <si>
    <t>calculated with 25 E-Stop PB per Box</t>
  </si>
  <si>
    <t>Emergency Stop Equipment</t>
  </si>
  <si>
    <t>Not-Aus / Sicherheitsequipment</t>
  </si>
  <si>
    <t>Emergency Stop Push Button</t>
  </si>
  <si>
    <t>Not-Aus Taster</t>
  </si>
  <si>
    <t>Harting</t>
  </si>
  <si>
    <t>Emergency Stop Push Button Check-in</t>
  </si>
  <si>
    <t>Not-Aus Taster CI</t>
  </si>
  <si>
    <t>Siemens</t>
  </si>
  <si>
    <t>Emergency Stop Push Button Race Track</t>
  </si>
  <si>
    <t>Not-Aus Taster RT</t>
  </si>
  <si>
    <t>ESP</t>
  </si>
  <si>
    <t>Not-Aus Sicherheitsseilzugschalter für 20m</t>
  </si>
  <si>
    <t>update if required</t>
  </si>
  <si>
    <t>Network</t>
  </si>
  <si>
    <t>Netzwerk</t>
  </si>
  <si>
    <t>Hub LAN Panel</t>
  </si>
  <si>
    <t>Hub LAN Netzwerkschrank</t>
  </si>
  <si>
    <t>Server-Room (Distribution)</t>
  </si>
  <si>
    <t>Serverraum (Verteiler)</t>
  </si>
  <si>
    <t>X202-2IRT Managed Switch</t>
  </si>
  <si>
    <t>X204-2 Managed Switch</t>
  </si>
  <si>
    <t>Interfaces</t>
  </si>
  <si>
    <t>Schnittstellen</t>
  </si>
  <si>
    <t>Interface PLC/PLC DP/DP external</t>
  </si>
  <si>
    <t>Interface PLC/PLC DP/DP extern</t>
  </si>
  <si>
    <t>Interface Fire/Security Door/VSU/HSD/Lift</t>
  </si>
  <si>
    <t>Schnittstelle Brandschutztor/VSU/HSD/Lift/Scale</t>
  </si>
  <si>
    <t>Interface HBS 1</t>
  </si>
  <si>
    <t>Schnittstelle HBS</t>
  </si>
  <si>
    <t>Interface HBS 3</t>
  </si>
  <si>
    <t>Schnittstelle HBS III (CTX 9500)</t>
  </si>
  <si>
    <t>Interface ATR</t>
  </si>
  <si>
    <t>Schnittstelle ATR / RFID/Hand Scanner</t>
  </si>
  <si>
    <t>Power Supplies</t>
  </si>
  <si>
    <t>Einspeisung / Sonstiges</t>
  </si>
  <si>
    <t>UPSPanel</t>
  </si>
  <si>
    <t>UPS Panel  (PLC, E-Stop, EBS, TTS)</t>
  </si>
  <si>
    <t>UPS Schrank (PLC, E-Stop, EBS, TTS)</t>
  </si>
  <si>
    <t>Special Units</t>
  </si>
  <si>
    <t>PWSockets</t>
  </si>
  <si>
    <t xml:space="preserve">230V Power Socket System </t>
  </si>
  <si>
    <t>Repeater</t>
  </si>
  <si>
    <t>Fieldbus Repeater (AS-i or PN)</t>
  </si>
  <si>
    <t>Feldbus Repeater (AS-i oder PN)</t>
  </si>
  <si>
    <t>Monitoring Devices</t>
  </si>
  <si>
    <t>Kontrollen / Überwachungen</t>
  </si>
  <si>
    <t>ALIS DIM</t>
  </si>
  <si>
    <t>Sick ALIS DIM</t>
  </si>
  <si>
    <t>FB150</t>
  </si>
  <si>
    <t>Roller Inspection Unit</t>
  </si>
  <si>
    <t>Rollenprüfstations Box inkl. Siganaladapter</t>
  </si>
  <si>
    <t>ST</t>
  </si>
  <si>
    <t>Step Through (2 x 2 PB St. plus 1 Control Box)</t>
  </si>
  <si>
    <t>only Box, Sensors and CS covered</t>
  </si>
  <si>
    <t>Control Stations</t>
  </si>
  <si>
    <t>Anzeigen / Signalsäulen / Bedienelemente</t>
  </si>
  <si>
    <t>Bedienkonsolen CI</t>
  </si>
  <si>
    <r>
      <rPr>
        <b/>
        <sz val="10"/>
        <rFont val="Arial"/>
        <family val="2"/>
      </rPr>
      <t>CS1</t>
    </r>
    <r>
      <rPr>
        <sz val="10"/>
        <rFont val="Arial"/>
        <family val="2"/>
      </rPr>
      <t>: JAM Control Station (e.g. CS31)</t>
    </r>
  </si>
  <si>
    <t>Bedienkonsolen JAM</t>
  </si>
  <si>
    <t>3SU..</t>
  </si>
  <si>
    <r>
      <rPr>
        <b/>
        <sz val="10"/>
        <rFont val="Arial"/>
        <family val="2"/>
      </rPr>
      <t>CS2</t>
    </r>
    <r>
      <rPr>
        <sz val="10"/>
        <rFont val="Arial"/>
        <family val="2"/>
      </rPr>
      <t>: Control Station 2 operating units (e.g. CS30)</t>
    </r>
  </si>
  <si>
    <t>Bedienkonsolen 2 Stellen</t>
  </si>
  <si>
    <r>
      <rPr>
        <b/>
        <sz val="10"/>
        <rFont val="Arial"/>
        <family val="2"/>
      </rPr>
      <t>CS3</t>
    </r>
    <r>
      <rPr>
        <sz val="10"/>
        <rFont val="Arial"/>
        <family val="2"/>
      </rPr>
      <t>: Control Station 4 operating units (e.g. CS34)</t>
    </r>
  </si>
  <si>
    <t>Bedienkonsolen 4 Stellen</t>
  </si>
  <si>
    <r>
      <rPr>
        <b/>
        <sz val="10"/>
        <rFont val="Arial"/>
        <family val="2"/>
      </rPr>
      <t>CS4</t>
    </r>
    <r>
      <rPr>
        <sz val="10"/>
        <rFont val="Arial"/>
        <family val="2"/>
      </rPr>
      <t>: Control Station 6 operating units (e.g. CS16)</t>
    </r>
  </si>
  <si>
    <t>Bedienkonsolen 6 Stellen</t>
  </si>
  <si>
    <r>
      <rPr>
        <b/>
        <sz val="10"/>
        <rFont val="Arial"/>
        <family val="2"/>
      </rPr>
      <t>CS5</t>
    </r>
    <r>
      <rPr>
        <sz val="10"/>
        <rFont val="Arial"/>
        <family val="2"/>
      </rPr>
      <t>: Touch panel CS96 (Incheon specific)</t>
    </r>
  </si>
  <si>
    <t>Bedienkonsolen, CS 96 Touch panel</t>
  </si>
  <si>
    <r>
      <rPr>
        <b/>
        <sz val="10"/>
        <rFont val="Arial"/>
        <family val="2"/>
      </rPr>
      <t>TL1</t>
    </r>
    <r>
      <rPr>
        <sz val="10"/>
        <rFont val="Arial"/>
        <family val="2"/>
      </rPr>
      <t>: Tower Lamp 1x (e.g. LB21)</t>
    </r>
  </si>
  <si>
    <t>Signalsäule Lampe</t>
  </si>
  <si>
    <r>
      <rPr>
        <b/>
        <sz val="10"/>
        <rFont val="Arial"/>
        <family val="2"/>
      </rPr>
      <t>TL2</t>
    </r>
    <r>
      <rPr>
        <sz val="10"/>
        <rFont val="Arial"/>
        <family val="2"/>
      </rPr>
      <t>: Tower Lamp 1x + Horn (e.g. LB??)</t>
    </r>
  </si>
  <si>
    <t>Signalsäule Lampe + Horn</t>
  </si>
  <si>
    <r>
      <rPr>
        <b/>
        <sz val="10"/>
        <rFont val="Arial"/>
        <family val="2"/>
      </rPr>
      <t>TL3</t>
    </r>
    <r>
      <rPr>
        <sz val="10"/>
        <rFont val="Arial"/>
        <family val="2"/>
      </rPr>
      <t>: Tower Lamp 2x + Horn (e.g. LB??)</t>
    </r>
  </si>
  <si>
    <t>Signalsäule 2 x Lampe + Horn</t>
  </si>
  <si>
    <r>
      <rPr>
        <b/>
        <sz val="10"/>
        <rFont val="Arial"/>
        <family val="2"/>
      </rPr>
      <t>TL4</t>
    </r>
    <r>
      <rPr>
        <sz val="10"/>
        <rFont val="Arial"/>
        <family val="2"/>
      </rPr>
      <t>: Tower Lamp 3x + Horn (e.g. LB??)</t>
    </r>
  </si>
  <si>
    <t>Signalsäule 3 x Lampe + Horn</t>
  </si>
  <si>
    <r>
      <rPr>
        <b/>
        <sz val="10"/>
        <rFont val="Arial"/>
        <family val="2"/>
      </rPr>
      <t>TL5</t>
    </r>
    <r>
      <rPr>
        <sz val="10"/>
        <rFont val="Arial"/>
        <family val="2"/>
      </rPr>
      <t>: Tower Lamp 4x + Horn (e.g. LB??)</t>
    </r>
  </si>
  <si>
    <t>Signalsäule 4 x Lampe + Horn</t>
  </si>
  <si>
    <t>Sensors</t>
  </si>
  <si>
    <t>Sensorik</t>
  </si>
  <si>
    <t>GL10</t>
  </si>
  <si>
    <t>Photocell with reflector</t>
  </si>
  <si>
    <t>Lichtschranke inkl. Reflektor</t>
  </si>
  <si>
    <t>GL10-F4551</t>
  </si>
  <si>
    <t>WTB26P</t>
  </si>
  <si>
    <t>Photoelectric Sensor</t>
  </si>
  <si>
    <t>Lichttaster</t>
  </si>
  <si>
    <t>WTB26P-24161120A00</t>
  </si>
  <si>
    <t>GSE10</t>
  </si>
  <si>
    <t>Send/Receive Photocell</t>
  </si>
  <si>
    <t>Sende/ Empfänger Lichtschranke</t>
  </si>
  <si>
    <t>GSE10-P4111</t>
  </si>
  <si>
    <t>ELG3</t>
  </si>
  <si>
    <t xml:space="preserve">Light Curtain </t>
  </si>
  <si>
    <t>Lichtgitter</t>
  </si>
  <si>
    <t>ELG3-1410P521</t>
  </si>
  <si>
    <t>Proximity Switch 30mm</t>
  </si>
  <si>
    <t>Initiatoren 30mm Zylinder</t>
  </si>
  <si>
    <t>Proximity Switch 18mm</t>
  </si>
  <si>
    <t>Initiator 18mm Zylinder</t>
  </si>
  <si>
    <t>IM18-12NPO-ZC1</t>
  </si>
  <si>
    <t>Endschalter (Rolle)</t>
  </si>
  <si>
    <t>3SE2200-1G</t>
  </si>
  <si>
    <t>Safety Fence Überwachung</t>
  </si>
  <si>
    <t>Foot Switch CI</t>
  </si>
  <si>
    <t>Fußschalter</t>
  </si>
  <si>
    <t>Tracking Puls Generator</t>
  </si>
  <si>
    <t>Tracking Incrementalgeber</t>
  </si>
  <si>
    <t>SICK</t>
  </si>
  <si>
    <t>I/O PN</t>
  </si>
  <si>
    <t>IMPACT67 Pro PN DIO8</t>
  </si>
  <si>
    <t>Murr</t>
  </si>
  <si>
    <t>Service Tools</t>
  </si>
  <si>
    <t>Service Werkzeuge</t>
  </si>
  <si>
    <t>PDv</t>
  </si>
  <si>
    <t>Programming Device</t>
  </si>
  <si>
    <t>Programmiergerät</t>
  </si>
  <si>
    <t>Förderelemente komplett bestückt</t>
  </si>
  <si>
    <t>FC0,75</t>
  </si>
  <si>
    <t>VFD - 0,75 kW</t>
  </si>
  <si>
    <t>G115D</t>
  </si>
  <si>
    <t>FC1,1</t>
  </si>
  <si>
    <t>VFD - 1,1 kW</t>
  </si>
  <si>
    <t>FC1,5</t>
  </si>
  <si>
    <t>VFD - 1,5 kW</t>
  </si>
  <si>
    <t>FC2,2</t>
  </si>
  <si>
    <t>VFD - 2,2 kW</t>
  </si>
  <si>
    <t>FC3</t>
  </si>
  <si>
    <t>VFD - 3 kW</t>
  </si>
  <si>
    <t>FC4</t>
  </si>
  <si>
    <t>VFD - 4 kW</t>
  </si>
  <si>
    <t>FC5,5</t>
  </si>
  <si>
    <t>VFD - 5,5 kW</t>
  </si>
  <si>
    <t>FC7,5</t>
  </si>
  <si>
    <t>VFD - 7,5 kW</t>
  </si>
  <si>
    <t>FB650</t>
  </si>
  <si>
    <t>Merge / Divert Switch Control Box</t>
  </si>
  <si>
    <t>H_FB650_0000_Vxxx</t>
  </si>
  <si>
    <t>Identification Units</t>
  </si>
  <si>
    <t>Identifikationssystem</t>
  </si>
  <si>
    <t>TrTAG</t>
  </si>
  <si>
    <t>RFID Codetag RF 160C</t>
  </si>
  <si>
    <t>Siemens RF 160C</t>
  </si>
  <si>
    <t>TrRFID</t>
  </si>
  <si>
    <t>Tray - ID - System RF 160C</t>
  </si>
  <si>
    <t>Tray - Lesestation RF 160C</t>
  </si>
  <si>
    <t>Sick ALIS</t>
  </si>
  <si>
    <t>ATR-R1</t>
  </si>
  <si>
    <t>ATR-R2</t>
  </si>
  <si>
    <t>Cables</t>
  </si>
  <si>
    <t>0.34 x (2x2) Copper</t>
  </si>
  <si>
    <t>18x1.5</t>
  </si>
  <si>
    <t>1x120E</t>
  </si>
  <si>
    <t>1x25E</t>
  </si>
  <si>
    <t>1x95</t>
  </si>
  <si>
    <t>1x95E</t>
  </si>
  <si>
    <t>2x1.5</t>
  </si>
  <si>
    <t>2x1.5 AS-i (BLACK)</t>
  </si>
  <si>
    <t>3x2.5</t>
  </si>
  <si>
    <t>3x4</t>
  </si>
  <si>
    <t>4x1.5</t>
  </si>
  <si>
    <t>4x185</t>
  </si>
  <si>
    <t>4x25</t>
  </si>
  <si>
    <t>5x1.5</t>
  </si>
  <si>
    <t>5x10</t>
  </si>
  <si>
    <t>5x16</t>
  </si>
  <si>
    <t>5x25</t>
  </si>
  <si>
    <t>5x6</t>
  </si>
  <si>
    <t>7x1.5</t>
  </si>
  <si>
    <t xml:space="preserve">FO FRNC Cable (50/125/OM2) </t>
  </si>
  <si>
    <t>Reference ID to "Master_Containment"</t>
  </si>
  <si>
    <t>Cables Containment-Trunking</t>
  </si>
  <si>
    <t>ASP85</t>
  </si>
  <si>
    <t>ADJUSTABLE SPLICE PLATE 85</t>
  </si>
  <si>
    <t>BC</t>
  </si>
  <si>
    <t>BEAM CLAMP</t>
  </si>
  <si>
    <t>BE85200</t>
  </si>
  <si>
    <t>Blind End 85.200</t>
  </si>
  <si>
    <t>BE85300</t>
  </si>
  <si>
    <t>Blind End 85.300</t>
  </si>
  <si>
    <t>BS85</t>
  </si>
  <si>
    <t>BARRIER STRIP 85</t>
  </si>
  <si>
    <t>CAVE200</t>
  </si>
  <si>
    <t>200 Cover for Adjustable Vertical Elbow</t>
  </si>
  <si>
    <t>CAVE300</t>
  </si>
  <si>
    <t>300 Cover for Adjustable Vertical Elbow</t>
  </si>
  <si>
    <t>CAVE400</t>
  </si>
  <si>
    <t>400 Cover for Adjustable Vertical Elbow</t>
  </si>
  <si>
    <t>CAVE600</t>
  </si>
  <si>
    <t>600 Cover for Adjustable Vertical Elbow</t>
  </si>
  <si>
    <t>CR200</t>
  </si>
  <si>
    <t>C-RAIL (200mm LENGTH)</t>
  </si>
  <si>
    <t>CR400</t>
  </si>
  <si>
    <t>C-RAIL (400mm LENGTH)</t>
  </si>
  <si>
    <t>CR600</t>
  </si>
  <si>
    <t>C-RAIL (600mm LENGTH)</t>
  </si>
  <si>
    <t>EHTP200x85</t>
  </si>
  <si>
    <t>200x85 EXTENSION HORIZONTAL T-PIECE</t>
  </si>
  <si>
    <t>EHTP300x85</t>
  </si>
  <si>
    <t>300x85 EXTENSION HORIZONTAL T-PIECE</t>
  </si>
  <si>
    <t>EHTP400x85</t>
  </si>
  <si>
    <t>400x85 EXTENSION HORIZONTAL T-PIECE</t>
  </si>
  <si>
    <t>EHTP600x85</t>
  </si>
  <si>
    <t>600x85 EXTENSION HORIZONTAL T-PIECE</t>
  </si>
  <si>
    <t>EHTPC200</t>
  </si>
  <si>
    <t>200 EXTENSION HORIZONTAL T-PIECE COVER</t>
  </si>
  <si>
    <t>EHTPC300</t>
  </si>
  <si>
    <t>300 EXTENSION HORIZONTAL T-PIECE COVER</t>
  </si>
  <si>
    <t>EHTPC400</t>
  </si>
  <si>
    <t>400 EXTENSION HORIZONTAL T-PIECE COVER</t>
  </si>
  <si>
    <t>EHTPC600</t>
  </si>
  <si>
    <t>600 EXTENSION HORIZONTAL T-PIECE COVER</t>
  </si>
  <si>
    <t>FAVE200x85</t>
  </si>
  <si>
    <t>200x85 Flexible Adjustable Vertical Elbow</t>
  </si>
  <si>
    <t>FAVE300x85</t>
  </si>
  <si>
    <t>300x85 Flexible Adjustable Vertical Elbow</t>
  </si>
  <si>
    <t>FAVE400x85</t>
  </si>
  <si>
    <t>400x85 Flexible Adjustable Vertical Elbow</t>
  </si>
  <si>
    <t>FAVE600x85</t>
  </si>
  <si>
    <t>600x85 Flexible Adjustable Vertical Elbow</t>
  </si>
  <si>
    <t>FDBF</t>
  </si>
  <si>
    <t>FDB FUNNEL</t>
  </si>
  <si>
    <t>FHE200x85</t>
  </si>
  <si>
    <t>200x85 FLEXIBLE HORIZONTAL ELBOW</t>
  </si>
  <si>
    <t>FHE300x85</t>
  </si>
  <si>
    <t>300x85 FLEXIBLE HORIZONTAL ELBOW</t>
  </si>
  <si>
    <t>FHE400x85</t>
  </si>
  <si>
    <t>400x85 FLEXIBLE HORIZONTAL ELBOW</t>
  </si>
  <si>
    <t>FHE600x85</t>
  </si>
  <si>
    <t>600x85 FLEXIBLE HORIZONTAL ELBOW</t>
  </si>
  <si>
    <t>FHEC200</t>
  </si>
  <si>
    <t>200 FLEXIBLE HORIZONTAL ELBOW COVER</t>
  </si>
  <si>
    <t>FHEC300</t>
  </si>
  <si>
    <t>300 FLEXIBLE HORIZONTAL ELBOW COVER</t>
  </si>
  <si>
    <t>FHEC400</t>
  </si>
  <si>
    <t>400 FLEXIBLE HORIZONTAL ELBOW COVER</t>
  </si>
  <si>
    <t>FHEC600</t>
  </si>
  <si>
    <t>600 FLEXIBLE HORIZONTAL ELBOW COVER</t>
  </si>
  <si>
    <t>HDCT200x85</t>
  </si>
  <si>
    <t>200x85 HEAVY DUTY CABLE TRAY</t>
  </si>
  <si>
    <t>HDCT300x85</t>
  </si>
  <si>
    <t>300x85 HEAVY DUTY CABLE TRAY</t>
  </si>
  <si>
    <t>HDCT400x85</t>
  </si>
  <si>
    <t>400x85 HEAVY DUTY CABLE TRAY</t>
  </si>
  <si>
    <t>HDCT600x85</t>
  </si>
  <si>
    <t>600x85 HEAVY DUTY CABLE TRAY</t>
  </si>
  <si>
    <t>HDCTC200</t>
  </si>
  <si>
    <t>200 HEAVY DUTY CABLE TRAY COVER</t>
  </si>
  <si>
    <t>HDCTC300</t>
  </si>
  <si>
    <t>300 HEAVY DUTY CABLE TRAY COVER</t>
  </si>
  <si>
    <t>HDCTC400</t>
  </si>
  <si>
    <t>400 HEAVY DUTY CABLE TRAY COVER</t>
  </si>
  <si>
    <t>HDCTC600</t>
  </si>
  <si>
    <t>600 HEAVY DUTY CABLE TRAY COVER</t>
  </si>
  <si>
    <t>MHBM8</t>
  </si>
  <si>
    <t>Mushroom Head Bolt M8</t>
  </si>
  <si>
    <t>MPBS200</t>
  </si>
  <si>
    <t>200 mm MOUNTING PLATE FOR BARRIER STRIP</t>
  </si>
  <si>
    <t>MPBS300</t>
  </si>
  <si>
    <t>300 mm MOUNTING PLATE FOR BARRIER STRIP</t>
  </si>
  <si>
    <t>MPBS400</t>
  </si>
  <si>
    <t>400 mm MOUNTING PLATE FOR BARRIER STRIP</t>
  </si>
  <si>
    <t>MPBS600</t>
  </si>
  <si>
    <t>600 mm MOUNTING PLATE FOR BARRIER STRIP</t>
  </si>
  <si>
    <t>RHB</t>
  </si>
  <si>
    <t>Round Head Bolt</t>
  </si>
  <si>
    <t>SPBS</t>
  </si>
  <si>
    <t>SPLICE PLATE FOR BARRIER STRIP</t>
  </si>
  <si>
    <t>SSNM8</t>
  </si>
  <si>
    <t>Sloped Sliding Nut M8</t>
  </si>
  <si>
    <t>USSSP200</t>
  </si>
  <si>
    <t>U shaped single splice plate 200 with nuts and bolts</t>
  </si>
  <si>
    <t>USSSP300</t>
  </si>
  <si>
    <t>U shaped single splice plate 300 with nuts and bolts</t>
  </si>
  <si>
    <t>VIE45200x85</t>
  </si>
  <si>
    <t>200x85 VERTICAL INSIDE ELBOW 45°</t>
  </si>
  <si>
    <t>VIE45300x85</t>
  </si>
  <si>
    <t>300x85 VERTICAL INSIDE ELBOW 45°</t>
  </si>
  <si>
    <t>VIE45C200</t>
  </si>
  <si>
    <t>200 VERTICAL INSIDE ELBOW 45° COVER</t>
  </si>
  <si>
    <t>VIE45C300</t>
  </si>
  <si>
    <t>300 VERTICAL INSIDE ELBOW 45° COVER</t>
  </si>
  <si>
    <t>VOE45200</t>
  </si>
  <si>
    <t>200 VERTICAL OUTSIDE ELBOW 45° COVER</t>
  </si>
  <si>
    <t>VOE45200x85</t>
  </si>
  <si>
    <t>200x85 VERTICAL OUTSIDE ELBOW 45°</t>
  </si>
  <si>
    <t>VOE45300x85</t>
  </si>
  <si>
    <t>300x85 VERTICAL OUTSIDE ELBOW 45°</t>
  </si>
  <si>
    <t>VOE45C300</t>
  </si>
  <si>
    <t>300 VERTICAL OUTSIDE ELBOW 45° COVER</t>
  </si>
  <si>
    <t>Cables Containment-Ladder</t>
  </si>
  <si>
    <t>Br1000</t>
  </si>
  <si>
    <t>Bracket 1000mm,heavy duty,f.overhead hangers HT/HI,HDGAF</t>
  </si>
  <si>
    <t>Br500</t>
  </si>
  <si>
    <t>Bracket 500mm,heavy duty,f.overhead hangers HT/HI,HDGAF</t>
  </si>
  <si>
    <t>Br700</t>
  </si>
  <si>
    <t>Bracket 700mm,heavy duty,f.overhead hangers HT/HI,HDGAF</t>
  </si>
  <si>
    <t>CL100x400</t>
  </si>
  <si>
    <t>Cable Ladder, 100x400mm, t=2mm, L=3m, HDGAF</t>
  </si>
  <si>
    <t>CL100x600</t>
  </si>
  <si>
    <t>Cable Ladder, 100x600mm, t=2mm, L=3m, HDGAF</t>
  </si>
  <si>
    <t>CL100x900</t>
  </si>
  <si>
    <t>Cable Ladder, 100x900mm, t=2mm, L=3m, HDGAF</t>
  </si>
  <si>
    <t>HDC</t>
  </si>
  <si>
    <t>Hold down clamp, HDGAF</t>
  </si>
  <si>
    <t>HE45100x400</t>
  </si>
  <si>
    <t>Horizontal elbow 45°, 100x400mm, HDGAF</t>
  </si>
  <si>
    <t>HE45100x600</t>
  </si>
  <si>
    <t>Horizontal elbow 45°,100x600mm, HDGAF</t>
  </si>
  <si>
    <t>HE45100x900</t>
  </si>
  <si>
    <t>Horizontal elbow 45°, 100x900mm, HDGAF</t>
  </si>
  <si>
    <t>HT100x400</t>
  </si>
  <si>
    <t>Horizontal Tee, 100x400mm, HDGAF</t>
  </si>
  <si>
    <t>HT100x600</t>
  </si>
  <si>
    <t>Horizontal Tee,100x600mm, HDGAF</t>
  </si>
  <si>
    <t>HT100x900</t>
  </si>
  <si>
    <t>Horizontal Tee, 100x900mm, HDGAF</t>
  </si>
  <si>
    <t>OHIP</t>
  </si>
  <si>
    <t>Overhead hanger I-profile, HDGAF</t>
  </si>
  <si>
    <t>SSCU100</t>
  </si>
  <si>
    <t>Straight section connector U 100, 2 pieces required per joint, HDGAF</t>
  </si>
  <si>
    <t>UT600x400x600</t>
  </si>
  <si>
    <t>Unequal Tee 600 x 400 x 600 mm</t>
  </si>
  <si>
    <t>UT600x900x600</t>
  </si>
  <si>
    <t>Unequal Tee 600 x 900 x 600 mm</t>
  </si>
  <si>
    <t>UT900x400x900</t>
  </si>
  <si>
    <t>Unequal Tee 900 x 400 x 900 mm</t>
  </si>
  <si>
    <t>UT900x600x900</t>
  </si>
  <si>
    <t>Unequal Tee 900 x 600 x 900 mm</t>
  </si>
  <si>
    <t>VE45</t>
  </si>
  <si>
    <t>Vertical elbow 45°, HDGAF</t>
  </si>
  <si>
    <t>VOE45100x400</t>
  </si>
  <si>
    <t>Vertical outside elbow 45°,100x400mm, HDGAF</t>
  </si>
  <si>
    <t>VOE45100x600</t>
  </si>
  <si>
    <t>Vertical outside elbow 45°, 100x600mm, HDGAF</t>
  </si>
  <si>
    <t>VOE45100x900</t>
  </si>
  <si>
    <t>Vertical outside elbow 45°, 100x900mm, HDGAF</t>
  </si>
  <si>
    <t xml:space="preserve">300 Cover for Adjustable Vertical Elbow </t>
  </si>
  <si>
    <t xml:space="preserve">Round Head Bolt </t>
  </si>
  <si>
    <t>Reference ID to Typicals</t>
  </si>
  <si>
    <t>Reference ID to Qty_Typicals</t>
  </si>
  <si>
    <t>ATR-
R1</t>
  </si>
  <si>
    <t>ATR-
R2</t>
  </si>
  <si>
    <t>Conveyor Elements / VFDs</t>
  </si>
  <si>
    <t>to cell: C94</t>
  </si>
  <si>
    <t>to cell: C95</t>
  </si>
  <si>
    <t>to cell: C92+C93</t>
  </si>
  <si>
    <t>to cell: C91/2</t>
  </si>
  <si>
    <t>Spare 6</t>
  </si>
  <si>
    <t>Spare 7</t>
  </si>
  <si>
    <t>Spare 8</t>
  </si>
  <si>
    <t>Spare 9</t>
  </si>
  <si>
    <t>Spare 10</t>
  </si>
  <si>
    <t>Spare 11</t>
  </si>
  <si>
    <t>Spare 12</t>
  </si>
  <si>
    <t>Spare 13</t>
  </si>
  <si>
    <t>Spare 14</t>
  </si>
  <si>
    <t>ATR-C1</t>
  </si>
  <si>
    <t>Qty. per Conv. Type from Drive List (SDT)</t>
  </si>
  <si>
    <t>Emergency Stop Control Cabinets</t>
  </si>
  <si>
    <t>LB Local Profinet Box (Main solution w. EB)</t>
  </si>
  <si>
    <t>Profinet Box &amp; Smart Unit Cabinets</t>
  </si>
  <si>
    <t>LB Local Profinet Box w. F-DI/DO (Hybrid solution w/o. EP &amp; EB)</t>
  </si>
  <si>
    <t>Check-In I/O Box for 4 Counters</t>
  </si>
  <si>
    <t>Check-In Distr. &amp; Starter &amp; PLC Cabinet (2 per CI Island))</t>
  </si>
  <si>
    <t>Interface PLC/PLC</t>
  </si>
  <si>
    <t>not used for Cost Calculation</t>
  </si>
  <si>
    <t>LP Steuerschrank CPU S7-1500F</t>
  </si>
  <si>
    <t>LP Steuerschrank CPU S7-1500F(H)</t>
  </si>
  <si>
    <t>Cabinet LP&amp;PM S7-15xxF</t>
  </si>
  <si>
    <t>Cabinet LP&amp;PM S7-15xxH/F</t>
  </si>
  <si>
    <t>TrST</t>
  </si>
  <si>
    <t>Tray Tilter Plus Cabinet</t>
  </si>
  <si>
    <t>Tray Tilter Cabinet</t>
  </si>
  <si>
    <t>Tray Tilter Plus</t>
  </si>
  <si>
    <t>BSTT001</t>
  </si>
  <si>
    <t>TrSTp</t>
  </si>
  <si>
    <t>select manually if compensation per PLC</t>
  </si>
  <si>
    <t>select manually if no H-PLC requested</t>
  </si>
  <si>
    <t xml:space="preserve">Tray Roller Inspection (addit.) </t>
  </si>
  <si>
    <t>Tray Step Through</t>
  </si>
  <si>
    <t>CP001</t>
  </si>
  <si>
    <t>select manually</t>
  </si>
  <si>
    <t>Additional E-Stop ICS</t>
  </si>
  <si>
    <t>Additional E-Stop Belt</t>
  </si>
  <si>
    <t>Total Drives ICS</t>
  </si>
  <si>
    <t>Total Elements ICS</t>
  </si>
  <si>
    <t>End of Belt</t>
  </si>
  <si>
    <t>End of ICS</t>
  </si>
  <si>
    <t>End of General</t>
  </si>
  <si>
    <t>End of Power Supply &amp; Interface</t>
  </si>
  <si>
    <t>End of Smart Units</t>
  </si>
  <si>
    <t>Plough (Single Arm) Divert</t>
  </si>
  <si>
    <t>Reference ID to "Cable Estimate"</t>
  </si>
  <si>
    <t>__-__-BD-H4</t>
  </si>
  <si>
    <t>__-__-BD-H5</t>
  </si>
  <si>
    <t>__-__-BS-01</t>
  </si>
  <si>
    <t>__-__-BS-03</t>
  </si>
  <si>
    <t>__-__-BV-99</t>
  </si>
  <si>
    <t>__-__-BW-03</t>
  </si>
  <si>
    <t>__-__-CB-01</t>
  </si>
  <si>
    <t>__-__-I1-08</t>
  </si>
  <si>
    <t>__-__-I1-12</t>
  </si>
  <si>
    <t>__-__-I7-06</t>
  </si>
  <si>
    <t>__-__-ID-18</t>
  </si>
  <si>
    <t>__-__-IM-21</t>
  </si>
  <si>
    <t>__-__-IR-01</t>
  </si>
  <si>
    <t>__-__-IS-01</t>
  </si>
  <si>
    <t>__-__-IS-02</t>
  </si>
  <si>
    <t>__-__-IS-04</t>
  </si>
  <si>
    <t>__-__-IS-05</t>
  </si>
  <si>
    <t>__-__-IS-06</t>
  </si>
  <si>
    <t>__-__-W_-10</t>
  </si>
  <si>
    <t>__-__-B1-17; __-__-BV-17</t>
  </si>
  <si>
    <t>__-__-B1-16; __-__-BV-05; __-__-BV-16</t>
  </si>
  <si>
    <t>__-__-B1-01; __-__-B1-Z1; __-__-BV-01;  __-__-BV-02;  __-__-BV-03;  __-__-BV-04; __-__-BV-06; __-__-BV-07; __-__-BV-08; __-__-BV-09;  __-__-BV-12; __-__-BV-Z1</t>
  </si>
  <si>
    <t>__-__-BC-01; __-__-BC-02; __-__-BC-03; __-__-BC-04; __-__-BC-05;  __-__-BC-S1; __-__-BC-Z1</t>
  </si>
  <si>
    <t>__-__-BM-01; __-__-BM-02; __-__-BM-03; __-__-BM-05; __-__-BM-Z1</t>
  </si>
  <si>
    <t>__-__-B1-14; __-__-BV-14</t>
  </si>
  <si>
    <t>__-__-B1-15; __-__-BV-15</t>
  </si>
  <si>
    <t>__-__-B1-10; __-__-BV-10</t>
  </si>
  <si>
    <t>__-__-BD-H2; __-__-BS-02</t>
  </si>
  <si>
    <t>__-__-BD-H1; __-__-BD-H3</t>
  </si>
  <si>
    <t>__-__-BD-V1; __-__-BD-V2</t>
  </si>
  <si>
    <t>__-__-TA-01; __-__-TA-02</t>
  </si>
  <si>
    <t>__-__-TM-01; __-__-TM-02</t>
  </si>
  <si>
    <t>__-__-R1-01; __-__-RC-01</t>
  </si>
  <si>
    <t>__-__-VX-11; __-__-VX-12; __-__-VX-13; __-__-VX-14; __-__-VX-15; __-__-VX-16</t>
  </si>
  <si>
    <t>__-__-VX-31; __-__-VX-32; __-__-VX-33; __-__-VX-34</t>
  </si>
  <si>
    <t>__-__-B7-06; __-__-B7-Z1</t>
  </si>
  <si>
    <t>__-__-B7-01; __-__-B7-02</t>
  </si>
  <si>
    <t>__-__-BW-01; __-__-BW-02</t>
  </si>
  <si>
    <t>__-__-I1-03; __-__-I1-11; __-__-ID-17; __-__-IM-20</t>
  </si>
  <si>
    <t>__-__-I1-02; __-__-I1-10; __-__-I1-30</t>
  </si>
  <si>
    <t>__-__-IC-01; __-__-IC-02; __-__-IC-P1; __-__-IC-P2</t>
  </si>
  <si>
    <t>__-__-I7-01; __-__-I7-02</t>
  </si>
  <si>
    <t>__-__-IS-C4; __-__-IS-C5; __-__-IS-C6</t>
  </si>
  <si>
    <t>TVSU001</t>
  </si>
  <si>
    <t>Tray Verti-Sorter - one Arm</t>
  </si>
  <si>
    <t>BtPush</t>
  </si>
  <si>
    <t>BtVarioFlip</t>
  </si>
  <si>
    <t>VM1A</t>
  </si>
  <si>
    <t>VM3A</t>
  </si>
  <si>
    <t>Formel fehlt noch</t>
  </si>
  <si>
    <t>to cell: C75/2</t>
  </si>
  <si>
    <t>__-__-CI-01; __-__-CI-11; __-__-CI-P1; __-__-CI-S1</t>
  </si>
  <si>
    <t>__-__-CI-02; __-__-CI-12; __-__-CI-P2; __-__-CI-S2</t>
  </si>
  <si>
    <t>__-__-CI-03; __-__-CI-13; __-__-CI-P3; __-__-CI-S3</t>
  </si>
  <si>
    <t>Category</t>
  </si>
  <si>
    <t>BCT_Head_1</t>
  </si>
  <si>
    <t>BCT_Head_2</t>
  </si>
  <si>
    <t>MPS 2.0</t>
  </si>
  <si>
    <t>BCT_TxT</t>
  </si>
  <si>
    <t>Length in m</t>
  </si>
  <si>
    <t># of Drives</t>
  </si>
  <si>
    <t>1. General</t>
  </si>
  <si>
    <t>1. Belt Conveyor System</t>
  </si>
  <si>
    <t>1.3 BC - Turn / Curve</t>
  </si>
  <si>
    <t>__-__-BC-01</t>
  </si>
  <si>
    <t>3rdParty Curve CBC120 (AN</t>
  </si>
  <si>
    <t>1.6 BS -  VB Special Devices</t>
  </si>
  <si>
    <t>VB TopLoad (W</t>
  </si>
  <si>
    <t>1.7 BV - Vario Belt Conveyor</t>
  </si>
  <si>
    <t>__-__-BV-01</t>
  </si>
  <si>
    <t>VB Straight (W</t>
  </si>
  <si>
    <t>__-__-BV-16</t>
  </si>
  <si>
    <t>VB Metering (W</t>
  </si>
  <si>
    <t>__-__-BV-03</t>
  </si>
  <si>
    <t>VB Straight Merge 90 (W</t>
  </si>
  <si>
    <t>__-__-BV-05</t>
  </si>
  <si>
    <t>VB Metering Induct 90 (W</t>
  </si>
  <si>
    <t>4. Individual Carrier System</t>
  </si>
  <si>
    <t>4.2 I1 - Straight Conveyor</t>
  </si>
  <si>
    <t>__-__-I1-02</t>
  </si>
  <si>
    <t>VTR Straight (W</t>
  </si>
  <si>
    <t>__-__-I1-03</t>
  </si>
  <si>
    <t>VTR Metering (W</t>
  </si>
  <si>
    <t>VTR Incline/Decline (W</t>
  </si>
  <si>
    <t>__-__-I1-30</t>
  </si>
  <si>
    <t>VTR Cross Conveyor (W</t>
  </si>
  <si>
    <t>__-__-I1-10</t>
  </si>
  <si>
    <t>VTR Straight Reverse (W</t>
  </si>
  <si>
    <t>__-__-I1-05</t>
  </si>
  <si>
    <t>VTR Wheel (W</t>
  </si>
  <si>
    <t>__-__-I1-11</t>
  </si>
  <si>
    <t>VTR Metering Reverse (W</t>
  </si>
  <si>
    <t>4.4 IC - Curves</t>
  </si>
  <si>
    <t>__-__-IC-P1</t>
  </si>
  <si>
    <t>VTR CurveWide (CUW) 2255 Passive (AN</t>
  </si>
  <si>
    <t>__-__-IC-01</t>
  </si>
  <si>
    <t>VTR CurveWide (CUW) 2255 (AN</t>
  </si>
  <si>
    <t>4.5 ID - Diverts</t>
  </si>
  <si>
    <t>VTR Divert Straight Outduct (W</t>
  </si>
  <si>
    <t>__-__-ID-17</t>
  </si>
  <si>
    <t>VTR Divert (W</t>
  </si>
  <si>
    <t>4.6 IM - Merges</t>
  </si>
  <si>
    <t>__-__-IM-20</t>
  </si>
  <si>
    <t>VTR Merge (W</t>
  </si>
  <si>
    <t>4.7 IR - Right Angle Transfer</t>
  </si>
  <si>
    <t>VTR RightAngleTransfer Conveyor (W</t>
  </si>
  <si>
    <t>4.8 IS - Special Devices</t>
  </si>
  <si>
    <t>__-__-IS-A1</t>
  </si>
  <si>
    <t>VTR Variable Connection 0-100</t>
  </si>
  <si>
    <t>VTR Stacker (W</t>
  </si>
  <si>
    <t>VTR TilterPlus (W</t>
  </si>
  <si>
    <t>4.9 IW - Workstation</t>
  </si>
  <si>
    <t>__-__-IW-02</t>
  </si>
  <si>
    <t>VTR Workstation</t>
  </si>
  <si>
    <t>7. Sorter</t>
  </si>
  <si>
    <t>7.3 SO - Sorter Chutes (Outduct)</t>
  </si>
  <si>
    <t>__-__-SO-05</t>
  </si>
  <si>
    <t>3rdParty Chute Spiral</t>
  </si>
  <si>
    <t>2. LLC</t>
  </si>
  <si>
    <t>04-CC-I_-QU</t>
  </si>
  <si>
    <t>04-CV-IS-05</t>
  </si>
  <si>
    <t>8. Vision and Recognition</t>
  </si>
  <si>
    <t>04-CC-VR-13</t>
  </si>
  <si>
    <t>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</si>
</sst>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Drives&quot;"/>
    <numFmt numFmtId="165" formatCode="&quot;Total Length: &quot;0&quot;m&quot;"/>
    <numFmt numFmtId="166" formatCode="#,##0\ &quot;m&quot;"/>
    <numFmt numFmtId="167" formatCode="0.00&quot; m&quot;"/>
    <numFmt numFmtId="168" formatCode="_-* #,##0.00\ _€_-;\-* #,##0.00\ _€_-;_-* &quot;-&quot;??\ _€_-;_-@_-"/>
    <numFmt numFmtId="169" formatCode="_(* #,##0.00_);_(* \(#,##0.00\);_(* &quot;-&quot;??_);_(@_)"/>
    <numFmt numFmtId="170" formatCode="&quot;Project:  &quot;@&quot;  - ICS&quot;"/>
    <numFmt numFmtId="171" formatCode="&quot;Project:  &quot;@&quot;  - Belt&quot;"/>
    <numFmt numFmtId="172" formatCode="#,##0.0\ &quot;m&quot;"/>
    <numFmt numFmtId="173" formatCode="#,##0.00\ &quot;m&quot;"/>
    <numFmt numFmtId="174" formatCode="&quot;Date:&quot;\ @"/>
  </numFmts>
  <fonts count="42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MS Sans Serif"/>
      <family val="2"/>
    </font>
    <font>
      <b/>
      <sz val="10"/>
      <name val="MS Sans Serif"/>
    </font>
    <font>
      <strike/>
      <sz val="10"/>
      <name val="MS Sans Serif"/>
      <family val="2"/>
    </font>
    <font>
      <sz val="10"/>
      <name val="Arial"/>
      <family val="2"/>
    </font>
    <font>
      <b/>
      <sz val="7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7"/>
      <name val="Arial"/>
      <family val="2"/>
    </font>
    <font>
      <sz val="10"/>
      <name val="Genev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0"/>
      <name val="MS Sans Serif"/>
      <family val="2"/>
    </font>
    <font>
      <b/>
      <sz val="10"/>
      <name val="Arial"/>
      <family val="2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8"/>
      <name val="Calibri"/>
      <family val="2"/>
      <scheme val="minor"/>
    </font>
    <font>
      <b/>
      <sz val="18"/>
      <name val="Arial"/>
      <family val="2"/>
    </font>
    <font>
      <sz val="11"/>
      <color theme="1"/>
      <name val="Arial"/>
      <family val="2"/>
    </font>
    <font>
      <strike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MS Sans Serif"/>
      <family val="2"/>
    </font>
    <font>
      <b/>
      <sz val="8"/>
      <name val="MS Sans Serif"/>
    </font>
    <font>
      <sz val="8"/>
      <name val="Geneva"/>
      <family val="2"/>
    </font>
    <font>
      <strike/>
      <sz val="7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8"/>
      <name val="Calibri"/>
      <family val="2"/>
    </font>
    <font>
      <strike/>
      <sz val="11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1"/>
      <color theme="1"/>
      <name val="Arial"/>
      <family val="2"/>
    </font>
    <font>
      <b/>
      <sz val="10"/>
      <color indexed="10"/>
      <name val="Tahoma"/>
      <family val="2"/>
    </font>
    <font>
      <sz val="8"/>
      <name val="MS Sans Serif"/>
    </font>
  </fonts>
  <fills count="3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65"/>
        <bgColor indexed="64"/>
      </patternFill>
    </fill>
    <fill>
      <patternFill patternType="gray0625"/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lightGray">
        <fgColor indexed="13"/>
        <bgColor theme="0" tint="-0.3499862666707357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gray0625">
        <bgColor rgb="FFFFC000"/>
      </patternFill>
    </fill>
    <fill>
      <patternFill patternType="solid">
        <fgColor rgb="FFFFFFCC"/>
        <bgColor auto="1"/>
      </patternFill>
    </fill>
    <fill>
      <patternFill patternType="gray0625">
        <bgColor rgb="FFFFFFCC"/>
      </patternFill>
    </fill>
    <fill>
      <patternFill patternType="solid">
        <fgColor rgb="FFFFFFCC"/>
        <bgColor indexed="64"/>
      </patternFill>
    </fill>
    <fill>
      <patternFill patternType="gray0625">
        <bgColor rgb="FFFFFF00"/>
      </patternFill>
    </fill>
    <fill>
      <patternFill patternType="solid">
        <fgColor rgb="FFFF00FF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168" fontId="34" fillId="0" borderId="0" applyFont="0" applyFill="0" applyBorder="0" applyAlignment="0" applyProtection="0"/>
    <xf numFmtId="169" fontId="33" fillId="0" borderId="0" applyFont="0" applyFill="0" applyBorder="0" applyAlignment="0" applyProtection="0"/>
    <xf numFmtId="0" fontId="35" fillId="0" borderId="0"/>
    <xf numFmtId="0" fontId="34" fillId="0" borderId="0"/>
  </cellStyleXfs>
  <cellXfs count="355">
    <xf numFmtId="0" fontId="0" fillId="0" borderId="0" xfId="0"/>
    <xf numFmtId="0" fontId="2" fillId="0" borderId="0" xfId="2"/>
    <xf numFmtId="0" fontId="1" fillId="0" borderId="0" xfId="1"/>
    <xf numFmtId="0" fontId="2" fillId="0" borderId="0" xfId="3"/>
    <xf numFmtId="0" fontId="9" fillId="0" borderId="5" xfId="2" applyFont="1" applyBorder="1" applyAlignment="1" applyProtection="1">
      <alignment horizontal="center" vertical="center"/>
      <protection locked="0"/>
    </xf>
    <xf numFmtId="0" fontId="9" fillId="0" borderId="6" xfId="2" applyFont="1" applyBorder="1" applyAlignment="1" applyProtection="1">
      <alignment horizontal="center" vertical="center"/>
      <protection locked="0"/>
    </xf>
    <xf numFmtId="0" fontId="9" fillId="0" borderId="7" xfId="2" applyFont="1" applyBorder="1" applyAlignment="1">
      <alignment horizontal="center" vertical="center"/>
    </xf>
    <xf numFmtId="0" fontId="9" fillId="0" borderId="9" xfId="2" applyFont="1" applyBorder="1" applyAlignment="1" applyProtection="1">
      <alignment horizontal="center" vertical="center"/>
      <protection locked="0"/>
    </xf>
    <xf numFmtId="0" fontId="9" fillId="5" borderId="9" xfId="2" applyFont="1" applyFill="1" applyBorder="1" applyAlignment="1" applyProtection="1">
      <alignment horizontal="center" vertical="center"/>
      <protection locked="0"/>
    </xf>
    <xf numFmtId="0" fontId="9" fillId="0" borderId="10" xfId="2" applyFont="1" applyBorder="1" applyAlignment="1" applyProtection="1">
      <alignment horizontal="center" vertical="center"/>
      <protection locked="0"/>
    </xf>
    <xf numFmtId="0" fontId="9" fillId="5" borderId="10" xfId="2" applyFont="1" applyFill="1" applyBorder="1" applyAlignment="1" applyProtection="1">
      <alignment horizontal="center" vertical="center"/>
      <protection locked="0"/>
    </xf>
    <xf numFmtId="0" fontId="9" fillId="0" borderId="11" xfId="2" applyFont="1" applyBorder="1" applyAlignment="1">
      <alignment horizontal="center" vertical="center"/>
    </xf>
    <xf numFmtId="0" fontId="9" fillId="6" borderId="10" xfId="2" applyFont="1" applyFill="1" applyBorder="1" applyAlignment="1" applyProtection="1">
      <alignment horizontal="center" vertical="center"/>
      <protection locked="0"/>
    </xf>
    <xf numFmtId="0" fontId="9" fillId="0" borderId="12" xfId="2" applyFont="1" applyBorder="1" applyAlignment="1" applyProtection="1">
      <alignment horizontal="center" vertical="center"/>
      <protection locked="0"/>
    </xf>
    <xf numFmtId="0" fontId="9" fillId="5" borderId="12" xfId="2" applyFont="1" applyFill="1" applyBorder="1" applyAlignment="1" applyProtection="1">
      <alignment horizontal="center" vertical="center"/>
      <protection locked="0"/>
    </xf>
    <xf numFmtId="0" fontId="9" fillId="0" borderId="13" xfId="2" applyFont="1" applyBorder="1" applyAlignment="1" applyProtection="1">
      <alignment horizontal="center" vertical="center"/>
      <protection locked="0"/>
    </xf>
    <xf numFmtId="0" fontId="9" fillId="5" borderId="13" xfId="2" applyFont="1" applyFill="1" applyBorder="1" applyAlignment="1" applyProtection="1">
      <alignment horizontal="center" vertical="center"/>
      <protection locked="0"/>
    </xf>
    <xf numFmtId="0" fontId="9" fillId="0" borderId="14" xfId="2" applyFont="1" applyBorder="1" applyAlignment="1">
      <alignment horizontal="center" vertical="center"/>
    </xf>
    <xf numFmtId="0" fontId="9" fillId="5" borderId="15" xfId="2" applyFont="1" applyFill="1" applyBorder="1" applyAlignment="1" applyProtection="1">
      <alignment horizontal="center" vertical="center"/>
      <protection locked="0"/>
    </xf>
    <xf numFmtId="0" fontId="9" fillId="0" borderId="17" xfId="2" applyFont="1" applyBorder="1" applyAlignment="1" applyProtection="1">
      <alignment horizontal="center" vertical="center"/>
      <protection locked="0"/>
    </xf>
    <xf numFmtId="0" fontId="9" fillId="5" borderId="17" xfId="2" applyFont="1" applyFill="1" applyBorder="1" applyAlignment="1" applyProtection="1">
      <alignment horizontal="center" vertical="center"/>
      <protection locked="0"/>
    </xf>
    <xf numFmtId="0" fontId="9" fillId="0" borderId="18" xfId="2" applyFont="1" applyBorder="1" applyAlignment="1" applyProtection="1">
      <alignment horizontal="center" vertical="center"/>
      <protection locked="0"/>
    </xf>
    <xf numFmtId="0" fontId="9" fillId="0" borderId="19" xfId="2" applyFont="1" applyBorder="1" applyAlignment="1">
      <alignment horizontal="center" vertical="center"/>
    </xf>
    <xf numFmtId="0" fontId="10" fillId="0" borderId="0" xfId="0" applyFont="1"/>
    <xf numFmtId="0" fontId="9" fillId="5" borderId="18" xfId="2" applyFont="1" applyFill="1" applyBorder="1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center" vertical="center"/>
      <protection locked="0"/>
    </xf>
    <xf numFmtId="0" fontId="9" fillId="0" borderId="0" xfId="2" applyFont="1" applyAlignment="1">
      <alignment horizontal="center" vertical="center"/>
    </xf>
    <xf numFmtId="0" fontId="6" fillId="0" borderId="0" xfId="2" applyFont="1"/>
    <xf numFmtId="0" fontId="2" fillId="0" borderId="0" xfId="3" applyProtection="1">
      <protection locked="0"/>
    </xf>
    <xf numFmtId="0" fontId="9" fillId="10" borderId="9" xfId="3" applyFont="1" applyFill="1" applyBorder="1" applyAlignment="1" applyProtection="1">
      <alignment horizontal="center" vertical="center"/>
      <protection locked="0"/>
    </xf>
    <xf numFmtId="0" fontId="4" fillId="0" borderId="0" xfId="3" applyFont="1"/>
    <xf numFmtId="0" fontId="2" fillId="0" borderId="0" xfId="3" applyAlignment="1">
      <alignment horizontal="center"/>
    </xf>
    <xf numFmtId="0" fontId="5" fillId="0" borderId="28" xfId="0" applyFont="1" applyBorder="1" applyProtection="1">
      <protection locked="0"/>
    </xf>
    <xf numFmtId="3" fontId="18" fillId="6" borderId="28" xfId="0" applyNumberFormat="1" applyFont="1" applyFill="1" applyBorder="1" applyAlignment="1">
      <alignment horizontal="center"/>
    </xf>
    <xf numFmtId="166" fontId="5" fillId="12" borderId="28" xfId="0" applyNumberFormat="1" applyFont="1" applyFill="1" applyBorder="1" applyAlignment="1">
      <alignment horizontal="center"/>
    </xf>
    <xf numFmtId="0" fontId="5" fillId="0" borderId="28" xfId="0" applyFont="1" applyBorder="1" applyAlignment="1" applyProtection="1">
      <alignment horizontal="left"/>
      <protection locked="0"/>
    </xf>
    <xf numFmtId="167" fontId="18" fillId="6" borderId="28" xfId="0" applyNumberFormat="1" applyFont="1" applyFill="1" applyBorder="1" applyAlignment="1">
      <alignment horizontal="center"/>
    </xf>
    <xf numFmtId="0" fontId="5" fillId="0" borderId="28" xfId="0" applyFont="1" applyBorder="1"/>
    <xf numFmtId="0" fontId="3" fillId="0" borderId="0" xfId="2" applyFont="1" applyAlignment="1">
      <alignment horizontal="left"/>
    </xf>
    <xf numFmtId="0" fontId="3" fillId="0" borderId="0" xfId="2" quotePrefix="1" applyFont="1" applyAlignment="1">
      <alignment horizontal="left"/>
    </xf>
    <xf numFmtId="0" fontId="5" fillId="0" borderId="28" xfId="4" applyFont="1" applyBorder="1"/>
    <xf numFmtId="0" fontId="5" fillId="0" borderId="0" xfId="4" applyFont="1"/>
    <xf numFmtId="0" fontId="23" fillId="0" borderId="0" xfId="0" applyFont="1"/>
    <xf numFmtId="0" fontId="18" fillId="0" borderId="28" xfId="4" applyFont="1" applyBorder="1"/>
    <xf numFmtId="0" fontId="5" fillId="16" borderId="0" xfId="4" applyFont="1" applyFill="1"/>
    <xf numFmtId="0" fontId="5" fillId="8" borderId="0" xfId="4" applyFont="1" applyFill="1"/>
    <xf numFmtId="0" fontId="18" fillId="0" borderId="29" xfId="4" applyFont="1" applyBorder="1"/>
    <xf numFmtId="0" fontId="5" fillId="7" borderId="0" xfId="4" applyFont="1" applyFill="1"/>
    <xf numFmtId="14" fontId="7" fillId="10" borderId="28" xfId="0" applyNumberFormat="1" applyFont="1" applyFill="1" applyBorder="1" applyAlignment="1">
      <alignment horizontal="center"/>
    </xf>
    <xf numFmtId="0" fontId="5" fillId="0" borderId="28" xfId="0" applyFont="1" applyBorder="1" applyAlignment="1" applyProtection="1">
      <alignment horizontal="right"/>
      <protection locked="0"/>
    </xf>
    <xf numFmtId="0" fontId="18" fillId="0" borderId="28" xfId="0" applyFont="1" applyBorder="1" applyAlignment="1">
      <alignment horizontal="center"/>
    </xf>
    <xf numFmtId="0" fontId="18" fillId="0" borderId="28" xfId="0" applyFont="1" applyBorder="1" applyAlignment="1" applyProtection="1">
      <alignment horizontal="center"/>
      <protection locked="0"/>
    </xf>
    <xf numFmtId="0" fontId="9" fillId="5" borderId="30" xfId="2" applyFont="1" applyFill="1" applyBorder="1" applyAlignment="1" applyProtection="1">
      <alignment horizontal="center" vertical="center"/>
      <protection locked="0"/>
    </xf>
    <xf numFmtId="0" fontId="7" fillId="3" borderId="31" xfId="2" applyFont="1" applyFill="1" applyBorder="1" applyAlignment="1">
      <alignment horizontal="center" vertical="center"/>
    </xf>
    <xf numFmtId="0" fontId="2" fillId="0" borderId="32" xfId="2" applyBorder="1"/>
    <xf numFmtId="0" fontId="10" fillId="0" borderId="32" xfId="0" applyFont="1" applyBorder="1"/>
    <xf numFmtId="0" fontId="2" fillId="0" borderId="21" xfId="2" applyBorder="1"/>
    <xf numFmtId="0" fontId="7" fillId="3" borderId="32" xfId="2" applyFont="1" applyFill="1" applyBorder="1" applyAlignment="1">
      <alignment horizontal="center" vertical="center"/>
    </xf>
    <xf numFmtId="0" fontId="22" fillId="0" borderId="33" xfId="4" applyFont="1" applyBorder="1"/>
    <xf numFmtId="0" fontId="5" fillId="0" borderId="33" xfId="4" applyFont="1" applyBorder="1"/>
    <xf numFmtId="0" fontId="25" fillId="0" borderId="35" xfId="4" applyFont="1" applyBorder="1" applyAlignment="1">
      <alignment horizontal="center"/>
    </xf>
    <xf numFmtId="0" fontId="18" fillId="0" borderId="33" xfId="4" applyFont="1" applyBorder="1"/>
    <xf numFmtId="1" fontId="5" fillId="2" borderId="37" xfId="4" applyNumberFormat="1" applyFont="1" applyFill="1" applyBorder="1"/>
    <xf numFmtId="1" fontId="5" fillId="13" borderId="37" xfId="4" applyNumberFormat="1" applyFont="1" applyFill="1" applyBorder="1"/>
    <xf numFmtId="1" fontId="5" fillId="0" borderId="37" xfId="4" applyNumberFormat="1" applyFont="1" applyBorder="1"/>
    <xf numFmtId="1" fontId="5" fillId="16" borderId="37" xfId="4" applyNumberFormat="1" applyFont="1" applyFill="1" applyBorder="1"/>
    <xf numFmtId="0" fontId="5" fillId="0" borderId="35" xfId="4" applyFont="1" applyBorder="1"/>
    <xf numFmtId="0" fontId="27" fillId="0" borderId="34" xfId="0" applyFont="1" applyBorder="1"/>
    <xf numFmtId="0" fontId="28" fillId="0" borderId="36" xfId="0" applyFont="1" applyBorder="1" applyAlignment="1">
      <alignment horizontal="center"/>
    </xf>
    <xf numFmtId="0" fontId="27" fillId="0" borderId="37" xfId="0" applyFont="1" applyBorder="1"/>
    <xf numFmtId="0" fontId="27" fillId="16" borderId="37" xfId="0" applyFont="1" applyFill="1" applyBorder="1"/>
    <xf numFmtId="0" fontId="27" fillId="0" borderId="36" xfId="0" applyFont="1" applyBorder="1"/>
    <xf numFmtId="0" fontId="27" fillId="0" borderId="0" xfId="0" applyFont="1"/>
    <xf numFmtId="0" fontId="29" fillId="0" borderId="0" xfId="2" applyFont="1"/>
    <xf numFmtId="0" fontId="31" fillId="0" borderId="0" xfId="0" applyFont="1"/>
    <xf numFmtId="0" fontId="29" fillId="0" borderId="32" xfId="2" applyFont="1" applyBorder="1"/>
    <xf numFmtId="0" fontId="29" fillId="0" borderId="21" xfId="2" applyFont="1" applyBorder="1"/>
    <xf numFmtId="0" fontId="29" fillId="0" borderId="31" xfId="2" applyFont="1" applyBorder="1"/>
    <xf numFmtId="0" fontId="31" fillId="0" borderId="32" xfId="0" applyFont="1" applyBorder="1"/>
    <xf numFmtId="49" fontId="2" fillId="0" borderId="0" xfId="3" applyNumberFormat="1" applyAlignment="1">
      <alignment horizontal="center" vertical="center"/>
    </xf>
    <xf numFmtId="0" fontId="23" fillId="0" borderId="32" xfId="0" applyFont="1" applyBorder="1"/>
    <xf numFmtId="0" fontId="23" fillId="17" borderId="32" xfId="0" applyFont="1" applyFill="1" applyBorder="1"/>
    <xf numFmtId="0" fontId="23" fillId="0" borderId="21" xfId="0" applyFont="1" applyBorder="1"/>
    <xf numFmtId="0" fontId="4" fillId="0" borderId="0" xfId="2" applyFont="1"/>
    <xf numFmtId="0" fontId="32" fillId="0" borderId="5" xfId="2" applyFont="1" applyBorder="1" applyAlignment="1" applyProtection="1">
      <alignment horizontal="center" vertical="center"/>
      <protection locked="0"/>
    </xf>
    <xf numFmtId="0" fontId="32" fillId="0" borderId="9" xfId="2" applyFont="1" applyBorder="1" applyAlignment="1" applyProtection="1">
      <alignment horizontal="center" vertical="center"/>
      <protection locked="0"/>
    </xf>
    <xf numFmtId="0" fontId="32" fillId="0" borderId="12" xfId="2" applyFont="1" applyBorder="1" applyAlignment="1" applyProtection="1">
      <alignment horizontal="center" vertical="center"/>
      <protection locked="0"/>
    </xf>
    <xf numFmtId="0" fontId="32" fillId="0" borderId="17" xfId="2" applyFont="1" applyBorder="1" applyAlignment="1" applyProtection="1">
      <alignment horizontal="center" vertical="center"/>
      <protection locked="0"/>
    </xf>
    <xf numFmtId="0" fontId="32" fillId="0" borderId="0" xfId="2" applyFont="1" applyAlignment="1" applyProtection="1">
      <alignment horizontal="center" vertical="center"/>
      <protection locked="0"/>
    </xf>
    <xf numFmtId="0" fontId="27" fillId="22" borderId="0" xfId="0" applyFont="1" applyFill="1" applyAlignment="1">
      <alignment horizontal="center" vertical="top" wrapText="1"/>
    </xf>
    <xf numFmtId="0" fontId="9" fillId="0" borderId="30" xfId="2" applyFont="1" applyBorder="1" applyAlignment="1" applyProtection="1">
      <alignment horizontal="center" vertical="center"/>
      <protection locked="0"/>
    </xf>
    <xf numFmtId="0" fontId="9" fillId="0" borderId="40" xfId="2" applyFont="1" applyBorder="1" applyAlignment="1" applyProtection="1">
      <alignment horizontal="center" vertical="center"/>
      <protection locked="0"/>
    </xf>
    <xf numFmtId="0" fontId="9" fillId="0" borderId="41" xfId="2" applyFont="1" applyBorder="1" applyAlignment="1" applyProtection="1">
      <alignment horizontal="center" vertical="center"/>
      <protection locked="0"/>
    </xf>
    <xf numFmtId="0" fontId="9" fillId="0" borderId="42" xfId="2" applyFont="1" applyBorder="1" applyAlignment="1" applyProtection="1">
      <alignment horizontal="center" vertical="center"/>
      <protection locked="0"/>
    </xf>
    <xf numFmtId="0" fontId="9" fillId="5" borderId="43" xfId="2" applyFont="1" applyFill="1" applyBorder="1" applyAlignment="1" applyProtection="1">
      <alignment horizontal="center" vertical="center"/>
      <protection locked="0"/>
    </xf>
    <xf numFmtId="0" fontId="9" fillId="8" borderId="43" xfId="2" applyFont="1" applyFill="1" applyBorder="1" applyAlignment="1" applyProtection="1">
      <alignment horizontal="center" vertical="center"/>
      <protection locked="0"/>
    </xf>
    <xf numFmtId="0" fontId="9" fillId="9" borderId="43" xfId="2" applyFont="1" applyFill="1" applyBorder="1" applyAlignment="1" applyProtection="1">
      <alignment horizontal="center" vertical="center"/>
      <protection locked="0"/>
    </xf>
    <xf numFmtId="0" fontId="9" fillId="9" borderId="44" xfId="2" applyFont="1" applyFill="1" applyBorder="1" applyAlignment="1" applyProtection="1">
      <alignment horizontal="center" vertical="center"/>
      <protection locked="0"/>
    </xf>
    <xf numFmtId="49" fontId="26" fillId="0" borderId="22" xfId="3" applyNumberFormat="1" applyFont="1" applyBorder="1" applyAlignment="1">
      <alignment horizontal="center"/>
    </xf>
    <xf numFmtId="49" fontId="2" fillId="0" borderId="0" xfId="3" applyNumberFormat="1" applyAlignment="1">
      <alignment horizontal="center"/>
    </xf>
    <xf numFmtId="49" fontId="26" fillId="0" borderId="2" xfId="3" applyNumberFormat="1" applyFont="1" applyBorder="1" applyAlignment="1">
      <alignment horizontal="center" vertical="center"/>
    </xf>
    <xf numFmtId="49" fontId="26" fillId="0" borderId="3" xfId="3" applyNumberFormat="1" applyFont="1" applyBorder="1" applyAlignment="1">
      <alignment horizontal="center" vertical="center"/>
    </xf>
    <xf numFmtId="49" fontId="7" fillId="11" borderId="23" xfId="3" applyNumberFormat="1" applyFont="1" applyFill="1" applyBorder="1" applyAlignment="1" applyProtection="1">
      <alignment horizontal="center" vertical="center"/>
      <protection locked="0"/>
    </xf>
    <xf numFmtId="0" fontId="8" fillId="0" borderId="8" xfId="3" applyFont="1" applyBorder="1" applyAlignment="1">
      <alignment horizontal="center" vertical="center"/>
    </xf>
    <xf numFmtId="0" fontId="8" fillId="0" borderId="9" xfId="3" applyFont="1" applyBorder="1" applyAlignment="1">
      <alignment horizontal="center" vertical="center"/>
    </xf>
    <xf numFmtId="0" fontId="8" fillId="0" borderId="16" xfId="3" applyFont="1" applyBorder="1" applyAlignment="1">
      <alignment horizontal="center" vertical="center"/>
    </xf>
    <xf numFmtId="0" fontId="8" fillId="0" borderId="17" xfId="3" applyFont="1" applyBorder="1" applyAlignment="1">
      <alignment horizontal="center" vertical="center"/>
    </xf>
    <xf numFmtId="0" fontId="8" fillId="0" borderId="18" xfId="3" applyFont="1" applyBorder="1" applyAlignment="1">
      <alignment horizontal="center" vertical="center"/>
    </xf>
    <xf numFmtId="1" fontId="8" fillId="14" borderId="9" xfId="3" applyNumberFormat="1" applyFont="1" applyFill="1" applyBorder="1" applyAlignment="1">
      <alignment horizontal="center" vertical="center"/>
    </xf>
    <xf numFmtId="0" fontId="8" fillId="10" borderId="38" xfId="3" applyFont="1" applyFill="1" applyBorder="1" applyAlignment="1" applyProtection="1">
      <alignment horizontal="center" vertical="center"/>
      <protection locked="0"/>
    </xf>
    <xf numFmtId="0" fontId="8" fillId="15" borderId="8" xfId="3" applyFont="1" applyFill="1" applyBorder="1" applyAlignment="1">
      <alignment horizontal="center" vertical="center"/>
    </xf>
    <xf numFmtId="0" fontId="8" fillId="15" borderId="9" xfId="3" applyFont="1" applyFill="1" applyBorder="1" applyAlignment="1">
      <alignment horizontal="center" vertical="center"/>
    </xf>
    <xf numFmtId="0" fontId="8" fillId="0" borderId="26" xfId="3" applyFont="1" applyBorder="1" applyAlignment="1">
      <alignment horizontal="center" vertical="center"/>
    </xf>
    <xf numFmtId="0" fontId="8" fillId="0" borderId="20" xfId="3" applyFont="1" applyBorder="1" applyAlignment="1">
      <alignment horizontal="center" vertical="center"/>
    </xf>
    <xf numFmtId="0" fontId="3" fillId="20" borderId="46" xfId="3" applyFont="1" applyFill="1" applyBorder="1"/>
    <xf numFmtId="0" fontId="2" fillId="20" borderId="46" xfId="3" applyFill="1" applyBorder="1"/>
    <xf numFmtId="0" fontId="2" fillId="20" borderId="47" xfId="3" applyFill="1" applyBorder="1"/>
    <xf numFmtId="0" fontId="9" fillId="0" borderId="28" xfId="2" applyFont="1" applyBorder="1" applyAlignment="1">
      <alignment horizontal="center" vertical="center" wrapText="1"/>
    </xf>
    <xf numFmtId="0" fontId="9" fillId="4" borderId="4" xfId="2" applyFont="1" applyFill="1" applyBorder="1" applyAlignment="1">
      <alignment horizontal="center" vertical="center"/>
    </xf>
    <xf numFmtId="49" fontId="1" fillId="0" borderId="3" xfId="1" applyNumberFormat="1" applyBorder="1" applyAlignment="1">
      <alignment horizontal="center" vertical="center" wrapText="1"/>
    </xf>
    <xf numFmtId="0" fontId="1" fillId="0" borderId="3" xfId="1" applyBorder="1" applyAlignment="1">
      <alignment horizontal="center" vertical="center" wrapText="1"/>
    </xf>
    <xf numFmtId="0" fontId="1" fillId="3" borderId="3" xfId="1" applyFill="1" applyBorder="1" applyAlignment="1">
      <alignment horizontal="center" vertical="center" wrapText="1"/>
    </xf>
    <xf numFmtId="0" fontId="9" fillId="6" borderId="43" xfId="2" applyFont="1" applyFill="1" applyBorder="1" applyAlignment="1" applyProtection="1">
      <alignment horizontal="center" vertical="center"/>
      <protection locked="0"/>
    </xf>
    <xf numFmtId="0" fontId="36" fillId="0" borderId="0" xfId="0" applyFont="1"/>
    <xf numFmtId="1" fontId="4" fillId="0" borderId="0" xfId="3" applyNumberFormat="1" applyFont="1"/>
    <xf numFmtId="0" fontId="18" fillId="0" borderId="48" xfId="3" applyFont="1" applyBorder="1" applyAlignment="1" applyProtection="1">
      <alignment horizontal="right" vertical="center"/>
      <protection locked="0"/>
    </xf>
    <xf numFmtId="1" fontId="26" fillId="0" borderId="49" xfId="3" applyNumberFormat="1" applyFont="1" applyBorder="1" applyAlignment="1">
      <alignment horizontal="center" vertical="center"/>
    </xf>
    <xf numFmtId="0" fontId="0" fillId="0" borderId="28" xfId="0" applyBorder="1"/>
    <xf numFmtId="0" fontId="37" fillId="0" borderId="0" xfId="4" applyFont="1"/>
    <xf numFmtId="0" fontId="5" fillId="25" borderId="28" xfId="4" applyFont="1" applyFill="1" applyBorder="1"/>
    <xf numFmtId="0" fontId="23" fillId="0" borderId="51" xfId="0" applyFont="1" applyBorder="1"/>
    <xf numFmtId="49" fontId="5" fillId="0" borderId="23" xfId="3" applyNumberFormat="1" applyFont="1" applyBorder="1" applyAlignment="1" applyProtection="1">
      <alignment horizontal="center" vertical="center"/>
      <protection locked="0"/>
    </xf>
    <xf numFmtId="1" fontId="5" fillId="13" borderId="9" xfId="3" applyNumberFormat="1" applyFont="1" applyFill="1" applyBorder="1" applyAlignment="1" applyProtection="1">
      <alignment horizontal="center" vertical="center"/>
      <protection locked="0"/>
    </xf>
    <xf numFmtId="0" fontId="5" fillId="7" borderId="9" xfId="3" applyFont="1" applyFill="1" applyBorder="1" applyAlignment="1" applyProtection="1">
      <alignment horizontal="center" vertical="center"/>
      <protection locked="0"/>
    </xf>
    <xf numFmtId="0" fontId="5" fillId="23" borderId="9" xfId="3" applyFont="1" applyFill="1" applyBorder="1" applyAlignment="1" applyProtection="1">
      <alignment horizontal="center" vertical="center"/>
      <protection locked="0"/>
    </xf>
    <xf numFmtId="0" fontId="5" fillId="19" borderId="9" xfId="3" applyFont="1" applyFill="1" applyBorder="1" applyAlignment="1" applyProtection="1">
      <alignment horizontal="center" vertical="center"/>
      <protection locked="0"/>
    </xf>
    <xf numFmtId="49" fontId="5" fillId="19" borderId="23" xfId="3" applyNumberFormat="1" applyFont="1" applyFill="1" applyBorder="1" applyAlignment="1" applyProtection="1">
      <alignment horizontal="right" vertical="center"/>
      <protection locked="0"/>
    </xf>
    <xf numFmtId="1" fontId="5" fillId="19" borderId="9" xfId="3" applyNumberFormat="1" applyFont="1" applyFill="1" applyBorder="1" applyAlignment="1" applyProtection="1">
      <alignment horizontal="center" vertical="center"/>
      <protection locked="0"/>
    </xf>
    <xf numFmtId="0" fontId="5" fillId="0" borderId="9" xfId="3" applyFont="1" applyBorder="1" applyAlignment="1" applyProtection="1">
      <alignment horizontal="center" vertical="center"/>
      <protection locked="0"/>
    </xf>
    <xf numFmtId="49" fontId="18" fillId="10" borderId="23" xfId="3" applyNumberFormat="1" applyFont="1" applyFill="1" applyBorder="1" applyAlignment="1" applyProtection="1">
      <alignment horizontal="center" vertical="center"/>
      <protection locked="0"/>
    </xf>
    <xf numFmtId="1" fontId="18" fillId="10" borderId="9" xfId="3" applyNumberFormat="1" applyFont="1" applyFill="1" applyBorder="1" applyAlignment="1" applyProtection="1">
      <alignment horizontal="center" vertical="center"/>
      <protection locked="0"/>
    </xf>
    <xf numFmtId="164" fontId="18" fillId="10" borderId="9" xfId="3" applyNumberFormat="1" applyFont="1" applyFill="1" applyBorder="1" applyAlignment="1" applyProtection="1">
      <alignment horizontal="center" vertical="center"/>
      <protection locked="0"/>
    </xf>
    <xf numFmtId="49" fontId="5" fillId="0" borderId="24" xfId="3" applyNumberFormat="1" applyFont="1" applyBorder="1" applyAlignment="1" applyProtection="1">
      <alignment horizontal="center" vertical="center"/>
      <protection locked="0"/>
    </xf>
    <xf numFmtId="0" fontId="5" fillId="0" borderId="17" xfId="3" applyFont="1" applyBorder="1" applyAlignment="1" applyProtection="1">
      <alignment horizontal="center" vertical="center"/>
      <protection locked="0"/>
    </xf>
    <xf numFmtId="49" fontId="18" fillId="11" borderId="23" xfId="3" applyNumberFormat="1" applyFont="1" applyFill="1" applyBorder="1" applyAlignment="1" applyProtection="1">
      <alignment horizontal="center" vertical="center"/>
      <protection locked="0"/>
    </xf>
    <xf numFmtId="0" fontId="5" fillId="10" borderId="9" xfId="3" applyFont="1" applyFill="1" applyBorder="1" applyAlignment="1" applyProtection="1">
      <alignment horizontal="center" vertical="center"/>
      <protection locked="0"/>
    </xf>
    <xf numFmtId="0" fontId="5" fillId="24" borderId="9" xfId="3" applyFont="1" applyFill="1" applyBorder="1" applyAlignment="1" applyProtection="1">
      <alignment horizontal="center" vertical="center"/>
      <protection locked="0"/>
    </xf>
    <xf numFmtId="49" fontId="18" fillId="11" borderId="38" xfId="3" applyNumberFormat="1" applyFont="1" applyFill="1" applyBorder="1" applyAlignment="1" applyProtection="1">
      <alignment horizontal="center" vertical="center"/>
      <protection locked="0"/>
    </xf>
    <xf numFmtId="0" fontId="18" fillId="10" borderId="38" xfId="3" applyFont="1" applyFill="1" applyBorder="1" applyAlignment="1" applyProtection="1">
      <alignment horizontal="left" vertical="center"/>
      <protection locked="0"/>
    </xf>
    <xf numFmtId="0" fontId="5" fillId="10" borderId="38" xfId="3" applyFont="1" applyFill="1" applyBorder="1" applyAlignment="1" applyProtection="1">
      <alignment horizontal="center" vertical="center"/>
      <protection locked="0"/>
    </xf>
    <xf numFmtId="49" fontId="18" fillId="15" borderId="23" xfId="3" applyNumberFormat="1" applyFont="1" applyFill="1" applyBorder="1" applyAlignment="1" applyProtection="1">
      <alignment horizontal="center" vertical="center"/>
      <protection locked="0"/>
    </xf>
    <xf numFmtId="0" fontId="18" fillId="15" borderId="9" xfId="3" applyFont="1" applyFill="1" applyBorder="1" applyAlignment="1" applyProtection="1">
      <alignment horizontal="center" vertical="center"/>
      <protection locked="0"/>
    </xf>
    <xf numFmtId="49" fontId="5" fillId="15" borderId="23" xfId="3" applyNumberFormat="1" applyFont="1" applyFill="1" applyBorder="1" applyAlignment="1" applyProtection="1">
      <alignment horizontal="center" vertical="center"/>
      <protection locked="0"/>
    </xf>
    <xf numFmtId="0" fontId="5" fillId="15" borderId="9" xfId="3" applyFont="1" applyFill="1" applyBorder="1" applyAlignment="1" applyProtection="1">
      <alignment horizontal="center" vertical="center"/>
      <protection locked="0"/>
    </xf>
    <xf numFmtId="165" fontId="18" fillId="11" borderId="9" xfId="3" applyNumberFormat="1" applyFont="1" applyFill="1" applyBorder="1" applyAlignment="1" applyProtection="1">
      <alignment horizontal="center" vertical="center"/>
      <protection locked="0"/>
    </xf>
    <xf numFmtId="3" fontId="18" fillId="19" borderId="9" xfId="3" applyNumberFormat="1" applyFont="1" applyFill="1" applyBorder="1" applyAlignment="1" applyProtection="1">
      <alignment horizontal="center" vertical="center"/>
      <protection locked="0"/>
    </xf>
    <xf numFmtId="165" fontId="18" fillId="0" borderId="9" xfId="3" applyNumberFormat="1" applyFont="1" applyBorder="1" applyAlignment="1" applyProtection="1">
      <alignment horizontal="center" vertical="center"/>
      <protection locked="0"/>
    </xf>
    <xf numFmtId="49" fontId="5" fillId="0" borderId="25" xfId="3" applyNumberFormat="1" applyFont="1" applyBorder="1" applyAlignment="1" applyProtection="1">
      <alignment horizontal="center" vertical="center"/>
      <protection locked="0"/>
    </xf>
    <xf numFmtId="0" fontId="18" fillId="0" borderId="9" xfId="3" applyFont="1" applyBorder="1" applyAlignment="1" applyProtection="1">
      <alignment horizontal="center" vertical="center"/>
      <protection locked="0"/>
    </xf>
    <xf numFmtId="0" fontId="5" fillId="0" borderId="27" xfId="3" applyFont="1" applyBorder="1" applyAlignment="1" applyProtection="1">
      <alignment horizontal="center" vertical="center"/>
      <protection locked="0"/>
    </xf>
    <xf numFmtId="0" fontId="5" fillId="0" borderId="3" xfId="3" applyFont="1" applyBorder="1" applyAlignment="1" applyProtection="1">
      <alignment horizontal="center" vertical="center"/>
      <protection locked="0"/>
    </xf>
    <xf numFmtId="0" fontId="39" fillId="0" borderId="51" xfId="0" applyFont="1" applyBorder="1"/>
    <xf numFmtId="0" fontId="39" fillId="0" borderId="0" xfId="0" applyFont="1"/>
    <xf numFmtId="0" fontId="37" fillId="0" borderId="0" xfId="4" applyFont="1" applyAlignment="1">
      <alignment horizontal="left" vertical="center"/>
    </xf>
    <xf numFmtId="0" fontId="27" fillId="26" borderId="0" xfId="0" applyFont="1" applyFill="1" applyAlignment="1">
      <alignment horizontal="center" vertical="center" wrapText="1"/>
    </xf>
    <xf numFmtId="0" fontId="23" fillId="0" borderId="28" xfId="0" applyFont="1" applyBorder="1"/>
    <xf numFmtId="0" fontId="5" fillId="7" borderId="28" xfId="0" applyFont="1" applyFill="1" applyBorder="1" applyAlignment="1" applyProtection="1">
      <alignment horizontal="right"/>
      <protection locked="0"/>
    </xf>
    <xf numFmtId="0" fontId="5" fillId="7" borderId="28" xfId="0" applyFont="1" applyFill="1" applyBorder="1" applyAlignment="1" applyProtection="1">
      <alignment horizontal="left"/>
      <protection locked="0"/>
    </xf>
    <xf numFmtId="1" fontId="5" fillId="13" borderId="9" xfId="3" applyNumberFormat="1" applyFont="1" applyFill="1" applyBorder="1" applyAlignment="1" applyProtection="1">
      <alignment horizontal="center" vertical="center" wrapText="1"/>
      <protection locked="0"/>
    </xf>
    <xf numFmtId="49" fontId="2" fillId="0" borderId="0" xfId="3" applyNumberFormat="1" applyAlignment="1">
      <alignment horizontal="center" wrapText="1"/>
    </xf>
    <xf numFmtId="49" fontId="26" fillId="0" borderId="3" xfId="3" applyNumberFormat="1" applyFont="1" applyBorder="1" applyAlignment="1">
      <alignment horizontal="center" vertical="center" wrapText="1"/>
    </xf>
    <xf numFmtId="1" fontId="18" fillId="10" borderId="9" xfId="3" applyNumberFormat="1" applyFont="1" applyFill="1" applyBorder="1" applyAlignment="1" applyProtection="1">
      <alignment horizontal="center" vertical="center" wrapText="1"/>
      <protection locked="0"/>
    </xf>
    <xf numFmtId="0" fontId="5" fillId="0" borderId="17" xfId="3" applyFont="1" applyBorder="1" applyAlignment="1" applyProtection="1">
      <alignment horizontal="center" vertical="center" wrapText="1"/>
      <protection locked="0"/>
    </xf>
    <xf numFmtId="0" fontId="18" fillId="10" borderId="38" xfId="3" applyFont="1" applyFill="1" applyBorder="1" applyAlignment="1" applyProtection="1">
      <alignment horizontal="left" vertical="center" wrapText="1"/>
      <protection locked="0"/>
    </xf>
    <xf numFmtId="0" fontId="18" fillId="15" borderId="9" xfId="3" applyFont="1" applyFill="1" applyBorder="1" applyAlignment="1" applyProtection="1">
      <alignment horizontal="center" vertical="center" wrapText="1"/>
      <protection locked="0"/>
    </xf>
    <xf numFmtId="1" fontId="5" fillId="0" borderId="9" xfId="3" applyNumberFormat="1" applyFont="1" applyBorder="1" applyAlignment="1" applyProtection="1">
      <alignment horizontal="center" vertical="center" wrapText="1"/>
      <protection locked="0"/>
    </xf>
    <xf numFmtId="0" fontId="5" fillId="15" borderId="9" xfId="3" applyFont="1" applyFill="1" applyBorder="1" applyAlignment="1" applyProtection="1">
      <alignment horizontal="center" vertical="center" wrapText="1"/>
      <protection locked="0"/>
    </xf>
    <xf numFmtId="0" fontId="5" fillId="0" borderId="3" xfId="3" applyFont="1" applyBorder="1" applyAlignment="1" applyProtection="1">
      <alignment horizontal="center" vertical="center" wrapText="1"/>
      <protection locked="0"/>
    </xf>
    <xf numFmtId="0" fontId="2" fillId="0" borderId="0" xfId="3" applyAlignment="1">
      <alignment wrapText="1"/>
    </xf>
    <xf numFmtId="0" fontId="0" fillId="0" borderId="0" xfId="0" applyAlignment="1">
      <alignment wrapText="1"/>
    </xf>
    <xf numFmtId="49" fontId="5" fillId="0" borderId="23" xfId="3" applyNumberFormat="1" applyFont="1" applyBorder="1" applyAlignment="1" applyProtection="1">
      <alignment horizontal="center" vertical="center" wrapText="1"/>
      <protection locked="0"/>
    </xf>
    <xf numFmtId="1" fontId="18" fillId="0" borderId="9" xfId="3" applyNumberFormat="1" applyFont="1" applyBorder="1" applyAlignment="1" applyProtection="1">
      <alignment horizontal="center" vertical="center" wrapText="1"/>
      <protection locked="0"/>
    </xf>
    <xf numFmtId="1" fontId="5" fillId="7" borderId="9" xfId="3" applyNumberFormat="1" applyFont="1" applyFill="1" applyBorder="1" applyAlignment="1" applyProtection="1">
      <alignment horizontal="center" vertical="center" wrapText="1"/>
      <protection locked="0"/>
    </xf>
    <xf numFmtId="0" fontId="6" fillId="0" borderId="52" xfId="2" applyFont="1" applyBorder="1" applyAlignment="1">
      <alignment horizontal="center" vertical="center"/>
    </xf>
    <xf numFmtId="0" fontId="9" fillId="7" borderId="43" xfId="2" applyFont="1" applyFill="1" applyBorder="1" applyAlignment="1" applyProtection="1">
      <alignment horizontal="center" vertical="center"/>
      <protection locked="0"/>
    </xf>
    <xf numFmtId="0" fontId="5" fillId="0" borderId="23" xfId="3" applyFont="1" applyBorder="1" applyAlignment="1" applyProtection="1">
      <alignment horizontal="center" vertical="center"/>
      <protection locked="0"/>
    </xf>
    <xf numFmtId="0" fontId="29" fillId="7" borderId="32" xfId="2" applyFont="1" applyFill="1" applyBorder="1"/>
    <xf numFmtId="0" fontId="29" fillId="7" borderId="21" xfId="2" applyFont="1" applyFill="1" applyBorder="1"/>
    <xf numFmtId="0" fontId="30" fillId="0" borderId="47" xfId="2" quotePrefix="1" applyFont="1" applyBorder="1" applyAlignment="1">
      <alignment horizontal="right" vertical="center"/>
    </xf>
    <xf numFmtId="0" fontId="2" fillId="0" borderId="49" xfId="2" applyBorder="1"/>
    <xf numFmtId="0" fontId="30" fillId="0" borderId="47" xfId="2" quotePrefix="1" applyFont="1" applyBorder="1" applyAlignment="1">
      <alignment horizontal="center" vertical="center"/>
    </xf>
    <xf numFmtId="0" fontId="2" fillId="0" borderId="52" xfId="3" applyBorder="1"/>
    <xf numFmtId="0" fontId="29" fillId="0" borderId="53" xfId="3" applyFont="1" applyBorder="1"/>
    <xf numFmtId="0" fontId="9" fillId="0" borderId="29" xfId="2" applyFont="1" applyBorder="1" applyAlignment="1">
      <alignment horizontal="center" vertical="center" wrapText="1"/>
    </xf>
    <xf numFmtId="0" fontId="3" fillId="10" borderId="1" xfId="2" applyFont="1" applyFill="1" applyBorder="1" applyAlignment="1">
      <alignment horizontal="center" vertical="center"/>
    </xf>
    <xf numFmtId="0" fontId="9" fillId="8" borderId="9" xfId="2" applyFont="1" applyFill="1" applyBorder="1" applyAlignment="1" applyProtection="1">
      <alignment horizontal="center" vertical="center"/>
      <protection locked="0"/>
    </xf>
    <xf numFmtId="0" fontId="9" fillId="8" borderId="30" xfId="2" applyFont="1" applyFill="1" applyBorder="1" applyAlignment="1" applyProtection="1">
      <alignment horizontal="center" vertical="center"/>
      <protection locked="0"/>
    </xf>
    <xf numFmtId="49" fontId="5" fillId="7" borderId="23" xfId="3" applyNumberFormat="1" applyFont="1" applyFill="1" applyBorder="1" applyAlignment="1" applyProtection="1">
      <alignment horizontal="center" vertical="center"/>
      <protection locked="0"/>
    </xf>
    <xf numFmtId="49" fontId="5" fillId="7" borderId="54" xfId="3" applyNumberFormat="1" applyFont="1" applyFill="1" applyBorder="1" applyAlignment="1" applyProtection="1">
      <alignment horizontal="center" vertical="center"/>
      <protection locked="0"/>
    </xf>
    <xf numFmtId="1" fontId="5" fillId="13" borderId="55" xfId="3" applyNumberFormat="1" applyFont="1" applyFill="1" applyBorder="1" applyAlignment="1" applyProtection="1">
      <alignment horizontal="center" vertical="center"/>
      <protection locked="0"/>
    </xf>
    <xf numFmtId="0" fontId="5" fillId="0" borderId="57" xfId="3" applyFont="1" applyBorder="1" applyAlignment="1" applyProtection="1">
      <alignment horizontal="center" vertical="center"/>
      <protection locked="0"/>
    </xf>
    <xf numFmtId="1" fontId="5" fillId="13" borderId="12" xfId="3" applyNumberFormat="1" applyFont="1" applyFill="1" applyBorder="1" applyAlignment="1" applyProtection="1">
      <alignment horizontal="center" vertical="center"/>
      <protection locked="0"/>
    </xf>
    <xf numFmtId="0" fontId="24" fillId="0" borderId="0" xfId="3" applyFont="1" applyAlignment="1">
      <alignment horizontal="center"/>
    </xf>
    <xf numFmtId="0" fontId="5" fillId="0" borderId="0" xfId="3" applyFont="1" applyAlignment="1">
      <alignment horizontal="center" wrapText="1"/>
    </xf>
    <xf numFmtId="0" fontId="5" fillId="0" borderId="0" xfId="3" applyFont="1" applyAlignment="1">
      <alignment horizontal="center"/>
    </xf>
    <xf numFmtId="0" fontId="26" fillId="23" borderId="28" xfId="3" applyFont="1" applyFill="1" applyBorder="1" applyAlignment="1">
      <alignment horizontal="center"/>
    </xf>
    <xf numFmtId="0" fontId="26" fillId="24" borderId="28" xfId="3" applyFont="1" applyFill="1" applyBorder="1" applyAlignment="1">
      <alignment horizontal="center"/>
    </xf>
    <xf numFmtId="0" fontId="29" fillId="20" borderId="1" xfId="3" applyFont="1" applyFill="1" applyBorder="1" applyAlignment="1">
      <alignment horizontal="center" textRotation="90"/>
    </xf>
    <xf numFmtId="0" fontId="9" fillId="5" borderId="60" xfId="2" applyFont="1" applyFill="1" applyBorder="1" applyAlignment="1" applyProtection="1">
      <alignment horizontal="center" vertical="center"/>
      <protection locked="0"/>
    </xf>
    <xf numFmtId="0" fontId="9" fillId="5" borderId="61" xfId="2" applyFont="1" applyFill="1" applyBorder="1" applyAlignment="1" applyProtection="1">
      <alignment horizontal="center" vertical="center"/>
      <protection locked="0"/>
    </xf>
    <xf numFmtId="0" fontId="9" fillId="0" borderId="62" xfId="2" applyFont="1" applyBorder="1" applyAlignment="1" applyProtection="1">
      <alignment horizontal="center" vertical="center"/>
      <protection locked="0"/>
    </xf>
    <xf numFmtId="0" fontId="32" fillId="0" borderId="62" xfId="2" applyFont="1" applyBorder="1" applyAlignment="1" applyProtection="1">
      <alignment horizontal="center" vertical="center"/>
      <protection locked="0"/>
    </xf>
    <xf numFmtId="0" fontId="9" fillId="0" borderId="63" xfId="2" applyFont="1" applyBorder="1" applyAlignment="1" applyProtection="1">
      <alignment horizontal="center" vertical="center"/>
      <protection locked="0"/>
    </xf>
    <xf numFmtId="0" fontId="9" fillId="0" borderId="64" xfId="2" applyFont="1" applyBorder="1" applyAlignment="1">
      <alignment horizontal="center" vertical="center"/>
    </xf>
    <xf numFmtId="0" fontId="9" fillId="7" borderId="44" xfId="2" applyFont="1" applyFill="1" applyBorder="1" applyAlignment="1" applyProtection="1">
      <alignment horizontal="center" vertical="center"/>
      <protection locked="0"/>
    </xf>
    <xf numFmtId="0" fontId="5" fillId="7" borderId="54" xfId="3" applyFont="1" applyFill="1" applyBorder="1" applyAlignment="1" applyProtection="1">
      <alignment horizontal="center" vertical="center"/>
      <protection locked="0"/>
    </xf>
    <xf numFmtId="1" fontId="5" fillId="12" borderId="55" xfId="3" applyNumberFormat="1" applyFont="1" applyFill="1" applyBorder="1" applyAlignment="1" applyProtection="1">
      <alignment horizontal="center" vertical="center" wrapText="1"/>
      <protection locked="0"/>
    </xf>
    <xf numFmtId="1" fontId="5" fillId="12" borderId="9" xfId="3" applyNumberFormat="1" applyFont="1" applyFill="1" applyBorder="1" applyAlignment="1" applyProtection="1">
      <alignment horizontal="center" vertical="center" wrapText="1"/>
      <protection locked="0"/>
    </xf>
    <xf numFmtId="0" fontId="9" fillId="5" borderId="6" xfId="2" applyFont="1" applyFill="1" applyBorder="1" applyAlignment="1" applyProtection="1">
      <alignment horizontal="center" vertical="center"/>
      <protection locked="0"/>
    </xf>
    <xf numFmtId="0" fontId="9" fillId="0" borderId="65" xfId="2" applyFont="1" applyBorder="1" applyAlignment="1" applyProtection="1">
      <alignment horizontal="center" vertical="center"/>
      <protection locked="0"/>
    </xf>
    <xf numFmtId="0" fontId="5" fillId="23" borderId="56" xfId="3" applyFont="1" applyFill="1" applyBorder="1" applyAlignment="1" applyProtection="1">
      <alignment horizontal="center" vertical="center"/>
      <protection locked="0"/>
    </xf>
    <xf numFmtId="172" fontId="5" fillId="7" borderId="28" xfId="0" applyNumberFormat="1" applyFont="1" applyFill="1" applyBorder="1" applyAlignment="1">
      <alignment horizontal="center"/>
    </xf>
    <xf numFmtId="173" fontId="5" fillId="7" borderId="28" xfId="0" applyNumberFormat="1" applyFont="1" applyFill="1" applyBorder="1" applyAlignment="1">
      <alignment horizontal="center"/>
    </xf>
    <xf numFmtId="0" fontId="23" fillId="7" borderId="32" xfId="0" applyFont="1" applyFill="1" applyBorder="1"/>
    <xf numFmtId="0" fontId="23" fillId="25" borderId="0" xfId="0" applyFont="1" applyFill="1"/>
    <xf numFmtId="0" fontId="23" fillId="25" borderId="32" xfId="0" applyFont="1" applyFill="1" applyBorder="1"/>
    <xf numFmtId="0" fontId="23" fillId="7" borderId="0" xfId="0" applyFont="1" applyFill="1"/>
    <xf numFmtId="171" fontId="22" fillId="12" borderId="33" xfId="4" applyNumberFormat="1" applyFont="1" applyFill="1" applyBorder="1" applyAlignment="1">
      <alignment horizontal="center" vertical="center"/>
    </xf>
    <xf numFmtId="170" fontId="22" fillId="12" borderId="33" xfId="4" applyNumberFormat="1" applyFont="1" applyFill="1" applyBorder="1" applyAlignment="1">
      <alignment horizontal="center" vertical="center"/>
    </xf>
    <xf numFmtId="0" fontId="9" fillId="0" borderId="66" xfId="2" applyFont="1" applyBorder="1" applyAlignment="1">
      <alignment horizontal="center" vertical="center" wrapText="1"/>
    </xf>
    <xf numFmtId="0" fontId="9" fillId="0" borderId="67" xfId="2" applyFont="1" applyBorder="1" applyAlignment="1">
      <alignment horizontal="center" vertical="center" wrapText="1"/>
    </xf>
    <xf numFmtId="0" fontId="9" fillId="0" borderId="33" xfId="2" applyFont="1" applyBorder="1" applyAlignment="1">
      <alignment horizontal="center" vertical="center" wrapText="1"/>
    </xf>
    <xf numFmtId="0" fontId="9" fillId="5" borderId="68" xfId="2" applyFont="1" applyFill="1" applyBorder="1" applyAlignment="1" applyProtection="1">
      <alignment horizontal="center" vertical="center"/>
      <protection locked="0"/>
    </xf>
    <xf numFmtId="0" fontId="9" fillId="0" borderId="68" xfId="2" applyFont="1" applyBorder="1" applyAlignment="1" applyProtection="1">
      <alignment horizontal="center" vertical="center"/>
      <protection locked="0"/>
    </xf>
    <xf numFmtId="0" fontId="9" fillId="6" borderId="68" xfId="2" applyFont="1" applyFill="1" applyBorder="1" applyAlignment="1" applyProtection="1">
      <alignment horizontal="center" vertical="center"/>
      <protection locked="0"/>
    </xf>
    <xf numFmtId="0" fontId="9" fillId="8" borderId="68" xfId="2" applyFont="1" applyFill="1" applyBorder="1" applyAlignment="1" applyProtection="1">
      <alignment horizontal="center" vertical="center"/>
      <protection locked="0"/>
    </xf>
    <xf numFmtId="0" fontId="9" fillId="5" borderId="69" xfId="2" applyFont="1" applyFill="1" applyBorder="1" applyAlignment="1" applyProtection="1">
      <alignment horizontal="center" vertical="center"/>
      <protection locked="0"/>
    </xf>
    <xf numFmtId="0" fontId="9" fillId="5" borderId="52" xfId="2" applyFont="1" applyFill="1" applyBorder="1" applyAlignment="1" applyProtection="1">
      <alignment horizontal="center" vertical="center"/>
      <protection locked="0"/>
    </xf>
    <xf numFmtId="0" fontId="9" fillId="6" borderId="70" xfId="2" applyFont="1" applyFill="1" applyBorder="1" applyAlignment="1" applyProtection="1">
      <alignment horizontal="center" vertical="center"/>
      <protection locked="0"/>
    </xf>
    <xf numFmtId="0" fontId="9" fillId="0" borderId="52" xfId="2" applyFont="1" applyBorder="1" applyAlignment="1" applyProtection="1">
      <alignment horizontal="center" vertical="center"/>
      <protection locked="0"/>
    </xf>
    <xf numFmtId="0" fontId="9" fillId="5" borderId="71" xfId="2" applyFont="1" applyFill="1" applyBorder="1" applyAlignment="1" applyProtection="1">
      <alignment horizontal="center" vertical="center"/>
      <protection locked="0"/>
    </xf>
    <xf numFmtId="0" fontId="32" fillId="0" borderId="68" xfId="2" applyFont="1" applyBorder="1" applyAlignment="1" applyProtection="1">
      <alignment horizontal="center" vertical="center"/>
      <protection locked="0"/>
    </xf>
    <xf numFmtId="0" fontId="9" fillId="5" borderId="72" xfId="2" applyFont="1" applyFill="1" applyBorder="1" applyAlignment="1" applyProtection="1">
      <alignment horizontal="center" vertical="center"/>
      <protection locked="0"/>
    </xf>
    <xf numFmtId="0" fontId="1" fillId="21" borderId="3" xfId="1" applyFill="1" applyBorder="1" applyAlignment="1">
      <alignment horizontal="center" vertical="center" wrapText="1"/>
    </xf>
    <xf numFmtId="49" fontId="1" fillId="4" borderId="39" xfId="1" applyNumberFormat="1" applyFill="1" applyBorder="1" applyAlignment="1">
      <alignment horizontal="center" vertical="center" wrapText="1"/>
    </xf>
    <xf numFmtId="0" fontId="1" fillId="0" borderId="2" xfId="1" applyBorder="1" applyAlignment="1">
      <alignment horizontal="center" vertical="center" wrapText="1"/>
    </xf>
    <xf numFmtId="0" fontId="1" fillId="21" borderId="4" xfId="1" applyFill="1" applyBorder="1" applyAlignment="1">
      <alignment horizontal="center" vertical="center" wrapText="1"/>
    </xf>
    <xf numFmtId="0" fontId="8" fillId="0" borderId="68" xfId="3" applyFont="1" applyBorder="1" applyAlignment="1">
      <alignment horizontal="center" vertical="center"/>
    </xf>
    <xf numFmtId="0" fontId="8" fillId="0" borderId="11" xfId="3" applyFont="1" applyBorder="1" applyAlignment="1">
      <alignment horizontal="center" vertical="center"/>
    </xf>
    <xf numFmtId="0" fontId="8" fillId="0" borderId="72" xfId="3" applyFont="1" applyBorder="1" applyAlignment="1">
      <alignment horizontal="center" vertical="center"/>
    </xf>
    <xf numFmtId="0" fontId="8" fillId="0" borderId="19" xfId="3" applyFont="1" applyBorder="1" applyAlignment="1">
      <alignment horizontal="center" vertical="center"/>
    </xf>
    <xf numFmtId="0" fontId="8" fillId="10" borderId="73" xfId="3" applyFont="1" applyFill="1" applyBorder="1" applyAlignment="1" applyProtection="1">
      <alignment horizontal="center" vertical="center"/>
      <protection locked="0"/>
    </xf>
    <xf numFmtId="0" fontId="8" fillId="10" borderId="74" xfId="3" applyFont="1" applyFill="1" applyBorder="1" applyAlignment="1" applyProtection="1">
      <alignment horizontal="center" vertical="center"/>
      <protection locked="0"/>
    </xf>
    <xf numFmtId="0" fontId="8" fillId="15" borderId="68" xfId="3" applyFont="1" applyFill="1" applyBorder="1" applyAlignment="1">
      <alignment horizontal="center" vertical="center"/>
    </xf>
    <xf numFmtId="0" fontId="8" fillId="15" borderId="11" xfId="3" applyFont="1" applyFill="1" applyBorder="1" applyAlignment="1">
      <alignment horizontal="center" vertical="center"/>
    </xf>
    <xf numFmtId="0" fontId="8" fillId="0" borderId="52" xfId="3" applyFont="1" applyBorder="1" applyAlignment="1">
      <alignment horizontal="center" vertical="center"/>
    </xf>
    <xf numFmtId="0" fontId="8" fillId="0" borderId="5" xfId="3" applyFont="1" applyBorder="1" applyAlignment="1">
      <alignment horizontal="center" vertical="center"/>
    </xf>
    <xf numFmtId="0" fontId="8" fillId="0" borderId="7" xfId="3" applyFont="1" applyBorder="1" applyAlignment="1">
      <alignment horizontal="center" vertical="center"/>
    </xf>
    <xf numFmtId="0" fontId="1" fillId="0" borderId="4" xfId="1" applyBorder="1" applyAlignment="1">
      <alignment horizontal="center" vertical="center" wrapText="1"/>
    </xf>
    <xf numFmtId="0" fontId="1" fillId="0" borderId="3" xfId="1" applyFill="1" applyBorder="1" applyAlignment="1">
      <alignment horizontal="center" vertical="center" wrapText="1"/>
    </xf>
    <xf numFmtId="0" fontId="23" fillId="25" borderId="0" xfId="0" applyFont="1" applyFill="1" applyAlignment="1">
      <alignment wrapText="1"/>
    </xf>
    <xf numFmtId="0" fontId="5" fillId="6" borderId="28" xfId="4" applyFont="1" applyFill="1" applyBorder="1"/>
    <xf numFmtId="0" fontId="5" fillId="0" borderId="28" xfId="4" applyFont="1" applyBorder="1" applyAlignment="1">
      <alignment horizontal="left"/>
    </xf>
    <xf numFmtId="0" fontId="5" fillId="24" borderId="58" xfId="3" applyFont="1" applyFill="1" applyBorder="1" applyAlignment="1" applyProtection="1">
      <alignment horizontal="center" vertical="center"/>
      <protection locked="0"/>
    </xf>
    <xf numFmtId="0" fontId="5" fillId="24" borderId="59" xfId="3" applyFont="1" applyFill="1" applyBorder="1" applyAlignment="1" applyProtection="1">
      <alignment horizontal="center" vertical="center"/>
      <protection locked="0"/>
    </xf>
    <xf numFmtId="0" fontId="24" fillId="0" borderId="0" xfId="4" applyFont="1"/>
    <xf numFmtId="0" fontId="22" fillId="10" borderId="9" xfId="3" applyFont="1" applyFill="1" applyBorder="1" applyAlignment="1" applyProtection="1">
      <alignment horizontal="center" vertical="center" wrapText="1"/>
      <protection locked="0"/>
    </xf>
    <xf numFmtId="1" fontId="5" fillId="12" borderId="12" xfId="3" applyNumberFormat="1" applyFont="1" applyFill="1" applyBorder="1" applyAlignment="1" applyProtection="1">
      <alignment horizontal="center" vertical="center" wrapText="1"/>
      <protection locked="0"/>
    </xf>
    <xf numFmtId="1" fontId="5" fillId="7" borderId="55" xfId="3" applyNumberFormat="1" applyFont="1" applyFill="1" applyBorder="1" applyAlignment="1" applyProtection="1">
      <alignment horizontal="center" vertical="center" wrapText="1"/>
      <protection locked="0"/>
    </xf>
    <xf numFmtId="0" fontId="5" fillId="7" borderId="56" xfId="3" applyFont="1" applyFill="1" applyBorder="1" applyAlignment="1" applyProtection="1">
      <alignment horizontal="center" vertical="center"/>
      <protection locked="0"/>
    </xf>
    <xf numFmtId="0" fontId="9" fillId="5" borderId="62" xfId="2" applyFont="1" applyFill="1" applyBorder="1" applyAlignment="1" applyProtection="1">
      <alignment horizontal="center" vertical="center"/>
      <protection locked="0"/>
    </xf>
    <xf numFmtId="0" fontId="9" fillId="8" borderId="10" xfId="2" applyFont="1" applyFill="1" applyBorder="1" applyAlignment="1" applyProtection="1">
      <alignment horizontal="center" vertical="center"/>
      <protection locked="0"/>
    </xf>
    <xf numFmtId="0" fontId="9" fillId="6" borderId="15" xfId="2" applyFont="1" applyFill="1" applyBorder="1" applyAlignment="1" applyProtection="1">
      <alignment horizontal="center" vertical="center"/>
      <protection locked="0"/>
    </xf>
    <xf numFmtId="0" fontId="9" fillId="4" borderId="9" xfId="2" applyFont="1" applyFill="1" applyBorder="1" applyAlignment="1" applyProtection="1">
      <alignment horizontal="center" vertical="center"/>
      <protection locked="0"/>
    </xf>
    <xf numFmtId="0" fontId="9" fillId="4" borderId="10" xfId="2" applyFont="1" applyFill="1" applyBorder="1" applyAlignment="1" applyProtection="1">
      <alignment horizontal="center" vertical="center"/>
      <protection locked="0"/>
    </xf>
    <xf numFmtId="0" fontId="9" fillId="27" borderId="9" xfId="2" applyFont="1" applyFill="1" applyBorder="1" applyAlignment="1" applyProtection="1">
      <alignment horizontal="center" vertical="center"/>
      <protection locked="0"/>
    </xf>
    <xf numFmtId="0" fontId="9" fillId="4" borderId="33" xfId="2" applyFont="1" applyFill="1" applyBorder="1" applyAlignment="1">
      <alignment horizontal="center" vertical="center" wrapText="1"/>
    </xf>
    <xf numFmtId="0" fontId="29" fillId="28" borderId="1" xfId="3" applyFont="1" applyFill="1" applyBorder="1" applyAlignment="1">
      <alignment horizontal="center" textRotation="90"/>
    </xf>
    <xf numFmtId="0" fontId="29" fillId="29" borderId="1" xfId="3" applyFont="1" applyFill="1" applyBorder="1" applyAlignment="1">
      <alignment horizontal="center" textRotation="90"/>
    </xf>
    <xf numFmtId="0" fontId="2" fillId="28" borderId="0" xfId="3" applyFill="1"/>
    <xf numFmtId="0" fontId="2" fillId="28" borderId="0" xfId="3" applyFill="1" applyAlignment="1">
      <alignment textRotation="90"/>
    </xf>
    <xf numFmtId="0" fontId="1" fillId="30" borderId="45" xfId="1" applyFill="1" applyBorder="1" applyAlignment="1" applyProtection="1">
      <alignment horizontal="center"/>
    </xf>
    <xf numFmtId="0" fontId="18" fillId="15" borderId="9" xfId="3" applyFont="1" applyFill="1" applyBorder="1" applyAlignment="1" applyProtection="1">
      <alignment horizontal="right" vertical="center"/>
      <protection locked="0"/>
    </xf>
    <xf numFmtId="1" fontId="18" fillId="11" borderId="9" xfId="3" applyNumberFormat="1" applyFont="1" applyFill="1" applyBorder="1" applyAlignment="1" applyProtection="1">
      <alignment horizontal="right" vertical="center"/>
      <protection locked="0"/>
    </xf>
    <xf numFmtId="1" fontId="5" fillId="18" borderId="37" xfId="4" applyNumberFormat="1" applyFont="1" applyFill="1" applyBorder="1"/>
    <xf numFmtId="1" fontId="18" fillId="10" borderId="34" xfId="4" applyNumberFormat="1" applyFont="1" applyFill="1" applyBorder="1"/>
    <xf numFmtId="1" fontId="18" fillId="10" borderId="37" xfId="4" applyNumberFormat="1" applyFont="1" applyFill="1" applyBorder="1"/>
    <xf numFmtId="0" fontId="41" fillId="0" borderId="32" xfId="2" applyFont="1" applyBorder="1"/>
    <xf numFmtId="0" fontId="41" fillId="7" borderId="32" xfId="2" applyFont="1" applyFill="1" applyBorder="1"/>
    <xf numFmtId="0" fontId="9" fillId="31" borderId="9" xfId="2" applyFont="1" applyFill="1" applyBorder="1" applyAlignment="1" applyProtection="1">
      <alignment horizontal="center" vertical="center"/>
      <protection locked="0"/>
    </xf>
    <xf numFmtId="0" fontId="9" fillId="7" borderId="9" xfId="2" applyFont="1" applyFill="1" applyBorder="1" applyAlignment="1" applyProtection="1">
      <alignment horizontal="center" vertical="center"/>
      <protection locked="0"/>
    </xf>
    <xf numFmtId="0" fontId="9" fillId="0" borderId="75" xfId="2" applyFont="1" applyBorder="1" applyAlignment="1" applyProtection="1">
      <alignment horizontal="center" vertical="center"/>
      <protection locked="0"/>
    </xf>
    <xf numFmtId="0" fontId="9" fillId="0" borderId="20" xfId="2" applyFont="1" applyBorder="1" applyAlignment="1" applyProtection="1">
      <alignment horizontal="center" vertical="center"/>
      <protection locked="0"/>
    </xf>
    <xf numFmtId="0" fontId="9" fillId="5" borderId="20" xfId="2" applyFont="1" applyFill="1" applyBorder="1" applyAlignment="1" applyProtection="1">
      <alignment horizontal="center" vertical="center"/>
      <protection locked="0"/>
    </xf>
    <xf numFmtId="0" fontId="9" fillId="0" borderId="50" xfId="2" applyFont="1" applyBorder="1" applyAlignment="1" applyProtection="1">
      <alignment horizontal="center" vertical="center"/>
      <protection locked="0"/>
    </xf>
    <xf numFmtId="0" fontId="9" fillId="4" borderId="70" xfId="2" applyFont="1" applyFill="1" applyBorder="1" applyAlignment="1" applyProtection="1">
      <alignment horizontal="center" vertical="center"/>
      <protection locked="0"/>
    </xf>
    <xf numFmtId="0" fontId="9" fillId="4" borderId="62" xfId="2" applyFont="1" applyFill="1" applyBorder="1" applyAlignment="1" applyProtection="1">
      <alignment horizontal="center" vertical="center"/>
      <protection locked="0"/>
    </xf>
    <xf numFmtId="0" fontId="9" fillId="4" borderId="64" xfId="2" applyFont="1" applyFill="1" applyBorder="1" applyAlignment="1" applyProtection="1">
      <alignment horizontal="center" vertical="center"/>
      <protection locked="0"/>
    </xf>
    <xf numFmtId="0" fontId="9" fillId="4" borderId="68" xfId="2" applyFont="1" applyFill="1" applyBorder="1" applyAlignment="1" applyProtection="1">
      <alignment horizontal="center" vertical="center"/>
      <protection locked="0"/>
    </xf>
    <xf numFmtId="0" fontId="9" fillId="4" borderId="11" xfId="2" applyFont="1" applyFill="1" applyBorder="1" applyAlignment="1" applyProtection="1">
      <alignment horizontal="center" vertical="center"/>
      <protection locked="0"/>
    </xf>
    <xf numFmtId="0" fontId="9" fillId="31" borderId="68" xfId="2" applyFont="1" applyFill="1" applyBorder="1" applyAlignment="1" applyProtection="1">
      <alignment horizontal="center" vertical="center"/>
      <protection locked="0"/>
    </xf>
    <xf numFmtId="0" fontId="9" fillId="31" borderId="52" xfId="2" applyFont="1" applyFill="1" applyBorder="1" applyAlignment="1" applyProtection="1">
      <alignment horizontal="center" vertical="center"/>
      <protection locked="0"/>
    </xf>
    <xf numFmtId="0" fontId="9" fillId="4" borderId="5" xfId="2" applyFont="1" applyFill="1" applyBorder="1" applyAlignment="1" applyProtection="1">
      <alignment horizontal="center" vertical="center"/>
      <protection locked="0"/>
    </xf>
    <xf numFmtId="0" fontId="9" fillId="4" borderId="6" xfId="2" applyFont="1" applyFill="1" applyBorder="1" applyAlignment="1" applyProtection="1">
      <alignment horizontal="center" vertical="center"/>
      <protection locked="0"/>
    </xf>
    <xf numFmtId="0" fontId="9" fillId="4" borderId="7" xfId="2" applyFont="1" applyFill="1" applyBorder="1" applyAlignment="1" applyProtection="1">
      <alignment horizontal="center" vertical="center"/>
      <protection locked="0"/>
    </xf>
    <xf numFmtId="0" fontId="9" fillId="31" borderId="70" xfId="2" applyFont="1" applyFill="1" applyBorder="1" applyAlignment="1" applyProtection="1">
      <alignment horizontal="center" vertical="center"/>
      <protection locked="0"/>
    </xf>
    <xf numFmtId="0" fontId="9" fillId="31" borderId="62" xfId="2" applyFont="1" applyFill="1" applyBorder="1" applyAlignment="1" applyProtection="1">
      <alignment horizontal="center" vertical="center"/>
      <protection locked="0"/>
    </xf>
    <xf numFmtId="0" fontId="9" fillId="4" borderId="63" xfId="2" applyFont="1" applyFill="1" applyBorder="1" applyAlignment="1" applyProtection="1">
      <alignment horizontal="center" vertical="center"/>
      <protection locked="0"/>
    </xf>
    <xf numFmtId="0" fontId="9" fillId="27" borderId="68" xfId="2" applyFont="1" applyFill="1" applyBorder="1" applyAlignment="1" applyProtection="1">
      <alignment horizontal="center" vertical="center"/>
      <protection locked="0"/>
    </xf>
    <xf numFmtId="0" fontId="9" fillId="27" borderId="11" xfId="2" applyFont="1" applyFill="1" applyBorder="1" applyAlignment="1" applyProtection="1">
      <alignment horizontal="center" vertical="center"/>
      <protection locked="0"/>
    </xf>
    <xf numFmtId="0" fontId="9" fillId="27" borderId="52" xfId="2" applyFont="1" applyFill="1" applyBorder="1" applyAlignment="1" applyProtection="1">
      <alignment horizontal="center" vertical="center"/>
      <protection locked="0"/>
    </xf>
    <xf numFmtId="0" fontId="9" fillId="27" borderId="5" xfId="2" applyFont="1" applyFill="1" applyBorder="1" applyAlignment="1" applyProtection="1">
      <alignment horizontal="center" vertical="center"/>
      <protection locked="0"/>
    </xf>
    <xf numFmtId="0" fontId="9" fillId="27" borderId="7" xfId="2" applyFont="1" applyFill="1" applyBorder="1" applyAlignment="1" applyProtection="1">
      <alignment horizontal="center" vertical="center"/>
      <protection locked="0"/>
    </xf>
    <xf numFmtId="0" fontId="9" fillId="0" borderId="76" xfId="2" applyFont="1" applyBorder="1" applyAlignment="1" applyProtection="1">
      <alignment horizontal="center" vertical="center"/>
      <protection locked="0"/>
    </xf>
    <xf numFmtId="0" fontId="9" fillId="4" borderId="52" xfId="2" applyFont="1" applyFill="1" applyBorder="1" applyAlignment="1" applyProtection="1">
      <alignment horizontal="center" vertical="center"/>
      <protection locked="0"/>
    </xf>
    <xf numFmtId="0" fontId="9" fillId="4" borderId="18" xfId="2" applyFont="1" applyFill="1" applyBorder="1" applyAlignment="1" applyProtection="1">
      <alignment horizontal="center" vertical="center"/>
      <protection locked="0"/>
    </xf>
    <xf numFmtId="0" fontId="9" fillId="4" borderId="19" xfId="2" applyFont="1" applyFill="1" applyBorder="1" applyAlignment="1" applyProtection="1">
      <alignment horizontal="center" vertical="center"/>
      <protection locked="0"/>
    </xf>
    <xf numFmtId="3" fontId="0" fillId="0" borderId="0" xfId="0" applyNumberFormat="1"/>
    <xf numFmtId="174" fontId="5" fillId="0" borderId="28" xfId="0" applyNumberFormat="1" applyFont="1" applyBorder="1" applyProtection="1">
      <protection locked="0"/>
    </xf>
    <xf numFmtId="0" fontId="18" fillId="7" borderId="28" xfId="4" applyFont="1" applyFill="1" applyBorder="1"/>
    <xf numFmtId="165" fontId="18" fillId="7" borderId="9" xfId="3" applyNumberFormat="1" applyFont="1" applyFill="1" applyBorder="1" applyAlignment="1" applyProtection="1">
      <alignment horizontal="center" vertical="center"/>
      <protection locked="0"/>
    </xf>
    <xf numFmtId="0" fontId="18" fillId="7" borderId="28" xfId="3" applyFont="1" applyFill="1" applyBorder="1" applyAlignment="1">
      <alignment horizontal="right"/>
    </xf>
    <xf numFmtId="0" fontId="9" fillId="31" borderId="5" xfId="2" applyFont="1" applyFill="1" applyBorder="1" applyAlignment="1" applyProtection="1">
      <alignment horizontal="center" vertical="center"/>
      <protection locked="0"/>
    </xf>
    <xf numFmtId="1" fontId="5" fillId="32" borderId="12" xfId="3" applyNumberFormat="1" applyFont="1" applyFill="1" applyBorder="1" applyAlignment="1" applyProtection="1">
      <alignment horizontal="center" vertical="center"/>
      <protection locked="0"/>
    </xf>
    <xf numFmtId="0" fontId="9" fillId="6" borderId="77" xfId="2" applyFont="1" applyFill="1" applyBorder="1" applyAlignment="1" applyProtection="1">
      <alignment horizontal="center" vertical="center"/>
      <protection locked="0"/>
    </xf>
    <xf numFmtId="0" fontId="32" fillId="0" borderId="20" xfId="2" applyFont="1" applyBorder="1" applyAlignment="1" applyProtection="1">
      <alignment horizontal="center" vertical="center"/>
      <protection locked="0"/>
    </xf>
    <xf numFmtId="0" fontId="9" fillId="0" borderId="78" xfId="2" applyFont="1" applyBorder="1" applyAlignment="1">
      <alignment horizontal="center" vertical="center"/>
    </xf>
    <xf numFmtId="0" fontId="9" fillId="0" borderId="22" xfId="2" applyFont="1" applyBorder="1" applyAlignment="1" applyProtection="1">
      <alignment horizontal="center" vertical="center"/>
      <protection locked="0"/>
    </xf>
    <xf numFmtId="0" fontId="9" fillId="6" borderId="50" xfId="2" applyFont="1" applyFill="1" applyBorder="1" applyAlignment="1" applyProtection="1">
      <alignment horizontal="center" vertical="center"/>
      <protection locked="0"/>
    </xf>
    <xf numFmtId="0" fontId="18" fillId="7" borderId="9" xfId="3" applyFont="1" applyFill="1" applyBorder="1" applyAlignment="1" applyProtection="1">
      <alignment horizontal="center" vertical="center"/>
      <protection locked="0"/>
    </xf>
    <xf numFmtId="49" fontId="5" fillId="25" borderId="23" xfId="3" applyNumberFormat="1" applyFont="1" applyFill="1" applyBorder="1" applyAlignment="1" applyProtection="1">
      <alignment horizontal="center" vertical="center"/>
      <protection locked="0"/>
    </xf>
    <xf numFmtId="1" fontId="5" fillId="25" borderId="9" xfId="3" applyNumberFormat="1" applyFont="1" applyFill="1" applyBorder="1" applyAlignment="1" applyProtection="1">
      <alignment horizontal="center" vertical="center" wrapText="1"/>
      <protection locked="0"/>
    </xf>
    <xf numFmtId="1" fontId="5" fillId="25" borderId="9" xfId="3" applyNumberFormat="1" applyFont="1" applyFill="1" applyBorder="1" applyAlignment="1" applyProtection="1">
      <alignment horizontal="center" vertical="center"/>
      <protection locked="0"/>
    </xf>
    <xf numFmtId="0" fontId="5" fillId="25" borderId="9" xfId="3" applyFont="1" applyFill="1" applyBorder="1" applyAlignment="1" applyProtection="1">
      <alignment horizontal="center" vertical="center"/>
      <protection locked="0"/>
    </xf>
    <xf numFmtId="49" fontId="18" fillId="25" borderId="23" xfId="3" applyNumberFormat="1" applyFont="1" applyFill="1" applyBorder="1" applyAlignment="1" applyProtection="1">
      <alignment horizontal="center" vertical="center"/>
      <protection locked="0"/>
    </xf>
    <xf numFmtId="0" fontId="5" fillId="25" borderId="9" xfId="3" applyFont="1" applyFill="1" applyBorder="1" applyAlignment="1" applyProtection="1">
      <alignment horizontal="center" vertical="center" wrapText="1"/>
      <protection locked="0"/>
    </xf>
    <xf numFmtId="0" fontId="5" fillId="25" borderId="17" xfId="3" applyFont="1" applyFill="1" applyBorder="1" applyAlignment="1" applyProtection="1">
      <alignment horizontal="center" vertical="center"/>
      <protection locked="0"/>
    </xf>
    <xf numFmtId="0" fontId="5" fillId="25" borderId="17" xfId="3" applyFont="1" applyFill="1" applyBorder="1" applyAlignment="1" applyProtection="1">
      <alignment horizontal="center" vertical="center" wrapText="1"/>
      <protection locked="0"/>
    </xf>
    <xf numFmtId="49" fontId="5" fillId="32" borderId="23" xfId="3" applyNumberFormat="1" applyFont="1" applyFill="1" applyBorder="1" applyAlignment="1" applyProtection="1">
      <alignment horizontal="right" vertical="center"/>
      <protection locked="0"/>
    </xf>
    <xf numFmtId="0" fontId="5" fillId="32" borderId="9" xfId="3" applyFont="1" applyFill="1" applyBorder="1" applyAlignment="1" applyProtection="1">
      <alignment horizontal="center" vertical="center"/>
      <protection locked="0"/>
    </xf>
    <xf numFmtId="1" fontId="5" fillId="12" borderId="9" xfId="3" applyNumberFormat="1" applyFont="1" applyFill="1" applyBorder="1" applyAlignment="1" applyProtection="1">
      <alignment horizontal="center" vertical="center"/>
      <protection locked="0"/>
    </xf>
    <xf numFmtId="0" fontId="5" fillId="8" borderId="9" xfId="3" applyFont="1" applyFill="1" applyBorder="1" applyAlignment="1" applyProtection="1">
      <alignment horizontal="center" vertical="center"/>
      <protection locked="0"/>
    </xf>
    <xf numFmtId="0" fontId="39" fillId="26" borderId="0" xfId="0" applyFont="1" applyFill="1"/>
    <xf numFmtId="1" fontId="18" fillId="10" borderId="37" xfId="4" applyNumberFormat="1" applyFont="1" applyFill="1" applyBorder="1" applyAlignment="1">
      <alignment wrapText="1"/>
    </xf>
    <xf numFmtId="1" fontId="5" fillId="12" borderId="37" xfId="4" applyNumberFormat="1" applyFont="1" applyFill="1" applyBorder="1"/>
    <xf numFmtId="0" fontId="5" fillId="8" borderId="28" xfId="4" applyFont="1" applyFill="1" applyBorder="1"/>
    <xf numFmtId="0" fontId="5" fillId="8" borderId="59" xfId="3" applyFont="1" applyFill="1" applyBorder="1" applyAlignment="1" applyProtection="1">
      <alignment horizontal="center" vertical="center"/>
      <protection locked="0"/>
    </xf>
    <xf numFmtId="1" fontId="5" fillId="25" borderId="37" xfId="4" applyNumberFormat="1" applyFont="1" applyFill="1" applyBorder="1"/>
    <xf numFmtId="1" fontId="18" fillId="0" borderId="37" xfId="4" applyNumberFormat="1" applyFont="1" applyBorder="1"/>
    <xf numFmtId="0" fontId="8" fillId="0" borderId="14" xfId="3" applyFont="1" applyBorder="1" applyAlignment="1">
      <alignment horizontal="center" vertical="center"/>
    </xf>
    <xf numFmtId="1" fontId="23" fillId="0" borderId="0" xfId="0" applyNumberFormat="1" applyFont="1"/>
    <xf numFmtId="0" fontId="5" fillId="10" borderId="28" xfId="0" applyFont="1" applyFill="1" applyBorder="1" applyAlignment="1">
      <alignment horizontal="center"/>
    </xf>
    <xf numFmtId="0" fontId="17" fillId="0" borderId="0" xfId="2" applyFont="1" applyAlignment="1">
      <alignment horizontal="left" wrapText="1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</cellXfs>
  <cellStyles count="9">
    <cellStyle name="Comma 2" xfId="6" xr:uid="{BC81F6F1-D594-4F58-88CD-BE884513FB20}"/>
    <cellStyle name="Dezimal 2" xfId="5" xr:uid="{52B9B974-699D-46BD-A6B8-322FB8C55F34}"/>
    <cellStyle name="Hyperlink" xfId="1" builtinId="8"/>
    <cellStyle name="Normal" xfId="0" builtinId="0"/>
    <cellStyle name="Normal 2 2 2" xfId="7" xr:uid="{A1BEC610-CA05-4A7B-95F0-0260749FDA9F}"/>
    <cellStyle name="Standard 3" xfId="8" xr:uid="{05C5D4D5-144E-410A-B64C-70712A6A2643}"/>
    <cellStyle name="Standard_bk10_dat.xls_BRE_DEP" xfId="2" xr:uid="{64B824F7-CC37-4FF9-A87C-2806A93AE31F}"/>
    <cellStyle name="Standard_Gesamtkalkulation Peking V1.0" xfId="4" xr:uid="{A452509B-9D35-45DF-9BB1-C9785C3D4E87}"/>
    <cellStyle name="Standard_MENGEN.XLS" xfId="3" xr:uid="{4582F814-503F-47F5-A47D-05C8A6E62F9B}"/>
  </cellStyles>
  <dxfs count="215"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indexed="1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indexed="1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indexed="1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FF00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FF00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52"/>
        </patternFill>
      </fill>
    </dxf>
    <dxf>
      <fill>
        <patternFill>
          <bgColor rgb="FFFFFF00"/>
        </patternFill>
      </fill>
    </dxf>
    <dxf>
      <fill>
        <patternFill>
          <bgColor indexed="52"/>
        </patternFill>
      </fill>
    </dxf>
    <dxf>
      <fill>
        <patternFill>
          <bgColor rgb="FFFFFF00"/>
        </patternFill>
      </fill>
    </dxf>
    <dxf>
      <fill>
        <patternFill>
          <bgColor indexed="5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00FF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FFFF"/>
      <color rgb="FFFF00FF"/>
      <color rgb="FF00CC00"/>
      <color rgb="FFFF99CC"/>
      <color rgb="FF000066"/>
      <color rgb="FF660066"/>
      <color rgb="FF006666"/>
      <color rgb="FF666699"/>
      <color rgb="FF008080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4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0</xdr:row>
          <xdr:rowOff>101600</xdr:rowOff>
        </xdr:from>
        <xdr:to>
          <xdr:col>9</xdr:col>
          <xdr:colOff>311150</xdr:colOff>
          <xdr:row>0</xdr:row>
          <xdr:rowOff>615950</xdr:rowOff>
        </xdr:to>
        <xdr:sp macro="" textlink="">
          <xdr:nvSpPr>
            <xdr:cNvPr id="50177" name="cmd_get_Bom_pivot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0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165523</xdr:colOff>
      <xdr:row>0</xdr:row>
      <xdr:rowOff>381212</xdr:rowOff>
    </xdr:from>
    <xdr:to>
      <xdr:col>10</xdr:col>
      <xdr:colOff>1054726</xdr:colOff>
      <xdr:row>0</xdr:row>
      <xdr:rowOff>988662</xdr:rowOff>
    </xdr:to>
    <xdr:sp macro="[0]!gotoParameter" textlink="">
      <xdr:nvSpPr>
        <xdr:cNvPr id="2" name="Arrow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839190" y="381212"/>
          <a:ext cx="889203" cy="607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Next Step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101600</xdr:colOff>
          <xdr:row>0</xdr:row>
          <xdr:rowOff>679450</xdr:rowOff>
        </xdr:from>
        <xdr:to>
          <xdr:col>9</xdr:col>
          <xdr:colOff>368300</xdr:colOff>
          <xdr:row>0</xdr:row>
          <xdr:rowOff>1365250</xdr:rowOff>
        </xdr:to>
        <xdr:sp macro="" textlink="">
          <xdr:nvSpPr>
            <xdr:cNvPr id="50178" name="cmd_test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0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234950</xdr:colOff>
          <xdr:row>0</xdr:row>
          <xdr:rowOff>571500</xdr:rowOff>
        </xdr:from>
        <xdr:to>
          <xdr:col>7</xdr:col>
          <xdr:colOff>692150</xdr:colOff>
          <xdr:row>0</xdr:row>
          <xdr:rowOff>1066800</xdr:rowOff>
        </xdr:to>
        <xdr:sp macro="" textlink="">
          <xdr:nvSpPr>
            <xdr:cNvPr id="50179" name="cmd_clear_BOM_Pivot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0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3" name="Ham_MPN_Belt" descr="Hamburger Menu Icon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2</xdr:col>
      <xdr:colOff>933826</xdr:colOff>
      <xdr:row>4</xdr:row>
      <xdr:rowOff>104315</xdr:rowOff>
    </xdr:to>
    <xdr:grpSp>
      <xdr:nvGrpSpPr>
        <xdr:cNvPr id="4" name="Navigation_NEW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3587" y="425853"/>
          <a:ext cx="3444350" cy="1661073"/>
          <a:chOff x="3972319" y="2842324"/>
          <a:chExt cx="3757747" cy="1635891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8" name="Graphic 7" descr="Document with solid fill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9" name="Graphic 8" descr="Document with solid fill" hidden="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10" name="TextBox 9" hidden="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11" name="TextBox 10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2</xdr:col>
      <xdr:colOff>961008</xdr:colOff>
      <xdr:row>0</xdr:row>
      <xdr:rowOff>438930</xdr:rowOff>
    </xdr:from>
    <xdr:to>
      <xdr:col>3</xdr:col>
      <xdr:colOff>1321253</xdr:colOff>
      <xdr:row>1</xdr:row>
      <xdr:rowOff>179432</xdr:rowOff>
    </xdr:to>
    <xdr:grpSp>
      <xdr:nvGrpSpPr>
        <xdr:cNvPr id="12" name="LLC4Files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515119" y="438930"/>
          <a:ext cx="2695634" cy="1172780"/>
          <a:chOff x="7965546" y="3061383"/>
          <a:chExt cx="2661423" cy="1135479"/>
        </a:xfrm>
      </xdr:grpSpPr>
      <xdr:sp macro="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14" name="Rectangle 13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107950</xdr:colOff>
          <xdr:row>0</xdr:row>
          <xdr:rowOff>158750</xdr:rowOff>
        </xdr:from>
        <xdr:to>
          <xdr:col>5</xdr:col>
          <xdr:colOff>571500</xdr:colOff>
          <xdr:row>0</xdr:row>
          <xdr:rowOff>603250</xdr:rowOff>
        </xdr:to>
        <xdr:sp macro="" textlink="">
          <xdr:nvSpPr>
            <xdr:cNvPr id="59393" name="cmd_count_convLength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1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213360</xdr:colOff>
      <xdr:row>0</xdr:row>
      <xdr:rowOff>91440</xdr:rowOff>
    </xdr:from>
    <xdr:to>
      <xdr:col>7</xdr:col>
      <xdr:colOff>434340</xdr:colOff>
      <xdr:row>1</xdr:row>
      <xdr:rowOff>68580</xdr:rowOff>
    </xdr:to>
    <xdr:sp macro="[0]!gotoQtyTypicals" textlink="">
      <xdr:nvSpPr>
        <xdr:cNvPr id="2" name="Arrow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915400" y="91440"/>
          <a:ext cx="1005840" cy="6248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Next Step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18" name="Ham_MPN_Belt" descr="Hamburger Menu Icon with solid fill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2</xdr:col>
      <xdr:colOff>186219</xdr:colOff>
      <xdr:row>8</xdr:row>
      <xdr:rowOff>153422</xdr:rowOff>
    </xdr:to>
    <xdr:grpSp>
      <xdr:nvGrpSpPr>
        <xdr:cNvPr id="19" name="Navigation_NEW" hidden="1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43587" y="425853"/>
          <a:ext cx="3457332" cy="1670669"/>
          <a:chOff x="3972319" y="2842324"/>
          <a:chExt cx="3757747" cy="1635891"/>
        </a:xfrm>
      </xdr:grpSpPr>
      <xdr:sp macro="" textlink="">
        <xdr:nvSpPr>
          <xdr:cNvPr id="20" name="Rectangle 19" hidden="1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22" name="Rectangle 21" hidden="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23" name="Graphic 22" descr="Document with solid fill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24" name="Graphic 23" descr="Document with solid fill" hidden="1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25" name="TextBox 24" hidden="1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26" name="TextBox 25" hidden="1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2</xdr:col>
      <xdr:colOff>213401</xdr:colOff>
      <xdr:row>0</xdr:row>
      <xdr:rowOff>461790</xdr:rowOff>
    </xdr:from>
    <xdr:to>
      <xdr:col>2</xdr:col>
      <xdr:colOff>2868113</xdr:colOff>
      <xdr:row>6</xdr:row>
      <xdr:rowOff>38886</xdr:rowOff>
    </xdr:to>
    <xdr:grpSp>
      <xdr:nvGrpSpPr>
        <xdr:cNvPr id="27" name="LLC4Files" hidden="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3528101" y="461790"/>
          <a:ext cx="2654712" cy="1158246"/>
          <a:chOff x="7965546" y="3061383"/>
          <a:chExt cx="2661423" cy="1135479"/>
        </a:xfrm>
      </xdr:grpSpPr>
      <xdr:sp macro="" textlink="">
        <xdr:nvSpPr>
          <xdr:cNvPr id="28" name="Rectangle 27" hidden="1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29" name="Rectangle 28" hidden="1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30" name="Rectangle 29" hidden="1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59392" name="Rectangle 59391" hidden="1">
            <a:extLst>
              <a:ext uri="{FF2B5EF4-FFF2-40B4-BE49-F238E27FC236}">
                <a16:creationId xmlns:a16="http://schemas.microsoft.com/office/drawing/2014/main" id="{00000000-0008-0000-0100-000000E8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1429803</xdr:colOff>
      <xdr:row>0</xdr:row>
      <xdr:rowOff>196007</xdr:rowOff>
    </xdr:from>
    <xdr:to>
      <xdr:col>3</xdr:col>
      <xdr:colOff>2339538</xdr:colOff>
      <xdr:row>0</xdr:row>
      <xdr:rowOff>786947</xdr:rowOff>
    </xdr:to>
    <xdr:sp macro="[0]!GoToAllDevBelt" textlink="">
      <xdr:nvSpPr>
        <xdr:cNvPr id="2" name="Arrow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61084" y="196007"/>
          <a:ext cx="909735" cy="5909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Next Step</a:t>
          </a:r>
        </a:p>
      </xdr:txBody>
    </xdr:sp>
    <xdr:clientData/>
  </xdr:twoCellAnchor>
  <xdr:twoCellAnchor>
    <xdr:from>
      <xdr:col>4</xdr:col>
      <xdr:colOff>117927</xdr:colOff>
      <xdr:row>0</xdr:row>
      <xdr:rowOff>0</xdr:rowOff>
    </xdr:from>
    <xdr:to>
      <xdr:col>16</xdr:col>
      <xdr:colOff>114299</xdr:colOff>
      <xdr:row>0</xdr:row>
      <xdr:rowOff>1143000</xdr:rowOff>
    </xdr:to>
    <xdr:sp macro="" textlink="">
      <xdr:nvSpPr>
        <xdr:cNvPr id="36" name="Inst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4547052" y="0"/>
          <a:ext cx="5092247" cy="1143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>
              <a:solidFill>
                <a:srgbClr val="FF0000"/>
              </a:solidFill>
            </a:rPr>
            <a:t>Working Instruction:</a:t>
          </a:r>
        </a:p>
        <a:p>
          <a:r>
            <a:rPr lang="de-DE" sz="1100" b="1">
              <a:solidFill>
                <a:srgbClr val="FF0000"/>
              </a:solidFill>
            </a:rPr>
            <a:t>1. press the red button to count all devices</a:t>
          </a:r>
        </a:p>
        <a:p>
          <a:r>
            <a:rPr lang="de-DE" sz="1100" b="1">
              <a:solidFill>
                <a:srgbClr val="FF0000"/>
              </a:solidFill>
            </a:rPr>
            <a:t>2. click the blue</a:t>
          </a:r>
          <a:r>
            <a:rPr lang="de-DE" sz="1100" b="1" baseline="0">
              <a:solidFill>
                <a:srgbClr val="FF0000"/>
              </a:solidFill>
            </a:rPr>
            <a:t> arrow to go to the next step</a:t>
          </a:r>
        </a:p>
        <a:p>
          <a:endParaRPr lang="de-DE" sz="1100" b="1" baseline="0">
            <a:solidFill>
              <a:srgbClr val="FF0000"/>
            </a:solidFill>
          </a:endParaRPr>
        </a:p>
        <a:p>
          <a:r>
            <a:rPr lang="de-DE" sz="1100" b="1" baseline="0">
              <a:solidFill>
                <a:srgbClr val="FF0000"/>
              </a:solidFill>
            </a:rPr>
            <a:t>Note: By clicking the blue arrow all the commandbuttons in "Qty_all_Devices_Belt" and  </a:t>
          </a:r>
          <a:r>
            <a:rPr lang="de-DE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"Qty_all_Devices_ICS"  will be enabled .</a:t>
          </a:r>
          <a:endParaRPr lang="de-DE" sz="1100" b="1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406400</xdr:colOff>
          <xdr:row>0</xdr:row>
          <xdr:rowOff>152400</xdr:rowOff>
        </xdr:from>
        <xdr:to>
          <xdr:col>3</xdr:col>
          <xdr:colOff>1320800</xdr:colOff>
          <xdr:row>0</xdr:row>
          <xdr:rowOff>825500</xdr:rowOff>
        </xdr:to>
        <xdr:sp macro="" textlink="">
          <xdr:nvSpPr>
            <xdr:cNvPr id="15897" name="cmd_countAllDevices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2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1714500</xdr:colOff>
          <xdr:row>0</xdr:row>
          <xdr:rowOff>184150</xdr:rowOff>
        </xdr:from>
        <xdr:to>
          <xdr:col>3</xdr:col>
          <xdr:colOff>330200</xdr:colOff>
          <xdr:row>0</xdr:row>
          <xdr:rowOff>825500</xdr:rowOff>
        </xdr:to>
        <xdr:sp macro="" textlink="">
          <xdr:nvSpPr>
            <xdr:cNvPr id="15898" name="cmd_getQtyfromBOMPIVOT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2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3" name="Ham_MPN_Belt" descr="Hamburger Menu Icon with solid fil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2</xdr:col>
      <xdr:colOff>332775</xdr:colOff>
      <xdr:row>2</xdr:row>
      <xdr:rowOff>89196</xdr:rowOff>
    </xdr:to>
    <xdr:grpSp>
      <xdr:nvGrpSpPr>
        <xdr:cNvPr id="4" name="Navigation_NEW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3587" y="425853"/>
          <a:ext cx="3446045" cy="1649986"/>
          <a:chOff x="3972319" y="2842324"/>
          <a:chExt cx="3757747" cy="1635891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8" name="Graphic 7" descr="Document with solid fill" hidden="1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9" name="Graphic 8" descr="Document with solid fill" hidden="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10" name="TextBox 9" hidden="1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11" name="TextBox 10" hidden="1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2</xdr:col>
      <xdr:colOff>370842</xdr:colOff>
      <xdr:row>0</xdr:row>
      <xdr:rowOff>438930</xdr:rowOff>
    </xdr:from>
    <xdr:to>
      <xdr:col>3</xdr:col>
      <xdr:colOff>2537340</xdr:colOff>
      <xdr:row>1</xdr:row>
      <xdr:rowOff>167337</xdr:rowOff>
    </xdr:to>
    <xdr:grpSp>
      <xdr:nvGrpSpPr>
        <xdr:cNvPr id="12" name="LLC4Files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3527699" y="438930"/>
          <a:ext cx="2683570" cy="1152621"/>
          <a:chOff x="7965546" y="3061383"/>
          <a:chExt cx="2661423" cy="1135479"/>
        </a:xfrm>
      </xdr:grpSpPr>
      <xdr:sp macro="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14" name="Rectangle 13" hidden="1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184150</xdr:colOff>
          <xdr:row>0</xdr:row>
          <xdr:rowOff>120650</xdr:rowOff>
        </xdr:from>
        <xdr:to>
          <xdr:col>5</xdr:col>
          <xdr:colOff>1708150</xdr:colOff>
          <xdr:row>0</xdr:row>
          <xdr:rowOff>679450</xdr:rowOff>
        </xdr:to>
        <xdr:sp macro="" textlink="">
          <xdr:nvSpPr>
            <xdr:cNvPr id="8206" name="Count_AllDev_Belt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3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184150</xdr:colOff>
          <xdr:row>0</xdr:row>
          <xdr:rowOff>762000</xdr:rowOff>
        </xdr:from>
        <xdr:to>
          <xdr:col>5</xdr:col>
          <xdr:colOff>1701800</xdr:colOff>
          <xdr:row>0</xdr:row>
          <xdr:rowOff>1397000</xdr:rowOff>
        </xdr:to>
        <xdr:sp macro="" textlink="">
          <xdr:nvSpPr>
            <xdr:cNvPr id="8219" name="cmd_goto_cable_Belt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1866900</xdr:colOff>
          <xdr:row>0</xdr:row>
          <xdr:rowOff>787400</xdr:rowOff>
        </xdr:from>
        <xdr:to>
          <xdr:col>5</xdr:col>
          <xdr:colOff>3530600</xdr:colOff>
          <xdr:row>0</xdr:row>
          <xdr:rowOff>1397000</xdr:rowOff>
        </xdr:to>
        <xdr:sp macro="" textlink="">
          <xdr:nvSpPr>
            <xdr:cNvPr id="8220" name="cmd_gotoQtyAlldevICS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3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1892300</xdr:colOff>
          <xdr:row>0</xdr:row>
          <xdr:rowOff>139700</xdr:rowOff>
        </xdr:from>
        <xdr:to>
          <xdr:col>5</xdr:col>
          <xdr:colOff>3543300</xdr:colOff>
          <xdr:row>0</xdr:row>
          <xdr:rowOff>660400</xdr:rowOff>
        </xdr:to>
        <xdr:sp macro="" textlink="">
          <xdr:nvSpPr>
            <xdr:cNvPr id="8221" name="cmd_goto_containment_Belt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3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2" name="Ham_MPN_Belt" descr="Hamburger Menu Icon with solid fil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1</xdr:col>
      <xdr:colOff>1058221</xdr:colOff>
      <xdr:row>2</xdr:row>
      <xdr:rowOff>17532</xdr:rowOff>
    </xdr:to>
    <xdr:grpSp>
      <xdr:nvGrpSpPr>
        <xdr:cNvPr id="3" name="Navigation_NEW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43587" y="425853"/>
          <a:ext cx="3436705" cy="1659965"/>
          <a:chOff x="3972319" y="2842324"/>
          <a:chExt cx="3757747" cy="1635891"/>
        </a:xfrm>
      </xdr:grpSpPr>
      <xdr:sp macro="" textlink="">
        <xdr:nvSpPr>
          <xdr:cNvPr id="4" name="Rectangle 3" hidden="1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7" name="Graphic 6" descr="Document with solid fill" hidden="1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8" name="Graphic 7" descr="Document with solid fill" hidden="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9" name="TextBox 8" hidden="1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10" name="TextBox 9" hidden="1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1</xdr:col>
      <xdr:colOff>1060003</xdr:colOff>
      <xdr:row>0</xdr:row>
      <xdr:rowOff>430464</xdr:rowOff>
    </xdr:from>
    <xdr:to>
      <xdr:col>2</xdr:col>
      <xdr:colOff>538700</xdr:colOff>
      <xdr:row>1</xdr:row>
      <xdr:rowOff>96883</xdr:rowOff>
    </xdr:to>
    <xdr:grpSp>
      <xdr:nvGrpSpPr>
        <xdr:cNvPr id="11" name="LLC4Files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3482074" y="430464"/>
          <a:ext cx="2581126" cy="1154133"/>
          <a:chOff x="7965546" y="3061383"/>
          <a:chExt cx="2661423" cy="1135479"/>
        </a:xfrm>
      </xdr:grpSpPr>
      <xdr:sp macro="" textlink="">
        <xdr:nvSpPr>
          <xdr:cNvPr id="12" name="Rectangle 11" hidden="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14" name="Rectangle 13" hidden="1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  <xdr:twoCellAnchor>
    <xdr:from>
      <xdr:col>5</xdr:col>
      <xdr:colOff>2640021</xdr:colOff>
      <xdr:row>8</xdr:row>
      <xdr:rowOff>57978</xdr:rowOff>
    </xdr:from>
    <xdr:to>
      <xdr:col>5</xdr:col>
      <xdr:colOff>3393738</xdr:colOff>
      <xdr:row>12</xdr:row>
      <xdr:rowOff>99391</xdr:rowOff>
    </xdr:to>
    <xdr:sp macro="" textlink="">
      <xdr:nvSpPr>
        <xdr:cNvPr id="17" name="Pfeil: nach unten gekrümm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 rot="5400000">
          <a:off x="9647345" y="3250569"/>
          <a:ext cx="781641" cy="753717"/>
        </a:xfrm>
        <a:prstGeom prst="curvedDownArrow">
          <a:avLst>
            <a:gd name="adj1" fmla="val 15778"/>
            <a:gd name="adj2" fmla="val 47058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</xdr:colOff>
          <xdr:row>0</xdr:row>
          <xdr:rowOff>69850</xdr:rowOff>
        </xdr:from>
        <xdr:to>
          <xdr:col>5</xdr:col>
          <xdr:colOff>1670050</xdr:colOff>
          <xdr:row>0</xdr:row>
          <xdr:rowOff>673100</xdr:rowOff>
        </xdr:to>
        <xdr:sp macro="" textlink="">
          <xdr:nvSpPr>
            <xdr:cNvPr id="34817" name="Count_AllDev_ICS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1758950</xdr:colOff>
          <xdr:row>0</xdr:row>
          <xdr:rowOff>425450</xdr:rowOff>
        </xdr:from>
        <xdr:to>
          <xdr:col>5</xdr:col>
          <xdr:colOff>3422650</xdr:colOff>
          <xdr:row>0</xdr:row>
          <xdr:rowOff>1530350</xdr:rowOff>
        </xdr:to>
        <xdr:sp macro="" textlink="">
          <xdr:nvSpPr>
            <xdr:cNvPr id="34818" name="Transfer_QtynPrice_toPLC_Cost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4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768350</xdr:rowOff>
        </xdr:from>
        <xdr:to>
          <xdr:col>5</xdr:col>
          <xdr:colOff>1663700</xdr:colOff>
          <xdr:row>0</xdr:row>
          <xdr:rowOff>1333500</xdr:rowOff>
        </xdr:to>
        <xdr:sp macro="" textlink="">
          <xdr:nvSpPr>
            <xdr:cNvPr id="34826" name="cmd_gotocableIC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4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1409700</xdr:rowOff>
        </xdr:from>
        <xdr:to>
          <xdr:col>5</xdr:col>
          <xdr:colOff>1701800</xdr:colOff>
          <xdr:row>0</xdr:row>
          <xdr:rowOff>2012950</xdr:rowOff>
        </xdr:to>
        <xdr:sp macro="" textlink="">
          <xdr:nvSpPr>
            <xdr:cNvPr id="34827" name="cmd_gotoContainmentICS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4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3" name="Ham_MPN_Belt" descr="Hamburger Menu Icon with solid fil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1</xdr:col>
      <xdr:colOff>847387</xdr:colOff>
      <xdr:row>1</xdr:row>
      <xdr:rowOff>18167</xdr:rowOff>
    </xdr:to>
    <xdr:grpSp>
      <xdr:nvGrpSpPr>
        <xdr:cNvPr id="4" name="Navigation_NEW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3587" y="425853"/>
          <a:ext cx="3454556" cy="1652372"/>
          <a:chOff x="3972319" y="2842324"/>
          <a:chExt cx="3757747" cy="1635891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8" name="Graphic 7" descr="Document with solid fill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9" name="Graphic 8" descr="Document with solid fill" hidden="1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10" name="TextBox 9" hidden="1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11" name="TextBox 10" hidden="1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1</xdr:col>
      <xdr:colOff>889809</xdr:colOff>
      <xdr:row>0</xdr:row>
      <xdr:rowOff>431310</xdr:rowOff>
    </xdr:from>
    <xdr:to>
      <xdr:col>4</xdr:col>
      <xdr:colOff>823522</xdr:colOff>
      <xdr:row>0</xdr:row>
      <xdr:rowOff>1585746</xdr:rowOff>
    </xdr:to>
    <xdr:grpSp>
      <xdr:nvGrpSpPr>
        <xdr:cNvPr id="12" name="LLC4Files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3540565" y="431310"/>
          <a:ext cx="2554934" cy="1154436"/>
          <a:chOff x="7965546" y="3061383"/>
          <a:chExt cx="2661423" cy="1135479"/>
        </a:xfrm>
      </xdr:grpSpPr>
      <xdr:sp macro="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27" name="Rectangle 26" hidden="1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28" name="Rectangle 27" hidden="1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29" name="Rectangle 28" hidden="1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30" name="Rectangle 29" hidden="1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  <xdr:twoCellAnchor>
    <xdr:from>
      <xdr:col>5</xdr:col>
      <xdr:colOff>2319131</xdr:colOff>
      <xdr:row>8</xdr:row>
      <xdr:rowOff>49698</xdr:rowOff>
    </xdr:from>
    <xdr:to>
      <xdr:col>5</xdr:col>
      <xdr:colOff>3072848</xdr:colOff>
      <xdr:row>12</xdr:row>
      <xdr:rowOff>115959</xdr:rowOff>
    </xdr:to>
    <xdr:sp macro="" textlink="">
      <xdr:nvSpPr>
        <xdr:cNvPr id="2" name="Pfeil: nach unten gekrümm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5400000">
          <a:off x="9090163" y="4004644"/>
          <a:ext cx="828261" cy="753717"/>
        </a:xfrm>
        <a:prstGeom prst="curvedDownArrow">
          <a:avLst>
            <a:gd name="adj1" fmla="val 15778"/>
            <a:gd name="adj2" fmla="val 47058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78</xdr:col>
      <xdr:colOff>790575</xdr:colOff>
      <xdr:row>138</xdr:row>
      <xdr:rowOff>76200</xdr:rowOff>
    </xdr:from>
    <xdr:to>
      <xdr:col>78</xdr:col>
      <xdr:colOff>790575</xdr:colOff>
      <xdr:row>141</xdr:row>
      <xdr:rowOff>142875</xdr:rowOff>
    </xdr:to>
    <xdr:sp macro="" textlink="">
      <xdr:nvSpPr>
        <xdr:cNvPr id="2" name="Line 3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32242125" y="23421975"/>
          <a:ext cx="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438150</xdr:colOff>
      <xdr:row>151</xdr:row>
      <xdr:rowOff>38100</xdr:rowOff>
    </xdr:from>
    <xdr:to>
      <xdr:col>74</xdr:col>
      <xdr:colOff>438150</xdr:colOff>
      <xdr:row>153</xdr:row>
      <xdr:rowOff>0</xdr:rowOff>
    </xdr:to>
    <xdr:sp macro="" textlink="">
      <xdr:nvSpPr>
        <xdr:cNvPr id="3" name="Line 5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28536900" y="25488900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752475</xdr:colOff>
      <xdr:row>150</xdr:row>
      <xdr:rowOff>38100</xdr:rowOff>
    </xdr:from>
    <xdr:to>
      <xdr:col>74</xdr:col>
      <xdr:colOff>752475</xdr:colOff>
      <xdr:row>152</xdr:row>
      <xdr:rowOff>0</xdr:rowOff>
    </xdr:to>
    <xdr:sp macro="" textlink="">
      <xdr:nvSpPr>
        <xdr:cNvPr id="4" name="Line 5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28851225" y="25326975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333375</xdr:colOff>
      <xdr:row>150</xdr:row>
      <xdr:rowOff>38100</xdr:rowOff>
    </xdr:from>
    <xdr:to>
      <xdr:col>77</xdr:col>
      <xdr:colOff>333375</xdr:colOff>
      <xdr:row>152</xdr:row>
      <xdr:rowOff>0</xdr:rowOff>
    </xdr:to>
    <xdr:sp macro="" textlink="">
      <xdr:nvSpPr>
        <xdr:cNvPr id="5" name="Line 5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30946725" y="25326975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143435</xdr:colOff>
      <xdr:row>2</xdr:row>
      <xdr:rowOff>62753</xdr:rowOff>
    </xdr:to>
    <xdr:pic macro="[0]!Hamburger">
      <xdr:nvPicPr>
        <xdr:cNvPr id="6" name="Ham_MPN_Belt" descr="Hamburger Menu Icon with solid fill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2</xdr:row>
      <xdr:rowOff>31406</xdr:rowOff>
    </xdr:from>
    <xdr:to>
      <xdr:col>3</xdr:col>
      <xdr:colOff>1406428</xdr:colOff>
      <xdr:row>4</xdr:row>
      <xdr:rowOff>1202741</xdr:rowOff>
    </xdr:to>
    <xdr:grpSp>
      <xdr:nvGrpSpPr>
        <xdr:cNvPr id="8" name="Navigation_NEW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43587" y="425106"/>
          <a:ext cx="3401191" cy="1653935"/>
          <a:chOff x="3972319" y="2842324"/>
          <a:chExt cx="3757747" cy="1635891"/>
        </a:xfrm>
      </xdr:grpSpPr>
      <xdr:sp macro="" textlink="">
        <xdr:nvSpPr>
          <xdr:cNvPr id="9" name="Rectangle 8" hidden="1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10" name="Rectangle 9" hidden="1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11" name="Rectangle 10" hidden="1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12" name="Graphic 11" descr="Document with solid fill" hidden="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13" name="Graphic 12" descr="Document with solid fill" hidden="1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14" name="TextBox 13" hidden="1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15" name="TextBox 14" hidden="1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4</xdr:col>
      <xdr:colOff>5980</xdr:colOff>
      <xdr:row>2</xdr:row>
      <xdr:rowOff>44483</xdr:rowOff>
    </xdr:from>
    <xdr:to>
      <xdr:col>12</xdr:col>
      <xdr:colOff>62272</xdr:colOff>
      <xdr:row>4</xdr:row>
      <xdr:rowOff>714825</xdr:rowOff>
    </xdr:to>
    <xdr:grpSp>
      <xdr:nvGrpSpPr>
        <xdr:cNvPr id="16" name="LLC4Files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pSpPr/>
      </xdr:nvGrpSpPr>
      <xdr:grpSpPr>
        <a:xfrm>
          <a:off x="3517530" y="438183"/>
          <a:ext cx="2691542" cy="1152942"/>
          <a:chOff x="7965546" y="3061383"/>
          <a:chExt cx="2661423" cy="1135479"/>
        </a:xfrm>
      </xdr:grpSpPr>
      <xdr:sp macro="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32" name="Rectangle 31" hidden="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33" name="Rectangle 32" hidden="1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34" name="Rectangle 33" hidden="1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35" name="Rectangle 34" hidden="1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pal-my.sharepoint.com/personal/frank_rettberg_siemens-logistics_com/Documents/HomeShareUpload/User/Offers/_Vorlage/PLC%20Costs/Offer_Calculations/PLC_Material_Qty_projectname_2021.11_d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pal-my.sharepoint.com/Siemens%20Logistics/_Offers/_ACP/Offers/Long%20Than/Comm.%20offer%20PC%20Group/03_BCT/396919_LTIA_BCT_v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"/>
      <sheetName val="Qty_Typicals"/>
      <sheetName val="Qty_all_Devices"/>
      <sheetName val="Conveyor_Types"/>
    </sheetNames>
    <sheetDataSet>
      <sheetData sheetId="0" refreshError="1"/>
      <sheetData sheetId="1">
        <row r="136">
          <cell r="E136">
            <v>2</v>
          </cell>
          <cell r="K136">
            <v>187</v>
          </cell>
          <cell r="S136">
            <v>1</v>
          </cell>
          <cell r="U136">
            <v>1</v>
          </cell>
          <cell r="AT136">
            <v>1</v>
          </cell>
          <cell r="AU136">
            <v>1</v>
          </cell>
          <cell r="AV136">
            <v>0</v>
          </cell>
          <cell r="BC136">
            <v>3</v>
          </cell>
          <cell r="BD136">
            <v>21</v>
          </cell>
          <cell r="BE136">
            <v>15</v>
          </cell>
          <cell r="BF136">
            <v>1</v>
          </cell>
          <cell r="BG136">
            <v>7</v>
          </cell>
          <cell r="BH136">
            <v>0</v>
          </cell>
          <cell r="BI136">
            <v>0</v>
          </cell>
          <cell r="BJ136">
            <v>0</v>
          </cell>
          <cell r="BK136">
            <v>0</v>
          </cell>
          <cell r="BL136">
            <v>0</v>
          </cell>
          <cell r="BM136">
            <v>0</v>
          </cell>
        </row>
      </sheetData>
      <sheetData sheetId="2" refreshError="1"/>
      <sheetData sheetId="3">
        <row r="17">
          <cell r="B17" t="str">
            <v>Tray Line Stacker</v>
          </cell>
        </row>
        <row r="19">
          <cell r="B19" t="str">
            <v>Tray VSU/VMU</v>
          </cell>
        </row>
        <row r="20">
          <cell r="B20" t="str">
            <v>Tray Right Angel</v>
          </cell>
        </row>
        <row r="21">
          <cell r="B21" t="str">
            <v>Tray Maintenance Station</v>
          </cell>
        </row>
        <row r="25">
          <cell r="B25" t="str">
            <v>Tray Lift</v>
          </cell>
        </row>
        <row r="28">
          <cell r="B28" t="str">
            <v>Check-In Labeling</v>
          </cell>
        </row>
        <row r="37">
          <cell r="B37" t="str">
            <v>Belt Decline Conveyor</v>
          </cell>
        </row>
        <row r="41">
          <cell r="B41" t="str">
            <v xml:space="preserve">Plough Divert </v>
          </cell>
        </row>
        <row r="43">
          <cell r="B43" t="str">
            <v>Verti-Sorter  -1200</v>
          </cell>
        </row>
        <row r="47">
          <cell r="B47" t="str">
            <v>Roller Conv./Table</v>
          </cell>
        </row>
        <row r="50">
          <cell r="B50" t="str">
            <v>Belt 2 Speed Conv. (Dog Search)</v>
          </cell>
        </row>
        <row r="54">
          <cell r="B54" t="str">
            <v>Belt S/C - Lift</v>
          </cell>
        </row>
        <row r="60">
          <cell r="B60" t="str">
            <v xml:space="preserve">BVS - Camera ATR </v>
          </cell>
        </row>
        <row r="61">
          <cell r="B61" t="str">
            <v>Volume Scanner</v>
          </cell>
        </row>
        <row r="64">
          <cell r="B64" t="str">
            <v>Passage way</v>
          </cell>
        </row>
        <row r="65">
          <cell r="B65" t="str">
            <v>Jam Add on</v>
          </cell>
        </row>
        <row r="67">
          <cell r="B67" t="str">
            <v xml:space="preserve">Track. Devices PE (addit.) </v>
          </cell>
        </row>
        <row r="70">
          <cell r="B70" t="str">
            <v xml:space="preserve">Roller Inspection (addit.) </v>
          </cell>
        </row>
        <row r="73">
          <cell r="B73" t="str">
            <v>Turn Table</v>
          </cell>
        </row>
        <row r="74">
          <cell r="B74" t="str">
            <v>Hinge Convevor</v>
          </cell>
        </row>
        <row r="75">
          <cell r="B75" t="str">
            <v>Belt See-saw (Wippe)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"/>
      <sheetName val="1_INPUT"/>
      <sheetName val="1_INPUT_Hourly-Rates"/>
      <sheetName val="SKALK FY22"/>
      <sheetName val="2_MAT"/>
      <sheetName val="3_MANP"/>
      <sheetName val="4_SUM"/>
      <sheetName val="IN_01_ST"/>
      <sheetName val="IN_02_MS"/>
      <sheetName val="IN_03_DS"/>
      <sheetName val="IN_04_LLC-HW"/>
      <sheetName val="IN_05_LLC-SW"/>
      <sheetName val="IN_06_HLC"/>
      <sheetName val="IN_xO_OS"/>
      <sheetName val="IN_Lx_LOG"/>
      <sheetName val="IN_GS_SITE"/>
      <sheetName val="IN_xx_Options"/>
      <sheetName val="5_LoA"/>
      <sheetName val="6_CUST"/>
      <sheetName val="6.1_PriceSheet-VIN"/>
      <sheetName val="7_CF"/>
      <sheetName val="Global Cost Overview"/>
      <sheetName val="KPI Analysis"/>
      <sheetName val="Quote ID Analysis"/>
      <sheetName val="SAP-Hierarchy"/>
      <sheetName val="Calc_BankGuarantee"/>
      <sheetName val="Log"/>
      <sheetName val="_Sys_Lists"/>
      <sheetName val="_Sys_Lists-MPS"/>
      <sheetName val="_Sys_Mapping-MPS-WBS"/>
      <sheetName val="_Sys_Mapping-MPS-CU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9">
          <cell r="B9" t="str">
            <v>Subtotal - 1</v>
          </cell>
          <cell r="I9" t="str">
            <v>1. Belt Conveyor System - Panels, Field Devices, VFDs, Brackets</v>
          </cell>
        </row>
        <row r="10">
          <cell r="I10" t="str">
            <v>1.1 Control Panel (LP = Power and PLC Part)</v>
          </cell>
        </row>
        <row r="11">
          <cell r="B11" t="str">
            <v>Low Level Control HW</v>
          </cell>
          <cell r="C11">
            <v>0</v>
          </cell>
          <cell r="D11">
            <v>4</v>
          </cell>
          <cell r="E11" t="str">
            <v>CU</v>
          </cell>
          <cell r="F11" t="str">
            <v>B_</v>
          </cell>
          <cell r="G11" t="str">
            <v>CB</v>
          </cell>
          <cell r="H11" t="str">
            <v>04-CU-B_-CB</v>
          </cell>
          <cell r="I11" t="str">
            <v>LM 1500 Hybridschrank (LP + PM)</v>
          </cell>
          <cell r="Q11" t="str">
            <v>EXT</v>
          </cell>
          <cell r="R11" t="str">
            <v>Placeholder</v>
          </cell>
          <cell r="U11" t="str">
            <v>PC</v>
          </cell>
          <cell r="W11">
            <v>1</v>
          </cell>
          <cell r="X11" t="str">
            <v>USD</v>
          </cell>
          <cell r="Z11">
            <v>0</v>
          </cell>
          <cell r="AA11">
            <v>0</v>
          </cell>
          <cell r="AC11">
            <v>0</v>
          </cell>
          <cell r="AD11">
            <v>0</v>
          </cell>
          <cell r="AF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P11" t="str">
            <v>X</v>
          </cell>
          <cell r="AQ11" t="str">
            <v>CF.5</v>
          </cell>
        </row>
        <row r="12">
          <cell r="B12" t="str">
            <v>Low Level Control HW</v>
          </cell>
          <cell r="C12">
            <v>0</v>
          </cell>
          <cell r="D12">
            <v>4</v>
          </cell>
          <cell r="E12" t="str">
            <v>CU</v>
          </cell>
          <cell r="F12" t="str">
            <v>B_</v>
          </cell>
          <cell r="G12" t="str">
            <v>CB</v>
          </cell>
          <cell r="H12" t="str">
            <v>04-CU-B_-CB</v>
          </cell>
          <cell r="I12" t="str">
            <v>LP PLC Panel  (LP) S7-1517</v>
          </cell>
          <cell r="Q12" t="str">
            <v>EXT</v>
          </cell>
          <cell r="R12" t="str">
            <v>Placeholder</v>
          </cell>
          <cell r="U12" t="str">
            <v>PC</v>
          </cell>
          <cell r="W12">
            <v>1</v>
          </cell>
          <cell r="X12" t="str">
            <v>USD</v>
          </cell>
          <cell r="Z12">
            <v>0</v>
          </cell>
          <cell r="AA12">
            <v>0</v>
          </cell>
          <cell r="AC12">
            <v>0</v>
          </cell>
          <cell r="AD12">
            <v>0</v>
          </cell>
          <cell r="AF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P12" t="str">
            <v>X</v>
          </cell>
          <cell r="AQ12" t="str">
            <v>CF.5</v>
          </cell>
        </row>
        <row r="13">
          <cell r="B13" t="str">
            <v>Low Level Control HW</v>
          </cell>
          <cell r="C13">
            <v>0</v>
          </cell>
          <cell r="D13">
            <v>4</v>
          </cell>
          <cell r="E13" t="str">
            <v>CU</v>
          </cell>
          <cell r="F13" t="str">
            <v>B_</v>
          </cell>
          <cell r="G13" t="str">
            <v>CB</v>
          </cell>
          <cell r="H13" t="str">
            <v>04-CU-B_-CB</v>
          </cell>
          <cell r="I13" t="str">
            <v>LP PLC Panel  (LP) S7-1517H</v>
          </cell>
          <cell r="J13" t="str">
            <v>221024_LTIA_Ph1_Z-4-CA-002_PLC_Material_Costs_Long Than_Belt_2022-09-30.xlsx</v>
          </cell>
          <cell r="L13" t="str">
            <v>Offshore:
GER
(MAT)</v>
          </cell>
          <cell r="M13" t="str">
            <v>S. Zenk</v>
          </cell>
          <cell r="N13">
            <v>44859</v>
          </cell>
          <cell r="O13" t="str">
            <v>WKC-A28051_03_22</v>
          </cell>
          <cell r="P13" t="str">
            <v>Siemens WKC</v>
          </cell>
          <cell r="Q13" t="str">
            <v>OSE</v>
          </cell>
          <cell r="R13" t="str">
            <v>Binding Quote</v>
          </cell>
          <cell r="T13">
            <v>24</v>
          </cell>
          <cell r="U13" t="str">
            <v>PC</v>
          </cell>
          <cell r="V13">
            <v>29908</v>
          </cell>
          <cell r="W13">
            <v>2</v>
          </cell>
          <cell r="X13" t="str">
            <v>EUR</v>
          </cell>
          <cell r="Y13" t="str">
            <v>German MGK 1</v>
          </cell>
          <cell r="Z13">
            <v>0</v>
          </cell>
          <cell r="AA13">
            <v>0</v>
          </cell>
          <cell r="AC13">
            <v>717792</v>
          </cell>
          <cell r="AD13">
            <v>763371.7919999999</v>
          </cell>
          <cell r="AF13">
            <v>0</v>
          </cell>
          <cell r="AH13">
            <v>763371.7919999999</v>
          </cell>
          <cell r="AI13">
            <v>0.23709783177495308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1000615.5753575135</v>
          </cell>
          <cell r="AP13" t="str">
            <v>II</v>
          </cell>
          <cell r="AQ13" t="str">
            <v>CF.5</v>
          </cell>
        </row>
        <row r="14">
          <cell r="B14" t="str">
            <v/>
          </cell>
          <cell r="H14" t="str">
            <v>--</v>
          </cell>
          <cell r="Q14" t="str">
            <v>EXT</v>
          </cell>
          <cell r="R14" t="str">
            <v>Placeholder</v>
          </cell>
          <cell r="W14">
            <v>1</v>
          </cell>
          <cell r="X14" t="str">
            <v>USD</v>
          </cell>
          <cell r="Z14">
            <v>0</v>
          </cell>
          <cell r="AA14">
            <v>0</v>
          </cell>
          <cell r="AC14">
            <v>0</v>
          </cell>
          <cell r="AD14">
            <v>0</v>
          </cell>
          <cell r="AF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P14" t="str">
            <v>X</v>
          </cell>
          <cell r="AQ14" t="str">
            <v/>
          </cell>
        </row>
        <row r="15">
          <cell r="B15" t="str">
            <v/>
          </cell>
          <cell r="H15" t="str">
            <v>--</v>
          </cell>
          <cell r="Q15" t="str">
            <v>EXT</v>
          </cell>
          <cell r="R15" t="str">
            <v>Placeholder</v>
          </cell>
          <cell r="W15">
            <v>1</v>
          </cell>
          <cell r="X15" t="str">
            <v>USD</v>
          </cell>
          <cell r="Z15">
            <v>0</v>
          </cell>
          <cell r="AA15">
            <v>0</v>
          </cell>
          <cell r="AC15">
            <v>0</v>
          </cell>
          <cell r="AD15">
            <v>0</v>
          </cell>
          <cell r="AF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 t="str">
            <v>X</v>
          </cell>
          <cell r="AQ15" t="str">
            <v/>
          </cell>
        </row>
        <row r="16">
          <cell r="I16" t="str">
            <v>1.2 Field Panels (PM, PFC, …)</v>
          </cell>
        </row>
        <row r="17">
          <cell r="B17" t="str">
            <v>Low Level Control HW</v>
          </cell>
          <cell r="C17">
            <v>0</v>
          </cell>
          <cell r="D17">
            <v>4</v>
          </cell>
          <cell r="E17" t="str">
            <v>CU</v>
          </cell>
          <cell r="F17" t="str">
            <v>B_</v>
          </cell>
          <cell r="G17" t="str">
            <v>CC</v>
          </cell>
          <cell r="H17" t="str">
            <v>04-CU-B_-CC</v>
          </cell>
          <cell r="I17" t="str">
            <v>Field Control Panel (PM)</v>
          </cell>
          <cell r="J17" t="str">
            <v>221024_LTIA_Ph1_Z-4-CA-002_PLC_Material_Costs_Long Than_Belt_2022-09-30.xlsx</v>
          </cell>
          <cell r="L17" t="str">
            <v>Offshore:
GER
(MAT)</v>
          </cell>
          <cell r="M17" t="str">
            <v>S. Zenk</v>
          </cell>
          <cell r="N17">
            <v>44859</v>
          </cell>
          <cell r="O17" t="str">
            <v>WKC-A28051_03_22</v>
          </cell>
          <cell r="P17" t="str">
            <v>Siemens WKC</v>
          </cell>
          <cell r="Q17" t="str">
            <v>OSE</v>
          </cell>
          <cell r="R17" t="str">
            <v>Binding Quote</v>
          </cell>
          <cell r="T17">
            <v>116</v>
          </cell>
          <cell r="U17" t="str">
            <v>PC</v>
          </cell>
          <cell r="V17">
            <v>6460</v>
          </cell>
          <cell r="W17">
            <v>2</v>
          </cell>
          <cell r="X17" t="str">
            <v>EUR</v>
          </cell>
          <cell r="Y17" t="str">
            <v>German MGK 1</v>
          </cell>
          <cell r="Z17">
            <v>0</v>
          </cell>
          <cell r="AA17">
            <v>0</v>
          </cell>
          <cell r="AC17">
            <v>749360</v>
          </cell>
          <cell r="AD17">
            <v>796944.35999999987</v>
          </cell>
          <cell r="AF17">
            <v>0</v>
          </cell>
          <cell r="AH17">
            <v>796944.35999999987</v>
          </cell>
          <cell r="AI17">
            <v>0.23709783177495308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1044621.9622814218</v>
          </cell>
          <cell r="AP17" t="str">
            <v>II</v>
          </cell>
          <cell r="AQ17" t="str">
            <v>CF.5</v>
          </cell>
        </row>
        <row r="18">
          <cell r="B18" t="str">
            <v>Low Level Control HW</v>
          </cell>
          <cell r="C18">
            <v>0</v>
          </cell>
          <cell r="D18">
            <v>4</v>
          </cell>
          <cell r="E18" t="str">
            <v>CC</v>
          </cell>
          <cell r="F18" t="str">
            <v>B_</v>
          </cell>
          <cell r="G18" t="str">
            <v>CE</v>
          </cell>
          <cell r="H18" t="str">
            <v>04-CC-B_-CE</v>
          </cell>
          <cell r="I18" t="str">
            <v>I/O Box IOB (FB)</v>
          </cell>
          <cell r="Q18" t="str">
            <v>EXT</v>
          </cell>
          <cell r="R18" t="str">
            <v>Placeholder</v>
          </cell>
          <cell r="U18" t="str">
            <v>PC</v>
          </cell>
          <cell r="W18">
            <v>1</v>
          </cell>
          <cell r="X18" t="str">
            <v>USD</v>
          </cell>
          <cell r="Z18">
            <v>0</v>
          </cell>
          <cell r="AA18">
            <v>0</v>
          </cell>
          <cell r="AC18">
            <v>0</v>
          </cell>
          <cell r="AD18">
            <v>0</v>
          </cell>
          <cell r="AF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 t="str">
            <v>X</v>
          </cell>
          <cell r="AQ18" t="str">
            <v>CF.5</v>
          </cell>
        </row>
        <row r="19">
          <cell r="B19" t="str">
            <v/>
          </cell>
          <cell r="H19" t="str">
            <v>--</v>
          </cell>
          <cell r="Q19" t="str">
            <v>EXT</v>
          </cell>
          <cell r="R19" t="str">
            <v>Placeholder</v>
          </cell>
          <cell r="W19">
            <v>1</v>
          </cell>
          <cell r="X19" t="str">
            <v>USD</v>
          </cell>
          <cell r="Z19">
            <v>0</v>
          </cell>
          <cell r="AA19">
            <v>0</v>
          </cell>
          <cell r="AC19">
            <v>0</v>
          </cell>
          <cell r="AD19">
            <v>0</v>
          </cell>
          <cell r="AF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P19" t="str">
            <v>X</v>
          </cell>
          <cell r="AQ19" t="str">
            <v/>
          </cell>
        </row>
        <row r="20">
          <cell r="B20" t="str">
            <v/>
          </cell>
          <cell r="H20" t="str">
            <v>--</v>
          </cell>
          <cell r="Q20" t="str">
            <v>EXT</v>
          </cell>
          <cell r="R20" t="str">
            <v>Placeholder</v>
          </cell>
          <cell r="W20">
            <v>1</v>
          </cell>
          <cell r="X20" t="str">
            <v>USD</v>
          </cell>
          <cell r="Z20">
            <v>0</v>
          </cell>
          <cell r="AA20">
            <v>0</v>
          </cell>
          <cell r="AC20">
            <v>0</v>
          </cell>
          <cell r="AD20">
            <v>0</v>
          </cell>
          <cell r="AF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 t="str">
            <v>X</v>
          </cell>
          <cell r="AQ20" t="str">
            <v/>
          </cell>
        </row>
        <row r="21">
          <cell r="I21" t="str">
            <v>1.3 Smart Units</v>
          </cell>
        </row>
        <row r="22">
          <cell r="B22" t="str">
            <v>Low Level Control HW</v>
          </cell>
          <cell r="C22">
            <v>0</v>
          </cell>
          <cell r="D22">
            <v>4</v>
          </cell>
          <cell r="E22" t="str">
            <v>CV</v>
          </cell>
          <cell r="F22" t="str">
            <v>B7</v>
          </cell>
          <cell r="G22" t="str">
            <v>01</v>
          </cell>
          <cell r="H22" t="str">
            <v>04-CV-B7-01</v>
          </cell>
          <cell r="I22" t="str">
            <v>Smart Units: S-, C- Lift (Panel, Field Devices, …)</v>
          </cell>
          <cell r="Q22" t="str">
            <v>EXT</v>
          </cell>
          <cell r="R22" t="str">
            <v>Placeholder</v>
          </cell>
          <cell r="U22" t="str">
            <v>PC</v>
          </cell>
          <cell r="W22">
            <v>1</v>
          </cell>
          <cell r="X22" t="str">
            <v>USD</v>
          </cell>
          <cell r="Z22">
            <v>0</v>
          </cell>
          <cell r="AA22">
            <v>0</v>
          </cell>
          <cell r="AC22">
            <v>0</v>
          </cell>
          <cell r="AD22">
            <v>0</v>
          </cell>
          <cell r="AF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 t="str">
            <v>X</v>
          </cell>
          <cell r="AQ22" t="str">
            <v>CF.5</v>
          </cell>
        </row>
        <row r="23">
          <cell r="B23" t="str">
            <v>Low Level Control HW</v>
          </cell>
          <cell r="C23">
            <v>0</v>
          </cell>
          <cell r="D23">
            <v>4</v>
          </cell>
          <cell r="E23" t="str">
            <v>CV</v>
          </cell>
          <cell r="F23" t="str">
            <v>B7</v>
          </cell>
          <cell r="G23" t="str">
            <v>02</v>
          </cell>
          <cell r="H23" t="str">
            <v>04-CV-B7-02</v>
          </cell>
          <cell r="I23" t="str">
            <v xml:space="preserve">Smart Units: R-Lift (Panel, Field Devices, …) </v>
          </cell>
          <cell r="J23" t="str">
            <v>221024_LTIA_Ph1_Z-4-CA-002_PLC_Material_Costs_Long Than_Belt_2022-09-30.xlsx</v>
          </cell>
          <cell r="L23" t="str">
            <v>Offshore:
GER
(MAT)</v>
          </cell>
          <cell r="M23" t="str">
            <v>S. Zenk</v>
          </cell>
          <cell r="N23">
            <v>44859</v>
          </cell>
          <cell r="O23" t="str">
            <v>WKC-A28051_03_22</v>
          </cell>
          <cell r="P23" t="str">
            <v>Siemens WKC</v>
          </cell>
          <cell r="Q23" t="str">
            <v>OSE</v>
          </cell>
          <cell r="R23" t="str">
            <v>Binding Quote</v>
          </cell>
          <cell r="T23">
            <v>2</v>
          </cell>
          <cell r="U23" t="str">
            <v>PC</v>
          </cell>
          <cell r="V23">
            <v>11267</v>
          </cell>
          <cell r="W23">
            <v>2</v>
          </cell>
          <cell r="X23" t="str">
            <v>EUR</v>
          </cell>
          <cell r="Y23" t="str">
            <v>German MGK 1</v>
          </cell>
          <cell r="Z23">
            <v>0</v>
          </cell>
          <cell r="AA23">
            <v>0</v>
          </cell>
          <cell r="AC23">
            <v>22534</v>
          </cell>
          <cell r="AD23">
            <v>23964.908999999996</v>
          </cell>
          <cell r="AF23">
            <v>0</v>
          </cell>
          <cell r="AH23">
            <v>23964.908999999996</v>
          </cell>
          <cell r="AI23">
            <v>0.23709783177495308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31412.820671038695</v>
          </cell>
          <cell r="AP23" t="str">
            <v>II</v>
          </cell>
          <cell r="AQ23" t="str">
            <v>CF.5</v>
          </cell>
        </row>
        <row r="24">
          <cell r="B24" t="str">
            <v>Low Level Control HW</v>
          </cell>
          <cell r="C24">
            <v>0</v>
          </cell>
          <cell r="D24">
            <v>4</v>
          </cell>
          <cell r="E24" t="str">
            <v>CV</v>
          </cell>
          <cell r="F24" t="str">
            <v>B7</v>
          </cell>
          <cell r="G24" t="str">
            <v>06</v>
          </cell>
          <cell r="H24" t="str">
            <v>04-CV-B7-06</v>
          </cell>
          <cell r="I24" t="str">
            <v xml:space="preserve">Smart Units: Lift (Panel, Field Devices, …) </v>
          </cell>
          <cell r="Q24" t="str">
            <v>EXT</v>
          </cell>
          <cell r="R24" t="str">
            <v>Placeholder</v>
          </cell>
          <cell r="U24" t="str">
            <v>PC</v>
          </cell>
          <cell r="W24">
            <v>1</v>
          </cell>
          <cell r="X24" t="str">
            <v>USD</v>
          </cell>
          <cell r="Z24">
            <v>0</v>
          </cell>
          <cell r="AA24">
            <v>0</v>
          </cell>
          <cell r="AC24">
            <v>0</v>
          </cell>
          <cell r="AD24">
            <v>0</v>
          </cell>
          <cell r="AF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 t="str">
            <v>X</v>
          </cell>
          <cell r="AQ24" t="str">
            <v>CF.5</v>
          </cell>
        </row>
        <row r="25">
          <cell r="B25" t="str">
            <v>Low Level Control HW</v>
          </cell>
          <cell r="C25">
            <v>0</v>
          </cell>
          <cell r="D25">
            <v>4</v>
          </cell>
          <cell r="E25" t="str">
            <v>CV</v>
          </cell>
          <cell r="F25" t="str">
            <v>BD</v>
          </cell>
          <cell r="G25" t="str">
            <v>V1</v>
          </cell>
          <cell r="H25" t="str">
            <v>04-CV-BD-V1</v>
          </cell>
          <cell r="I25" t="str">
            <v>Smart Units: VSU/VDU (Panel, Field Devices, …)</v>
          </cell>
          <cell r="J25" t="str">
            <v>221024_LTIA_Ph1_Z-4-CA-002_PLC_Material_Costs_Long Than_Belt_2022-09-30.xlsx</v>
          </cell>
          <cell r="L25" t="str">
            <v>Offshore:
GER
(MAT)</v>
          </cell>
          <cell r="M25" t="str">
            <v>S. Zenk</v>
          </cell>
          <cell r="N25">
            <v>44859</v>
          </cell>
          <cell r="O25" t="str">
            <v>WKC-A28051_03_22</v>
          </cell>
          <cell r="P25" t="str">
            <v>Siemens WKC</v>
          </cell>
          <cell r="Q25" t="str">
            <v>OSE</v>
          </cell>
          <cell r="R25" t="str">
            <v>Binding Quote</v>
          </cell>
          <cell r="T25">
            <v>4</v>
          </cell>
          <cell r="U25" t="str">
            <v>PC</v>
          </cell>
          <cell r="V25">
            <v>6383</v>
          </cell>
          <cell r="W25">
            <v>2</v>
          </cell>
          <cell r="X25" t="str">
            <v>EUR</v>
          </cell>
          <cell r="Y25" t="str">
            <v>German MGK 1</v>
          </cell>
          <cell r="Z25">
            <v>0</v>
          </cell>
          <cell r="AA25">
            <v>0</v>
          </cell>
          <cell r="AC25">
            <v>25532</v>
          </cell>
          <cell r="AD25">
            <v>27153.281999999996</v>
          </cell>
          <cell r="AF25">
            <v>0</v>
          </cell>
          <cell r="AH25">
            <v>27153.281999999996</v>
          </cell>
          <cell r="AI25">
            <v>0.23709783177495308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35592.089170718027</v>
          </cell>
          <cell r="AP25" t="str">
            <v>II</v>
          </cell>
          <cell r="AQ25" t="str">
            <v>CF.5</v>
          </cell>
        </row>
        <row r="26">
          <cell r="B26" t="str">
            <v>Low Level Control HW</v>
          </cell>
          <cell r="C26">
            <v>0</v>
          </cell>
          <cell r="D26">
            <v>4</v>
          </cell>
          <cell r="E26" t="str">
            <v>CV</v>
          </cell>
          <cell r="F26" t="str">
            <v>BD</v>
          </cell>
          <cell r="G26" t="str">
            <v>H1</v>
          </cell>
          <cell r="H26" t="str">
            <v>04-CV-BD-H1</v>
          </cell>
          <cell r="I26" t="str">
            <v>Smart Units: HSD (Interface only!)</v>
          </cell>
          <cell r="J26" t="str">
            <v>221024_LTIA_Ph1_Z-4-CA-002_PLC_Material_Costs_Long Than_Belt_2022-09-30.xlsx</v>
          </cell>
          <cell r="L26" t="str">
            <v>Offshore:
GER
(MAT)</v>
          </cell>
          <cell r="M26" t="str">
            <v>S. Zenk</v>
          </cell>
          <cell r="N26">
            <v>44859</v>
          </cell>
          <cell r="Q26" t="str">
            <v>EXT</v>
          </cell>
          <cell r="R26" t="str">
            <v>Binding Quote</v>
          </cell>
          <cell r="T26">
            <v>50</v>
          </cell>
          <cell r="U26" t="str">
            <v>PC</v>
          </cell>
          <cell r="V26">
            <v>1000</v>
          </cell>
          <cell r="W26">
            <v>2</v>
          </cell>
          <cell r="X26" t="str">
            <v>EUR</v>
          </cell>
          <cell r="Y26" t="str">
            <v>German MGK 1</v>
          </cell>
          <cell r="Z26">
            <v>0</v>
          </cell>
          <cell r="AA26">
            <v>0</v>
          </cell>
          <cell r="AC26">
            <v>50000</v>
          </cell>
          <cell r="AD26">
            <v>53174.999999999993</v>
          </cell>
          <cell r="AF26">
            <v>0</v>
          </cell>
          <cell r="AH26">
            <v>53174.999999999993</v>
          </cell>
          <cell r="AI26">
            <v>0.23709783177495308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69700.942289515166</v>
          </cell>
          <cell r="AP26" t="str">
            <v>II</v>
          </cell>
          <cell r="AQ26" t="str">
            <v>CF.5</v>
          </cell>
        </row>
        <row r="27">
          <cell r="B27" t="str">
            <v/>
          </cell>
          <cell r="H27" t="str">
            <v>--</v>
          </cell>
          <cell r="Q27" t="str">
            <v>EXT</v>
          </cell>
          <cell r="R27" t="str">
            <v>Placeholder</v>
          </cell>
          <cell r="W27">
            <v>1</v>
          </cell>
          <cell r="X27" t="str">
            <v>USD</v>
          </cell>
          <cell r="Z27">
            <v>0</v>
          </cell>
          <cell r="AA27">
            <v>0</v>
          </cell>
          <cell r="AC27">
            <v>0</v>
          </cell>
          <cell r="AD27">
            <v>0</v>
          </cell>
          <cell r="AF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 t="str">
            <v>X</v>
          </cell>
          <cell r="AQ27" t="str">
            <v/>
          </cell>
        </row>
        <row r="28">
          <cell r="B28" t="str">
            <v/>
          </cell>
          <cell r="H28" t="str">
            <v>--</v>
          </cell>
          <cell r="Q28" t="str">
            <v>EXT</v>
          </cell>
          <cell r="R28" t="str">
            <v>Placeholder</v>
          </cell>
          <cell r="W28">
            <v>1</v>
          </cell>
          <cell r="X28" t="str">
            <v>USD</v>
          </cell>
          <cell r="Z28">
            <v>0</v>
          </cell>
          <cell r="AA28">
            <v>0</v>
          </cell>
          <cell r="AC28">
            <v>0</v>
          </cell>
          <cell r="AD28">
            <v>0</v>
          </cell>
          <cell r="AF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 t="str">
            <v>X</v>
          </cell>
          <cell r="AQ28" t="str">
            <v/>
          </cell>
        </row>
        <row r="29">
          <cell r="I29" t="str">
            <v>1.4 Drive Control</v>
          </cell>
        </row>
        <row r="30">
          <cell r="B30" t="str">
            <v>Low Level Control HW</v>
          </cell>
          <cell r="C30">
            <v>0</v>
          </cell>
          <cell r="D30">
            <v>4</v>
          </cell>
          <cell r="E30" t="str">
            <v>CC</v>
          </cell>
          <cell r="F30" t="str">
            <v>B_</v>
          </cell>
          <cell r="G30" t="str">
            <v>QA</v>
          </cell>
          <cell r="H30" t="str">
            <v>04-CC-B_-QA</v>
          </cell>
          <cell r="I30" t="str">
            <v>VFD: G110D 0,75kW</v>
          </cell>
          <cell r="Q30" t="str">
            <v>EXT</v>
          </cell>
          <cell r="R30" t="str">
            <v>Placeholder</v>
          </cell>
          <cell r="U30" t="str">
            <v>PC</v>
          </cell>
          <cell r="W30">
            <v>1</v>
          </cell>
          <cell r="X30" t="str">
            <v>USD</v>
          </cell>
          <cell r="Z30">
            <v>0</v>
          </cell>
          <cell r="AA30">
            <v>0</v>
          </cell>
          <cell r="AC30">
            <v>0</v>
          </cell>
          <cell r="AD30">
            <v>0</v>
          </cell>
          <cell r="AF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 t="str">
            <v>X</v>
          </cell>
          <cell r="AQ30" t="str">
            <v>CF.5</v>
          </cell>
        </row>
        <row r="31">
          <cell r="B31" t="str">
            <v>Low Level Control HW</v>
          </cell>
          <cell r="C31">
            <v>0</v>
          </cell>
          <cell r="D31">
            <v>4</v>
          </cell>
          <cell r="E31" t="str">
            <v>CC</v>
          </cell>
          <cell r="F31" t="str">
            <v>B_</v>
          </cell>
          <cell r="G31" t="str">
            <v>QA</v>
          </cell>
          <cell r="H31" t="str">
            <v>04-CC-B_-QA</v>
          </cell>
          <cell r="I31" t="str">
            <v>VFD: G110D 1,5kW</v>
          </cell>
          <cell r="Q31" t="str">
            <v>EXT</v>
          </cell>
          <cell r="R31" t="str">
            <v>Placeholder</v>
          </cell>
          <cell r="U31" t="str">
            <v>PC</v>
          </cell>
          <cell r="W31">
            <v>1</v>
          </cell>
          <cell r="X31" t="str">
            <v>USD</v>
          </cell>
          <cell r="Z31">
            <v>0</v>
          </cell>
          <cell r="AA31">
            <v>0</v>
          </cell>
          <cell r="AC31">
            <v>0</v>
          </cell>
          <cell r="AD31">
            <v>0</v>
          </cell>
          <cell r="AF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 t="str">
            <v>X</v>
          </cell>
          <cell r="AQ31" t="str">
            <v>CF.5</v>
          </cell>
        </row>
        <row r="32">
          <cell r="B32" t="str">
            <v>Low Level Control HW</v>
          </cell>
          <cell r="C32">
            <v>0</v>
          </cell>
          <cell r="D32">
            <v>4</v>
          </cell>
          <cell r="E32" t="str">
            <v>CC</v>
          </cell>
          <cell r="F32" t="str">
            <v>B_</v>
          </cell>
          <cell r="G32" t="str">
            <v>QA</v>
          </cell>
          <cell r="H32" t="str">
            <v>04-CC-B_-QA</v>
          </cell>
          <cell r="I32" t="str">
            <v>VFD: G110D 3kW</v>
          </cell>
          <cell r="Q32" t="str">
            <v>EXT</v>
          </cell>
          <cell r="R32" t="str">
            <v>Placeholder</v>
          </cell>
          <cell r="U32" t="str">
            <v>PC</v>
          </cell>
          <cell r="W32">
            <v>1</v>
          </cell>
          <cell r="X32" t="str">
            <v>USD</v>
          </cell>
          <cell r="Z32">
            <v>0</v>
          </cell>
          <cell r="AA32">
            <v>0</v>
          </cell>
          <cell r="AC32">
            <v>0</v>
          </cell>
          <cell r="AD32">
            <v>0</v>
          </cell>
          <cell r="AF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P32" t="str">
            <v>X</v>
          </cell>
          <cell r="AQ32" t="str">
            <v>CF.5</v>
          </cell>
        </row>
        <row r="33">
          <cell r="B33" t="str">
            <v>Low Level Control HW</v>
          </cell>
          <cell r="C33">
            <v>0</v>
          </cell>
          <cell r="D33">
            <v>4</v>
          </cell>
          <cell r="E33" t="str">
            <v>CC</v>
          </cell>
          <cell r="F33" t="str">
            <v>B_</v>
          </cell>
          <cell r="G33" t="str">
            <v>QA</v>
          </cell>
          <cell r="H33" t="str">
            <v>04-CC-B_-QA</v>
          </cell>
          <cell r="I33" t="str">
            <v>VFD: G110D 4kW</v>
          </cell>
          <cell r="Q33" t="str">
            <v>EXT</v>
          </cell>
          <cell r="R33" t="str">
            <v>Placeholder</v>
          </cell>
          <cell r="U33" t="str">
            <v>PC</v>
          </cell>
          <cell r="W33">
            <v>1</v>
          </cell>
          <cell r="X33" t="str">
            <v>USD</v>
          </cell>
          <cell r="Z33">
            <v>0</v>
          </cell>
          <cell r="AA33">
            <v>0</v>
          </cell>
          <cell r="AC33">
            <v>0</v>
          </cell>
          <cell r="AD33">
            <v>0</v>
          </cell>
          <cell r="AF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P33" t="str">
            <v>X</v>
          </cell>
          <cell r="AQ33" t="str">
            <v>CF.5</v>
          </cell>
        </row>
        <row r="34">
          <cell r="B34" t="str">
            <v>Low Level Control HW</v>
          </cell>
          <cell r="C34">
            <v>0</v>
          </cell>
          <cell r="D34">
            <v>4</v>
          </cell>
          <cell r="E34" t="str">
            <v>CC</v>
          </cell>
          <cell r="F34" t="str">
            <v>B_</v>
          </cell>
          <cell r="G34" t="str">
            <v>QA</v>
          </cell>
          <cell r="H34" t="str">
            <v>04-CC-B_-QA</v>
          </cell>
          <cell r="I34" t="str">
            <v>VFD: G110D 5,5kW</v>
          </cell>
          <cell r="Q34" t="str">
            <v>EXT</v>
          </cell>
          <cell r="R34" t="str">
            <v>Placeholder</v>
          </cell>
          <cell r="U34" t="str">
            <v>PC</v>
          </cell>
          <cell r="W34">
            <v>1</v>
          </cell>
          <cell r="X34" t="str">
            <v>USD</v>
          </cell>
          <cell r="Z34">
            <v>0</v>
          </cell>
          <cell r="AA34">
            <v>0</v>
          </cell>
          <cell r="AC34">
            <v>0</v>
          </cell>
          <cell r="AD34">
            <v>0</v>
          </cell>
          <cell r="AF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P34" t="str">
            <v>X</v>
          </cell>
          <cell r="AQ34" t="str">
            <v>CF.5</v>
          </cell>
        </row>
        <row r="35">
          <cell r="B35" t="str">
            <v>Low Level Control HW</v>
          </cell>
          <cell r="C35">
            <v>0</v>
          </cell>
          <cell r="D35">
            <v>4</v>
          </cell>
          <cell r="E35" t="str">
            <v>CC</v>
          </cell>
          <cell r="F35" t="str">
            <v>B_</v>
          </cell>
          <cell r="G35" t="str">
            <v>QA</v>
          </cell>
          <cell r="H35" t="str">
            <v>04-CC-B_-QA</v>
          </cell>
          <cell r="I35" t="str">
            <v>VFD: G110D 7,5kW</v>
          </cell>
          <cell r="Q35" t="str">
            <v>EXT</v>
          </cell>
          <cell r="R35" t="str">
            <v>Placeholder</v>
          </cell>
          <cell r="U35" t="str">
            <v>PC</v>
          </cell>
          <cell r="W35">
            <v>1</v>
          </cell>
          <cell r="X35" t="str">
            <v>USD</v>
          </cell>
          <cell r="Z35">
            <v>0</v>
          </cell>
          <cell r="AA35">
            <v>0</v>
          </cell>
          <cell r="AC35">
            <v>0</v>
          </cell>
          <cell r="AD35">
            <v>0</v>
          </cell>
          <cell r="AF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P35" t="str">
            <v>X</v>
          </cell>
          <cell r="AQ35" t="str">
            <v>CF.5</v>
          </cell>
        </row>
        <row r="36">
          <cell r="B36" t="str">
            <v>Low Level Control HW</v>
          </cell>
          <cell r="C36">
            <v>0</v>
          </cell>
          <cell r="D36">
            <v>4</v>
          </cell>
          <cell r="E36" t="str">
            <v>CC</v>
          </cell>
          <cell r="F36" t="str">
            <v>B_</v>
          </cell>
          <cell r="G36" t="str">
            <v>QA</v>
          </cell>
          <cell r="H36" t="str">
            <v>04-CC-B_-QA</v>
          </cell>
          <cell r="I36" t="str">
            <v>VFD: G115D WM FSA PN CON 0,75kW</v>
          </cell>
          <cell r="J36" t="str">
            <v>221024_LTIA_Ph1_Z-4-CA-002_PLC_Material_Costs_Long Than_Belt_2022-09-30.xlsx</v>
          </cell>
          <cell r="L36" t="str">
            <v>Offshore:
GER
(MAT)</v>
          </cell>
          <cell r="M36" t="str">
            <v>S. Zenk</v>
          </cell>
          <cell r="N36">
            <v>44859</v>
          </cell>
          <cell r="P36" t="str">
            <v>Siemens</v>
          </cell>
          <cell r="Q36" t="str">
            <v>OSE</v>
          </cell>
          <cell r="R36" t="str">
            <v>Binding Quote</v>
          </cell>
          <cell r="T36">
            <v>690</v>
          </cell>
          <cell r="U36" t="str">
            <v>PC</v>
          </cell>
          <cell r="V36">
            <v>521.95000000000005</v>
          </cell>
          <cell r="W36">
            <v>2</v>
          </cell>
          <cell r="X36" t="str">
            <v>EUR</v>
          </cell>
          <cell r="Y36" t="str">
            <v>German MGK 1</v>
          </cell>
          <cell r="Z36">
            <v>0</v>
          </cell>
          <cell r="AA36">
            <v>0</v>
          </cell>
          <cell r="AC36">
            <v>360145.50000000006</v>
          </cell>
          <cell r="AD36">
            <v>383014.73925000004</v>
          </cell>
          <cell r="AF36">
            <v>0</v>
          </cell>
          <cell r="AH36">
            <v>383014.73925000004</v>
          </cell>
          <cell r="AI36">
            <v>0.23709783177495308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502049.61422657181</v>
          </cell>
          <cell r="AP36" t="str">
            <v>II</v>
          </cell>
          <cell r="AQ36" t="str">
            <v>CF.5</v>
          </cell>
        </row>
        <row r="37">
          <cell r="B37" t="str">
            <v>Low Level Control HW</v>
          </cell>
          <cell r="C37">
            <v>0</v>
          </cell>
          <cell r="D37">
            <v>4</v>
          </cell>
          <cell r="E37" t="str">
            <v>CC</v>
          </cell>
          <cell r="F37" t="str">
            <v>B_</v>
          </cell>
          <cell r="G37" t="str">
            <v>QA</v>
          </cell>
          <cell r="H37" t="str">
            <v>04-CC-B_-QA</v>
          </cell>
          <cell r="I37" t="str">
            <v>VFD: G115D WM FSA PN CON 1,1kW</v>
          </cell>
          <cell r="J37" t="str">
            <v>221024_LTIA_Ph1_Z-4-CA-002_PLC_Material_Costs_Long Than_Belt_2022-09-30.xlsx</v>
          </cell>
          <cell r="L37" t="str">
            <v>Offshore:
GER
(MAT)</v>
          </cell>
          <cell r="M37" t="str">
            <v>S. Zenk</v>
          </cell>
          <cell r="N37">
            <v>44859</v>
          </cell>
          <cell r="P37" t="str">
            <v>Siemens</v>
          </cell>
          <cell r="Q37" t="str">
            <v>OSE</v>
          </cell>
          <cell r="R37" t="str">
            <v>Binding Quote</v>
          </cell>
          <cell r="T37">
            <v>1026</v>
          </cell>
          <cell r="U37" t="str">
            <v>PC</v>
          </cell>
          <cell r="V37">
            <v>552.54999999999995</v>
          </cell>
          <cell r="W37">
            <v>2</v>
          </cell>
          <cell r="X37" t="str">
            <v>EUR</v>
          </cell>
          <cell r="Y37" t="str">
            <v>German MGK 1</v>
          </cell>
          <cell r="Z37">
            <v>0</v>
          </cell>
          <cell r="AA37">
            <v>0</v>
          </cell>
          <cell r="AC37">
            <v>566916.29999999993</v>
          </cell>
          <cell r="AD37">
            <v>602915.4850499999</v>
          </cell>
          <cell r="AF37">
            <v>0</v>
          </cell>
          <cell r="AH37">
            <v>602915.4850499999</v>
          </cell>
          <cell r="AI37">
            <v>0.23709783177495308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790292.00618570938</v>
          </cell>
          <cell r="AP37" t="str">
            <v>II</v>
          </cell>
          <cell r="AQ37" t="str">
            <v>CF.5</v>
          </cell>
        </row>
        <row r="38">
          <cell r="B38" t="str">
            <v>Low Level Control HW</v>
          </cell>
          <cell r="C38">
            <v>0</v>
          </cell>
          <cell r="D38">
            <v>4</v>
          </cell>
          <cell r="E38" t="str">
            <v>CC</v>
          </cell>
          <cell r="F38" t="str">
            <v>B_</v>
          </cell>
          <cell r="G38" t="str">
            <v>QA</v>
          </cell>
          <cell r="H38" t="str">
            <v>04-CC-B_-QA</v>
          </cell>
          <cell r="I38" t="str">
            <v>VFD: G115D WM FSA PN CON 1,5kW</v>
          </cell>
          <cell r="J38" t="str">
            <v>221024_LTIA_Ph1_Z-4-CA-002_PLC_Material_Costs_Long Than_Belt_2022-09-30.xlsx</v>
          </cell>
          <cell r="L38" t="str">
            <v>Offshore:
GER
(MAT)</v>
          </cell>
          <cell r="M38" t="str">
            <v>S. Zenk</v>
          </cell>
          <cell r="N38">
            <v>44859</v>
          </cell>
          <cell r="P38" t="str">
            <v>Siemens</v>
          </cell>
          <cell r="Q38" t="str">
            <v>OSE</v>
          </cell>
          <cell r="R38" t="str">
            <v>Binding Quote</v>
          </cell>
          <cell r="T38">
            <v>125</v>
          </cell>
          <cell r="U38" t="str">
            <v>PC</v>
          </cell>
          <cell r="V38">
            <v>583.16</v>
          </cell>
          <cell r="W38">
            <v>2</v>
          </cell>
          <cell r="X38" t="str">
            <v>EUR</v>
          </cell>
          <cell r="Y38" t="str">
            <v>German MGK 1</v>
          </cell>
          <cell r="Z38">
            <v>0</v>
          </cell>
          <cell r="AA38">
            <v>0</v>
          </cell>
          <cell r="AC38">
            <v>72895</v>
          </cell>
          <cell r="AD38">
            <v>77523.83249999999</v>
          </cell>
          <cell r="AF38">
            <v>0</v>
          </cell>
          <cell r="AH38">
            <v>77523.83249999999</v>
          </cell>
          <cell r="AI38">
            <v>0.23709783177495308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101617.00376388416</v>
          </cell>
          <cell r="AP38" t="str">
            <v>II</v>
          </cell>
          <cell r="AQ38" t="str">
            <v>CF.5</v>
          </cell>
        </row>
        <row r="39">
          <cell r="B39" t="str">
            <v>Low Level Control HW</v>
          </cell>
          <cell r="C39">
            <v>0</v>
          </cell>
          <cell r="D39">
            <v>4</v>
          </cell>
          <cell r="E39" t="str">
            <v>CC</v>
          </cell>
          <cell r="F39" t="str">
            <v>B_</v>
          </cell>
          <cell r="G39" t="str">
            <v>QA</v>
          </cell>
          <cell r="H39" t="str">
            <v>04-CC-B_-QA</v>
          </cell>
          <cell r="I39" t="str">
            <v>VFD: G115D WM FSB PN CON 2,2kW</v>
          </cell>
          <cell r="J39" t="str">
            <v>221024_LTIA_Ph1_Z-4-CA-002_PLC_Material_Costs_Long Than_Belt_2022-09-30.xlsx</v>
          </cell>
          <cell r="L39" t="str">
            <v>Offshore:
GER
(MAT)</v>
          </cell>
          <cell r="M39" t="str">
            <v>S. Zenk</v>
          </cell>
          <cell r="N39">
            <v>44859</v>
          </cell>
          <cell r="P39" t="str">
            <v>Siemens</v>
          </cell>
          <cell r="Q39" t="str">
            <v>OSE</v>
          </cell>
          <cell r="R39" t="str">
            <v>Binding Quote</v>
          </cell>
          <cell r="T39">
            <v>194</v>
          </cell>
          <cell r="U39" t="str">
            <v>PC</v>
          </cell>
          <cell r="V39">
            <v>648.98</v>
          </cell>
          <cell r="W39">
            <v>2</v>
          </cell>
          <cell r="X39" t="str">
            <v>EUR</v>
          </cell>
          <cell r="Y39" t="str">
            <v>German MGK 1</v>
          </cell>
          <cell r="Z39">
            <v>0</v>
          </cell>
          <cell r="AA39">
            <v>0</v>
          </cell>
          <cell r="AC39">
            <v>125902.12000000001</v>
          </cell>
          <cell r="AD39">
            <v>133896.90461999999</v>
          </cell>
          <cell r="AF39">
            <v>0</v>
          </cell>
          <cell r="AH39">
            <v>133896.90461999999</v>
          </cell>
          <cell r="AI39">
            <v>0.23709783177495308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175509.92800495229</v>
          </cell>
          <cell r="AP39" t="str">
            <v>II</v>
          </cell>
          <cell r="AQ39" t="str">
            <v>CF.5</v>
          </cell>
        </row>
        <row r="40">
          <cell r="B40" t="str">
            <v>Low Level Control HW</v>
          </cell>
          <cell r="C40">
            <v>0</v>
          </cell>
          <cell r="D40">
            <v>4</v>
          </cell>
          <cell r="E40" t="str">
            <v>CC</v>
          </cell>
          <cell r="F40" t="str">
            <v>B_</v>
          </cell>
          <cell r="G40" t="str">
            <v>QA</v>
          </cell>
          <cell r="H40" t="str">
            <v>04-CC-B_-QA</v>
          </cell>
          <cell r="I40" t="str">
            <v>VFD: G115D WM FSB PN CON 3,0kW</v>
          </cell>
          <cell r="J40" t="str">
            <v>221024_LTIA_Ph1_Z-4-CA-002_PLC_Material_Costs_Long Than_Belt_2022-09-30.xlsx</v>
          </cell>
          <cell r="L40" t="str">
            <v>Offshore:
GER
(MAT)</v>
          </cell>
          <cell r="M40" t="str">
            <v>S. Zenk</v>
          </cell>
          <cell r="N40">
            <v>44859</v>
          </cell>
          <cell r="P40" t="str">
            <v>Siemens</v>
          </cell>
          <cell r="Q40" t="str">
            <v>OSE</v>
          </cell>
          <cell r="R40" t="str">
            <v>Binding Quote</v>
          </cell>
          <cell r="T40">
            <v>22</v>
          </cell>
          <cell r="U40" t="str">
            <v>PC</v>
          </cell>
          <cell r="V40">
            <v>703.12</v>
          </cell>
          <cell r="W40">
            <v>2</v>
          </cell>
          <cell r="X40" t="str">
            <v>EUR</v>
          </cell>
          <cell r="Y40" t="str">
            <v>German MGK 1</v>
          </cell>
          <cell r="Z40">
            <v>0</v>
          </cell>
          <cell r="AA40">
            <v>0</v>
          </cell>
          <cell r="AC40">
            <v>15468.64</v>
          </cell>
          <cell r="AD40">
            <v>16450.898639999999</v>
          </cell>
          <cell r="AF40">
            <v>0</v>
          </cell>
          <cell r="AH40">
            <v>16450.898639999999</v>
          </cell>
          <cell r="AI40">
            <v>0.23709783177495308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21563.575678745721</v>
          </cell>
          <cell r="AP40" t="str">
            <v>II</v>
          </cell>
          <cell r="AQ40" t="str">
            <v>CF.5</v>
          </cell>
        </row>
        <row r="41">
          <cell r="B41" t="str">
            <v>Low Level Control HW</v>
          </cell>
          <cell r="C41">
            <v>0</v>
          </cell>
          <cell r="D41">
            <v>4</v>
          </cell>
          <cell r="E41" t="str">
            <v>CC</v>
          </cell>
          <cell r="F41" t="str">
            <v>B_</v>
          </cell>
          <cell r="G41" t="str">
            <v>QA</v>
          </cell>
          <cell r="H41" t="str">
            <v>04-CC-B_-QA</v>
          </cell>
          <cell r="I41" t="str">
            <v>VFD: G115D WM FSB PN CON 4,0kW</v>
          </cell>
          <cell r="J41" t="str">
            <v>221024_LTIA_Ph1_Z-4-CA-002_PLC_Material_Costs_Long Than_Belt_2022-09-30.xlsx</v>
          </cell>
          <cell r="L41" t="str">
            <v>Offshore:
GER
(MAT)</v>
          </cell>
          <cell r="M41" t="str">
            <v>S. Zenk</v>
          </cell>
          <cell r="N41">
            <v>44859</v>
          </cell>
          <cell r="P41" t="str">
            <v>Siemens</v>
          </cell>
          <cell r="Q41" t="str">
            <v>OSE</v>
          </cell>
          <cell r="R41" t="str">
            <v>Binding Quote</v>
          </cell>
          <cell r="T41">
            <v>0</v>
          </cell>
          <cell r="U41" t="str">
            <v>PC</v>
          </cell>
          <cell r="V41">
            <v>790.22</v>
          </cell>
          <cell r="W41">
            <v>2</v>
          </cell>
          <cell r="X41" t="str">
            <v>EUR</v>
          </cell>
          <cell r="Y41" t="str">
            <v>German MGK 1</v>
          </cell>
          <cell r="Z41">
            <v>0</v>
          </cell>
          <cell r="AA41">
            <v>0</v>
          </cell>
          <cell r="AC41">
            <v>0</v>
          </cell>
          <cell r="AD41">
            <v>0</v>
          </cell>
          <cell r="AF41">
            <v>0</v>
          </cell>
          <cell r="AH41">
            <v>0</v>
          </cell>
          <cell r="AI41">
            <v>0.23709783177495308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P41" t="str">
            <v>X</v>
          </cell>
          <cell r="AQ41" t="str">
            <v>CF.5</v>
          </cell>
        </row>
        <row r="42">
          <cell r="B42" t="str">
            <v>Low Level Control HW</v>
          </cell>
          <cell r="C42">
            <v>0</v>
          </cell>
          <cell r="D42">
            <v>4</v>
          </cell>
          <cell r="E42" t="str">
            <v>CC</v>
          </cell>
          <cell r="F42" t="str">
            <v>B_</v>
          </cell>
          <cell r="G42" t="str">
            <v>QA</v>
          </cell>
          <cell r="H42" t="str">
            <v>04-CC-B_-QA</v>
          </cell>
          <cell r="I42" t="str">
            <v>VFD: Brake Resistor FSA 240W f. G115D</v>
          </cell>
          <cell r="J42" t="str">
            <v>221024_LTIA_Ph1_Z-4-CA-002_PLC_Material_Costs_Long Than_Belt_2022-09-30.xlsx</v>
          </cell>
          <cell r="L42" t="str">
            <v>Offshore:
GER
(MAT)</v>
          </cell>
          <cell r="M42" t="str">
            <v>S. Zenk</v>
          </cell>
          <cell r="N42">
            <v>44859</v>
          </cell>
          <cell r="P42" t="str">
            <v>Siemens</v>
          </cell>
          <cell r="Q42" t="str">
            <v>OSE</v>
          </cell>
          <cell r="R42" t="str">
            <v>Binding Quote</v>
          </cell>
          <cell r="T42">
            <v>112.04624871531345</v>
          </cell>
          <cell r="U42" t="str">
            <v>PC</v>
          </cell>
          <cell r="V42">
            <v>161.56</v>
          </cell>
          <cell r="W42">
            <v>2</v>
          </cell>
          <cell r="X42" t="str">
            <v>EUR</v>
          </cell>
          <cell r="Y42" t="str">
            <v>German MGK 1</v>
          </cell>
          <cell r="Z42">
            <v>0</v>
          </cell>
          <cell r="AA42">
            <v>0</v>
          </cell>
          <cell r="AC42">
            <v>18102.191942446043</v>
          </cell>
          <cell r="AD42">
            <v>19251.681130791363</v>
          </cell>
          <cell r="AF42">
            <v>0</v>
          </cell>
          <cell r="AH42">
            <v>19251.681130791363</v>
          </cell>
          <cell r="AI42">
            <v>0.23709783177495308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25234.79671788316</v>
          </cell>
          <cell r="AP42" t="str">
            <v>II</v>
          </cell>
          <cell r="AQ42" t="str">
            <v>CF.5</v>
          </cell>
        </row>
        <row r="43">
          <cell r="B43" t="str">
            <v>Low Level Control HW</v>
          </cell>
          <cell r="C43">
            <v>0</v>
          </cell>
          <cell r="D43">
            <v>4</v>
          </cell>
          <cell r="E43" t="str">
            <v>CC</v>
          </cell>
          <cell r="F43" t="str">
            <v>B_</v>
          </cell>
          <cell r="G43" t="str">
            <v>QA</v>
          </cell>
          <cell r="H43" t="str">
            <v>04-CC-B_-QA</v>
          </cell>
          <cell r="I43" t="str">
            <v>VFD: Brake Resistor FSB 240W f. G115D</v>
          </cell>
          <cell r="J43" t="str">
            <v>221024_LTIA_Ph1_Z-4-CA-002_PLC_Material_Costs_Long Than_Belt_2022-09-30.xlsx</v>
          </cell>
          <cell r="L43" t="str">
            <v>Offshore:
GER
(MAT)</v>
          </cell>
          <cell r="M43" t="str">
            <v>S. Zenk</v>
          </cell>
          <cell r="N43">
            <v>44859</v>
          </cell>
          <cell r="P43" t="str">
            <v>Siemens</v>
          </cell>
          <cell r="Q43" t="str">
            <v>OSE</v>
          </cell>
          <cell r="R43" t="str">
            <v>Binding Quote</v>
          </cell>
          <cell r="T43">
            <v>22.197841726618705</v>
          </cell>
          <cell r="U43" t="str">
            <v>PC</v>
          </cell>
          <cell r="V43">
            <v>161.56</v>
          </cell>
          <cell r="W43">
            <v>2</v>
          </cell>
          <cell r="X43" t="str">
            <v>EUR</v>
          </cell>
          <cell r="Y43" t="str">
            <v>German MGK 1</v>
          </cell>
          <cell r="Z43">
            <v>0</v>
          </cell>
          <cell r="AA43">
            <v>0</v>
          </cell>
          <cell r="AC43">
            <v>3586.2833093525182</v>
          </cell>
          <cell r="AD43">
            <v>3814.0122994964026</v>
          </cell>
          <cell r="AF43">
            <v>0</v>
          </cell>
          <cell r="AH43">
            <v>3814.0122994964026</v>
          </cell>
          <cell r="AI43">
            <v>0.23709783177495308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4999.3465195806275</v>
          </cell>
          <cell r="AP43" t="str">
            <v>II</v>
          </cell>
          <cell r="AQ43" t="str">
            <v>CF.5</v>
          </cell>
        </row>
        <row r="44">
          <cell r="B44" t="str">
            <v>Low Level Control HW</v>
          </cell>
          <cell r="C44">
            <v>0</v>
          </cell>
          <cell r="D44">
            <v>4</v>
          </cell>
          <cell r="E44" t="str">
            <v>CC</v>
          </cell>
          <cell r="F44" t="str">
            <v>B_</v>
          </cell>
          <cell r="G44" t="str">
            <v>QA</v>
          </cell>
          <cell r="H44" t="str">
            <v>04-CC-B_-QA</v>
          </cell>
          <cell r="I44" t="str">
            <v>VFD: Power T-Connector</v>
          </cell>
          <cell r="J44" t="str">
            <v>221024_LTIA_Ph1_Z-4-CA-002_PLC_Material_Costs_Long Than_Belt_2022-09-30.xlsx</v>
          </cell>
          <cell r="L44" t="str">
            <v>Offshore:
GER
(MAT)</v>
          </cell>
          <cell r="M44" t="str">
            <v>S. Zenk</v>
          </cell>
          <cell r="N44">
            <v>44859</v>
          </cell>
          <cell r="O44" t="str">
            <v>HAR-05.20201</v>
          </cell>
          <cell r="P44" t="str">
            <v>Harting</v>
          </cell>
          <cell r="Q44" t="str">
            <v>EXT</v>
          </cell>
          <cell r="R44" t="str">
            <v>Binding Quote</v>
          </cell>
          <cell r="T44">
            <v>2113</v>
          </cell>
          <cell r="U44" t="str">
            <v>PC</v>
          </cell>
          <cell r="V44">
            <v>27.28</v>
          </cell>
          <cell r="W44">
            <v>2</v>
          </cell>
          <cell r="X44" t="str">
            <v>EUR</v>
          </cell>
          <cell r="Y44" t="str">
            <v>German MGK 1</v>
          </cell>
          <cell r="Z44">
            <v>0</v>
          </cell>
          <cell r="AA44">
            <v>0</v>
          </cell>
          <cell r="AC44">
            <v>57642.64</v>
          </cell>
          <cell r="AD44">
            <v>61302.947639999991</v>
          </cell>
          <cell r="AF44">
            <v>0</v>
          </cell>
          <cell r="AH44">
            <v>61302.947639999991</v>
          </cell>
          <cell r="AI44">
            <v>0.23709783177495308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80354.926481105969</v>
          </cell>
          <cell r="AP44" t="str">
            <v>II</v>
          </cell>
          <cell r="AQ44" t="str">
            <v>CF.5</v>
          </cell>
        </row>
        <row r="45">
          <cell r="B45" t="str">
            <v>Low Level Control HW</v>
          </cell>
          <cell r="C45">
            <v>0</v>
          </cell>
          <cell r="D45">
            <v>4</v>
          </cell>
          <cell r="E45" t="str">
            <v>CC</v>
          </cell>
          <cell r="F45" t="str">
            <v>B_</v>
          </cell>
          <cell r="G45" t="str">
            <v>QW</v>
          </cell>
          <cell r="H45" t="str">
            <v>04-CC-B_-QW</v>
          </cell>
          <cell r="I45" t="str">
            <v>VFD: Premanu. Power and Motor cable</v>
          </cell>
          <cell r="J45" t="str">
            <v>221024_LTIA_Ph1_Z-4-CA-002_PLC_Material_Costs_Long Than_Belt_2022-09-30.xlsx</v>
          </cell>
          <cell r="L45" t="str">
            <v>Offshore:
GER
(MAT)</v>
          </cell>
          <cell r="M45" t="str">
            <v>S. Zenk</v>
          </cell>
          <cell r="N45">
            <v>44859</v>
          </cell>
          <cell r="O45" t="str">
            <v>HAR-05.20201</v>
          </cell>
          <cell r="P45" t="str">
            <v>Harting</v>
          </cell>
          <cell r="Q45" t="str">
            <v>EXT</v>
          </cell>
          <cell r="R45" t="str">
            <v>Binding Quote</v>
          </cell>
          <cell r="T45">
            <v>4170</v>
          </cell>
          <cell r="U45" t="str">
            <v>ST</v>
          </cell>
          <cell r="V45">
            <v>66.875539568345317</v>
          </cell>
          <cell r="W45">
            <v>2</v>
          </cell>
          <cell r="X45" t="str">
            <v>EUR</v>
          </cell>
          <cell r="Y45" t="str">
            <v>German MGK 1</v>
          </cell>
          <cell r="Z45">
            <v>0</v>
          </cell>
          <cell r="AA45">
            <v>0</v>
          </cell>
          <cell r="AC45">
            <v>278871</v>
          </cell>
          <cell r="AD45">
            <v>296579.30849999998</v>
          </cell>
          <cell r="AF45">
            <v>0</v>
          </cell>
          <cell r="AH45">
            <v>296579.30849999998</v>
          </cell>
          <cell r="AI45">
            <v>0.23709783177495308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388751.42954438773</v>
          </cell>
          <cell r="AP45" t="str">
            <v>II</v>
          </cell>
          <cell r="AQ45" t="str">
            <v>CF.5</v>
          </cell>
        </row>
        <row r="46">
          <cell r="B46" t="str">
            <v>Low Level Control HW</v>
          </cell>
          <cell r="C46">
            <v>0</v>
          </cell>
          <cell r="D46">
            <v>4</v>
          </cell>
          <cell r="E46" t="str">
            <v>CC</v>
          </cell>
          <cell r="F46" t="str">
            <v>B_</v>
          </cell>
          <cell r="G46" t="str">
            <v>QU</v>
          </cell>
          <cell r="H46" t="str">
            <v>04-CC-B_-QU</v>
          </cell>
          <cell r="I46" t="str">
            <v>VFD: Bracket G110D/G115D/G120D</v>
          </cell>
          <cell r="Q46" t="str">
            <v>EXT</v>
          </cell>
          <cell r="R46" t="str">
            <v>Placeholder</v>
          </cell>
          <cell r="U46" t="str">
            <v>ST</v>
          </cell>
          <cell r="W46">
            <v>1</v>
          </cell>
          <cell r="X46" t="str">
            <v>USD</v>
          </cell>
          <cell r="Z46">
            <v>0</v>
          </cell>
          <cell r="AA46">
            <v>0</v>
          </cell>
          <cell r="AC46">
            <v>0</v>
          </cell>
          <cell r="AD46">
            <v>0</v>
          </cell>
          <cell r="AF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P46" t="str">
            <v>X</v>
          </cell>
          <cell r="AQ46" t="str">
            <v>CF.5</v>
          </cell>
        </row>
        <row r="47">
          <cell r="B47" t="str">
            <v/>
          </cell>
          <cell r="H47" t="str">
            <v>--</v>
          </cell>
          <cell r="Q47" t="str">
            <v>EXT</v>
          </cell>
          <cell r="R47" t="str">
            <v>Placeholder</v>
          </cell>
          <cell r="W47">
            <v>1</v>
          </cell>
          <cell r="X47" t="str">
            <v>USD</v>
          </cell>
          <cell r="Z47">
            <v>0</v>
          </cell>
          <cell r="AA47">
            <v>0</v>
          </cell>
          <cell r="AC47">
            <v>0</v>
          </cell>
          <cell r="AD47">
            <v>0</v>
          </cell>
          <cell r="AF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P47" t="str">
            <v>X</v>
          </cell>
          <cell r="AQ47" t="str">
            <v/>
          </cell>
        </row>
        <row r="48">
          <cell r="B48" t="str">
            <v/>
          </cell>
          <cell r="H48" t="str">
            <v>--</v>
          </cell>
          <cell r="Q48" t="str">
            <v>EXT</v>
          </cell>
          <cell r="R48" t="str">
            <v>Placeholder</v>
          </cell>
          <cell r="W48">
            <v>1</v>
          </cell>
          <cell r="X48" t="str">
            <v>USD</v>
          </cell>
          <cell r="Z48">
            <v>0</v>
          </cell>
          <cell r="AA48">
            <v>0</v>
          </cell>
          <cell r="AC48">
            <v>0</v>
          </cell>
          <cell r="AD48">
            <v>0</v>
          </cell>
          <cell r="AF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P48" t="str">
            <v>X</v>
          </cell>
          <cell r="AQ48" t="str">
            <v/>
          </cell>
        </row>
        <row r="49">
          <cell r="I49" t="str">
            <v>1.5 Field Devices Sensors…</v>
          </cell>
        </row>
        <row r="50">
          <cell r="B50" t="str">
            <v>Low Level Control HW</v>
          </cell>
          <cell r="C50">
            <v>0</v>
          </cell>
          <cell r="D50">
            <v>4</v>
          </cell>
          <cell r="E50" t="str">
            <v>CC</v>
          </cell>
          <cell r="F50" t="str">
            <v>B_</v>
          </cell>
          <cell r="G50" t="str">
            <v>BG</v>
          </cell>
          <cell r="H50" t="str">
            <v>04-CC-B_-BG</v>
          </cell>
          <cell r="I50" t="str">
            <v>Field Devices: Actors, Sensors</v>
          </cell>
          <cell r="J50" t="str">
            <v>221024_LTIA_Ph1_Z-4-CA-002_PLC_Material_Costs_Long Than_Belt_2022-09-30.xlsx</v>
          </cell>
          <cell r="L50" t="str">
            <v>Offshore:
GER
(MAT)</v>
          </cell>
          <cell r="M50" t="str">
            <v>S. Zenk</v>
          </cell>
          <cell r="N50">
            <v>44859</v>
          </cell>
          <cell r="P50" t="str">
            <v>SICK</v>
          </cell>
          <cell r="Q50" t="str">
            <v>EXT</v>
          </cell>
          <cell r="R50" t="str">
            <v>Binding Quote</v>
          </cell>
          <cell r="T50">
            <v>1</v>
          </cell>
          <cell r="U50" t="str">
            <v>LS</v>
          </cell>
          <cell r="V50">
            <v>162020.68099999998</v>
          </cell>
          <cell r="W50">
            <v>2</v>
          </cell>
          <cell r="X50" t="str">
            <v>EUR</v>
          </cell>
          <cell r="Y50" t="str">
            <v>German MGK 1</v>
          </cell>
          <cell r="Z50">
            <v>0</v>
          </cell>
          <cell r="AA50">
            <v>0</v>
          </cell>
          <cell r="AC50">
            <v>162020.68099999998</v>
          </cell>
          <cell r="AD50">
            <v>172308.99424349997</v>
          </cell>
          <cell r="AF50">
            <v>0</v>
          </cell>
          <cell r="AH50">
            <v>172308.99424349997</v>
          </cell>
          <cell r="AI50">
            <v>0.23709783177495308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225859.88272177894</v>
          </cell>
          <cell r="AP50" t="str">
            <v>II</v>
          </cell>
          <cell r="AQ50" t="str">
            <v>CF.5</v>
          </cell>
        </row>
        <row r="51">
          <cell r="B51" t="str">
            <v>Low Level Control HW</v>
          </cell>
          <cell r="C51">
            <v>0</v>
          </cell>
          <cell r="D51">
            <v>4</v>
          </cell>
          <cell r="E51" t="str">
            <v>CC</v>
          </cell>
          <cell r="F51" t="str">
            <v>B_</v>
          </cell>
          <cell r="G51" t="str">
            <v>BA</v>
          </cell>
          <cell r="H51" t="str">
            <v>04-CC-B_-BA</v>
          </cell>
          <cell r="I51" t="str">
            <v>Field Devices: I/O Devices</v>
          </cell>
          <cell r="J51" t="str">
            <v>221024_LTIA_Ph1_Z-4-CA-002_PLC_Material_Costs_Long Than_Belt_2022-09-30.xlsx</v>
          </cell>
          <cell r="L51" t="str">
            <v>Offshore:
GER
(MAT)</v>
          </cell>
          <cell r="M51" t="str">
            <v>S. Zenk</v>
          </cell>
          <cell r="N51">
            <v>44859</v>
          </cell>
          <cell r="O51" t="str">
            <v>PMD</v>
          </cell>
          <cell r="P51" t="str">
            <v>Siemens</v>
          </cell>
          <cell r="Q51" t="str">
            <v>OSE</v>
          </cell>
          <cell r="R51" t="str">
            <v>Binding Quote</v>
          </cell>
          <cell r="T51">
            <v>945</v>
          </cell>
          <cell r="U51" t="str">
            <v>PC</v>
          </cell>
          <cell r="V51">
            <v>288.3</v>
          </cell>
          <cell r="W51">
            <v>2</v>
          </cell>
          <cell r="X51" t="str">
            <v>EUR</v>
          </cell>
          <cell r="Y51" t="str">
            <v>German MGK 1</v>
          </cell>
          <cell r="Z51">
            <v>0</v>
          </cell>
          <cell r="AA51">
            <v>0</v>
          </cell>
          <cell r="AC51">
            <v>272443.5</v>
          </cell>
          <cell r="AD51">
            <v>289743.66224999999</v>
          </cell>
          <cell r="AF51">
            <v>0</v>
          </cell>
          <cell r="AH51">
            <v>289743.66224999999</v>
          </cell>
          <cell r="AI51">
            <v>0.23709783177495308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379791.37341307057</v>
          </cell>
          <cell r="AP51" t="str">
            <v>II</v>
          </cell>
          <cell r="AQ51" t="str">
            <v>CF.5</v>
          </cell>
        </row>
        <row r="52">
          <cell r="B52" t="str">
            <v>Low Level Control HW</v>
          </cell>
          <cell r="C52">
            <v>0</v>
          </cell>
          <cell r="D52">
            <v>4</v>
          </cell>
          <cell r="E52" t="str">
            <v>CC</v>
          </cell>
          <cell r="F52" t="str">
            <v>B_</v>
          </cell>
          <cell r="G52" t="str">
            <v>BU</v>
          </cell>
          <cell r="H52" t="str">
            <v>04-CC-B_-BU</v>
          </cell>
          <cell r="I52" t="str">
            <v>Field Devices: Equipment Brackets &amp; Supports</v>
          </cell>
          <cell r="Q52" t="str">
            <v>EXT</v>
          </cell>
          <cell r="R52" t="str">
            <v>Placeholder</v>
          </cell>
          <cell r="U52" t="str">
            <v>PC</v>
          </cell>
          <cell r="W52">
            <v>1</v>
          </cell>
          <cell r="X52" t="str">
            <v>USD</v>
          </cell>
          <cell r="Z52">
            <v>0</v>
          </cell>
          <cell r="AA52">
            <v>0</v>
          </cell>
          <cell r="AC52">
            <v>0</v>
          </cell>
          <cell r="AD52">
            <v>0</v>
          </cell>
          <cell r="AF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P52" t="str">
            <v>X</v>
          </cell>
          <cell r="AQ52" t="str">
            <v>CF.5</v>
          </cell>
        </row>
        <row r="53">
          <cell r="B53" t="str">
            <v>Low Level Control HW</v>
          </cell>
          <cell r="C53">
            <v>0</v>
          </cell>
          <cell r="D53">
            <v>4</v>
          </cell>
          <cell r="E53" t="str">
            <v>CC</v>
          </cell>
          <cell r="F53" t="str">
            <v>B_</v>
          </cell>
          <cell r="G53" t="str">
            <v>BW</v>
          </cell>
          <cell r="H53" t="str">
            <v>04-CC-B_-BW</v>
          </cell>
          <cell r="I53" t="str">
            <v>Field Devices: Premanu. Sensor cable</v>
          </cell>
          <cell r="J53" t="str">
            <v>221024_LTIA_Ph1_Z-4-CA-002_PLC_Material_Costs_Long Than_Belt_2022-09-30.xlsx</v>
          </cell>
          <cell r="L53" t="str">
            <v>Offshore:
GER
(MAT)</v>
          </cell>
          <cell r="M53" t="str">
            <v>S. Zenk</v>
          </cell>
          <cell r="N53">
            <v>44859</v>
          </cell>
          <cell r="P53" t="str">
            <v>MURR</v>
          </cell>
          <cell r="Q53" t="str">
            <v>EXT</v>
          </cell>
          <cell r="R53" t="str">
            <v>Binding Quote</v>
          </cell>
          <cell r="T53">
            <v>1</v>
          </cell>
          <cell r="U53" t="str">
            <v>LS</v>
          </cell>
          <cell r="V53">
            <v>167703</v>
          </cell>
          <cell r="W53">
            <v>2</v>
          </cell>
          <cell r="X53" t="str">
            <v>EUR</v>
          </cell>
          <cell r="Y53" t="str">
            <v>German MGK 1</v>
          </cell>
          <cell r="Z53">
            <v>0</v>
          </cell>
          <cell r="AA53">
            <v>0</v>
          </cell>
          <cell r="AC53">
            <v>167703</v>
          </cell>
          <cell r="AD53">
            <v>178352.14049999998</v>
          </cell>
          <cell r="AF53">
            <v>0</v>
          </cell>
          <cell r="AH53">
            <v>178352.14049999998</v>
          </cell>
          <cell r="AI53">
            <v>0.23709783177495308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233781.14249557126</v>
          </cell>
          <cell r="AP53" t="str">
            <v>II</v>
          </cell>
          <cell r="AQ53" t="str">
            <v>CF.5</v>
          </cell>
        </row>
        <row r="54">
          <cell r="B54" t="str">
            <v>Low Level Control HW</v>
          </cell>
          <cell r="C54">
            <v>0</v>
          </cell>
          <cell r="D54">
            <v>4</v>
          </cell>
          <cell r="E54" t="str">
            <v>CC</v>
          </cell>
          <cell r="F54" t="str">
            <v>B_</v>
          </cell>
          <cell r="G54" t="str">
            <v>SJ</v>
          </cell>
          <cell r="H54" t="str">
            <v>04-CC-B_-SJ</v>
          </cell>
          <cell r="I54" t="str">
            <v>Field Devices: Control Stations (CS)</v>
          </cell>
          <cell r="J54" t="str">
            <v>221024_LTIA_Ph1_Z-4-CA-002_PLC_Material_Costs_Long Than_Belt_2022-09-30.xlsx</v>
          </cell>
          <cell r="L54" t="str">
            <v>Offshore:
GER
(MAT)</v>
          </cell>
          <cell r="M54" t="str">
            <v>S. Zenk</v>
          </cell>
          <cell r="N54">
            <v>44859</v>
          </cell>
          <cell r="O54" t="str">
            <v>PMD</v>
          </cell>
          <cell r="P54" t="str">
            <v>Siemens</v>
          </cell>
          <cell r="Q54" t="str">
            <v>OSE</v>
          </cell>
          <cell r="R54" t="str">
            <v>Binding Quote</v>
          </cell>
          <cell r="T54">
            <v>373</v>
          </cell>
          <cell r="U54" t="str">
            <v>PC</v>
          </cell>
          <cell r="V54">
            <v>101.97093833780161</v>
          </cell>
          <cell r="W54">
            <v>2</v>
          </cell>
          <cell r="X54" t="str">
            <v>EUR</v>
          </cell>
          <cell r="Y54" t="str">
            <v>German MGK 1</v>
          </cell>
          <cell r="Z54">
            <v>0</v>
          </cell>
          <cell r="AA54">
            <v>0</v>
          </cell>
          <cell r="AC54">
            <v>38035.160000000003</v>
          </cell>
          <cell r="AD54">
            <v>40450.392659999998</v>
          </cell>
          <cell r="AF54">
            <v>0</v>
          </cell>
          <cell r="AH54">
            <v>40450.392659999998</v>
          </cell>
          <cell r="AI54">
            <v>0.23709783177495308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53021.729842649518</v>
          </cell>
          <cell r="AP54" t="str">
            <v>II</v>
          </cell>
          <cell r="AQ54" t="str">
            <v>CF.5</v>
          </cell>
        </row>
        <row r="55">
          <cell r="B55" t="str">
            <v>Low Level Control HW</v>
          </cell>
          <cell r="C55">
            <v>0</v>
          </cell>
          <cell r="D55">
            <v>4</v>
          </cell>
          <cell r="E55" t="str">
            <v>CC</v>
          </cell>
          <cell r="F55" t="str">
            <v>B_</v>
          </cell>
          <cell r="G55" t="str">
            <v>SP</v>
          </cell>
          <cell r="H55" t="str">
            <v>04-CC-B_-SP</v>
          </cell>
          <cell r="I55" t="str">
            <v>Field Devices: Light Beacons / Tower Lamps (LB)</v>
          </cell>
          <cell r="J55" t="str">
            <v>221024_LTIA_Ph1_Z-4-CA-002_PLC_Material_Costs_Long Than_Belt_2022-09-30.xlsx</v>
          </cell>
          <cell r="L55" t="str">
            <v>Offshore:
GER
(MAT)</v>
          </cell>
          <cell r="M55" t="str">
            <v>S. Zenk</v>
          </cell>
          <cell r="N55">
            <v>44859</v>
          </cell>
          <cell r="O55" t="str">
            <v>PMD</v>
          </cell>
          <cell r="P55" t="str">
            <v>Siemens</v>
          </cell>
          <cell r="Q55" t="str">
            <v>OSE</v>
          </cell>
          <cell r="R55" t="str">
            <v>Binding Quote</v>
          </cell>
          <cell r="T55">
            <v>143</v>
          </cell>
          <cell r="U55" t="str">
            <v>PC</v>
          </cell>
          <cell r="V55">
            <v>255.72027972027973</v>
          </cell>
          <cell r="W55">
            <v>2</v>
          </cell>
          <cell r="X55" t="str">
            <v>EUR</v>
          </cell>
          <cell r="Y55" t="str">
            <v>German MGK 1</v>
          </cell>
          <cell r="Z55">
            <v>0</v>
          </cell>
          <cell r="AA55">
            <v>0</v>
          </cell>
          <cell r="AC55">
            <v>36568</v>
          </cell>
          <cell r="AD55">
            <v>38890.067999999999</v>
          </cell>
          <cell r="AF55">
            <v>0</v>
          </cell>
          <cell r="AH55">
            <v>38890.067999999999</v>
          </cell>
          <cell r="AI55">
            <v>0.23709783177495308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50976.481152859822</v>
          </cell>
          <cell r="AP55" t="str">
            <v>II</v>
          </cell>
          <cell r="AQ55" t="str">
            <v>CF.5</v>
          </cell>
        </row>
        <row r="56">
          <cell r="B56" t="str">
            <v/>
          </cell>
          <cell r="H56" t="str">
            <v>--</v>
          </cell>
          <cell r="Q56" t="str">
            <v>EXT</v>
          </cell>
          <cell r="R56" t="str">
            <v>Placeholder</v>
          </cell>
          <cell r="W56">
            <v>1</v>
          </cell>
          <cell r="X56" t="str">
            <v>USD</v>
          </cell>
          <cell r="Z56">
            <v>0</v>
          </cell>
          <cell r="AA56">
            <v>0</v>
          </cell>
          <cell r="AC56">
            <v>0</v>
          </cell>
          <cell r="AD56">
            <v>0</v>
          </cell>
          <cell r="AF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P56" t="str">
            <v>X</v>
          </cell>
          <cell r="AQ56" t="str">
            <v/>
          </cell>
        </row>
        <row r="57">
          <cell r="B57" t="str">
            <v/>
          </cell>
          <cell r="H57" t="str">
            <v>--</v>
          </cell>
          <cell r="Q57" t="str">
            <v>EXT</v>
          </cell>
          <cell r="R57" t="str">
            <v>Placeholder</v>
          </cell>
          <cell r="W57">
            <v>1</v>
          </cell>
          <cell r="X57" t="str">
            <v>USD</v>
          </cell>
          <cell r="Z57">
            <v>0</v>
          </cell>
          <cell r="AA57">
            <v>0</v>
          </cell>
          <cell r="AC57">
            <v>0</v>
          </cell>
          <cell r="AD57">
            <v>0</v>
          </cell>
          <cell r="AF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P57" t="str">
            <v>X</v>
          </cell>
          <cell r="AQ57" t="str">
            <v/>
          </cell>
        </row>
        <row r="58">
          <cell r="I58" t="str">
            <v>1.6 Cable Supporting System</v>
          </cell>
        </row>
        <row r="59">
          <cell r="B59" t="str">
            <v>Low Level Control HW</v>
          </cell>
          <cell r="C59">
            <v>0</v>
          </cell>
          <cell r="D59">
            <v>4</v>
          </cell>
          <cell r="E59" t="str">
            <v>CL</v>
          </cell>
          <cell r="F59" t="str">
            <v>B_</v>
          </cell>
          <cell r="G59" t="str">
            <v>BU</v>
          </cell>
          <cell r="H59" t="str">
            <v>04-CL-B_-BU</v>
          </cell>
          <cell r="I59" t="str">
            <v>Cable Tray Cable Rack, Cable Trunking, Cable Ladder, Conduit</v>
          </cell>
          <cell r="Q59" t="str">
            <v>EXT</v>
          </cell>
          <cell r="R59" t="str">
            <v>Placeholder</v>
          </cell>
          <cell r="U59" t="str">
            <v>MT</v>
          </cell>
          <cell r="W59">
            <v>1</v>
          </cell>
          <cell r="X59" t="str">
            <v>USD</v>
          </cell>
          <cell r="Z59">
            <v>0</v>
          </cell>
          <cell r="AA59">
            <v>0</v>
          </cell>
          <cell r="AC59">
            <v>0</v>
          </cell>
          <cell r="AD59">
            <v>0</v>
          </cell>
          <cell r="AF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P59" t="str">
            <v>X</v>
          </cell>
          <cell r="AQ59" t="str">
            <v>CF.5</v>
          </cell>
        </row>
        <row r="60">
          <cell r="B60" t="str">
            <v/>
          </cell>
          <cell r="H60" t="str">
            <v>--</v>
          </cell>
          <cell r="Q60" t="str">
            <v>EXT</v>
          </cell>
          <cell r="R60" t="str">
            <v>Placeholder</v>
          </cell>
          <cell r="W60">
            <v>1</v>
          </cell>
          <cell r="X60" t="str">
            <v>USD</v>
          </cell>
          <cell r="Z60">
            <v>0</v>
          </cell>
          <cell r="AA60">
            <v>0</v>
          </cell>
          <cell r="AC60">
            <v>0</v>
          </cell>
          <cell r="AD60">
            <v>0</v>
          </cell>
          <cell r="AF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P60" t="str">
            <v>X</v>
          </cell>
          <cell r="AQ60" t="str">
            <v/>
          </cell>
        </row>
        <row r="61">
          <cell r="B61" t="str">
            <v/>
          </cell>
          <cell r="H61" t="str">
            <v>--</v>
          </cell>
          <cell r="Q61" t="str">
            <v>EXT</v>
          </cell>
          <cell r="R61" t="str">
            <v>Placeholder</v>
          </cell>
          <cell r="W61">
            <v>1</v>
          </cell>
          <cell r="X61" t="str">
            <v>USD</v>
          </cell>
          <cell r="Z61">
            <v>0</v>
          </cell>
          <cell r="AA61">
            <v>0</v>
          </cell>
          <cell r="AC61">
            <v>0</v>
          </cell>
          <cell r="AD61">
            <v>0</v>
          </cell>
          <cell r="AF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P61" t="str">
            <v>X</v>
          </cell>
          <cell r="AQ61" t="str">
            <v/>
          </cell>
        </row>
        <row r="62">
          <cell r="I62" t="str">
            <v>1.7 Wire and Cable</v>
          </cell>
        </row>
        <row r="63">
          <cell r="B63" t="str">
            <v>Low Level Control HW</v>
          </cell>
          <cell r="C63">
            <v>0</v>
          </cell>
          <cell r="D63">
            <v>4</v>
          </cell>
          <cell r="E63" t="str">
            <v>CW</v>
          </cell>
          <cell r="F63" t="str">
            <v>B_</v>
          </cell>
          <cell r="G63" t="str">
            <v>DB</v>
          </cell>
          <cell r="H63" t="str">
            <v>04-CW-B_-DB</v>
          </cell>
          <cell r="I63" t="str">
            <v>Low Voltage Power Cable</v>
          </cell>
          <cell r="Q63" t="str">
            <v>EXT</v>
          </cell>
          <cell r="R63" t="str">
            <v>Placeholder</v>
          </cell>
          <cell r="U63" t="str">
            <v>MT</v>
          </cell>
          <cell r="W63">
            <v>1</v>
          </cell>
          <cell r="X63" t="str">
            <v>USD</v>
          </cell>
          <cell r="Z63">
            <v>0</v>
          </cell>
          <cell r="AA63">
            <v>0</v>
          </cell>
          <cell r="AC63">
            <v>0</v>
          </cell>
          <cell r="AD63">
            <v>0</v>
          </cell>
          <cell r="AF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P63" t="str">
            <v>X</v>
          </cell>
          <cell r="AQ63" t="str">
            <v>CF.5</v>
          </cell>
        </row>
        <row r="64">
          <cell r="B64" t="str">
            <v>Low Level Control HW</v>
          </cell>
          <cell r="C64">
            <v>0</v>
          </cell>
          <cell r="D64">
            <v>4</v>
          </cell>
          <cell r="E64" t="str">
            <v>CW</v>
          </cell>
          <cell r="F64" t="str">
            <v>B_</v>
          </cell>
          <cell r="G64" t="str">
            <v>EB</v>
          </cell>
          <cell r="H64" t="str">
            <v>04-CW-B_-EB</v>
          </cell>
          <cell r="I64" t="str">
            <v>Earthing Cable</v>
          </cell>
          <cell r="Q64" t="str">
            <v>EXT</v>
          </cell>
          <cell r="R64" t="str">
            <v>Placeholder</v>
          </cell>
          <cell r="U64" t="str">
            <v>MT</v>
          </cell>
          <cell r="W64">
            <v>1</v>
          </cell>
          <cell r="X64" t="str">
            <v>USD</v>
          </cell>
          <cell r="Z64">
            <v>0</v>
          </cell>
          <cell r="AA64">
            <v>0</v>
          </cell>
          <cell r="AC64">
            <v>0</v>
          </cell>
          <cell r="AD64">
            <v>0</v>
          </cell>
          <cell r="AF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P64" t="str">
            <v>X</v>
          </cell>
          <cell r="AQ64" t="str">
            <v>CF.5</v>
          </cell>
        </row>
        <row r="65">
          <cell r="B65" t="str">
            <v>Low Level Control HW</v>
          </cell>
          <cell r="C65">
            <v>0</v>
          </cell>
          <cell r="D65">
            <v>4</v>
          </cell>
          <cell r="E65" t="str">
            <v>CW</v>
          </cell>
          <cell r="F65" t="str">
            <v>B_</v>
          </cell>
          <cell r="G65" t="str">
            <v>GA</v>
          </cell>
          <cell r="H65" t="str">
            <v>04-CW-B_-GA</v>
          </cell>
          <cell r="I65" t="str">
            <v>Signal Cable, CU Control Cable</v>
          </cell>
          <cell r="Q65" t="str">
            <v>EXT</v>
          </cell>
          <cell r="R65" t="str">
            <v>Placeholder</v>
          </cell>
          <cell r="U65" t="str">
            <v>MT</v>
          </cell>
          <cell r="W65">
            <v>1</v>
          </cell>
          <cell r="X65" t="str">
            <v>USD</v>
          </cell>
          <cell r="Z65">
            <v>0</v>
          </cell>
          <cell r="AA65">
            <v>0</v>
          </cell>
          <cell r="AC65">
            <v>0</v>
          </cell>
          <cell r="AD65">
            <v>0</v>
          </cell>
          <cell r="AF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P65" t="str">
            <v>X</v>
          </cell>
          <cell r="AQ65" t="str">
            <v>CF.5</v>
          </cell>
        </row>
        <row r="66">
          <cell r="B66" t="str">
            <v>Low Level Control HW</v>
          </cell>
          <cell r="C66">
            <v>0</v>
          </cell>
          <cell r="D66">
            <v>4</v>
          </cell>
          <cell r="E66" t="str">
            <v>CW</v>
          </cell>
          <cell r="F66" t="str">
            <v>B_</v>
          </cell>
          <cell r="G66" t="str">
            <v>GB</v>
          </cell>
          <cell r="H66" t="str">
            <v>04-CW-B_-GB</v>
          </cell>
          <cell r="I66" t="str">
            <v>Signal Cable, CU Data Cable</v>
          </cell>
          <cell r="Q66" t="str">
            <v>EXT</v>
          </cell>
          <cell r="R66" t="str">
            <v>Placeholder</v>
          </cell>
          <cell r="U66" t="str">
            <v>MT</v>
          </cell>
          <cell r="W66">
            <v>1</v>
          </cell>
          <cell r="X66" t="str">
            <v>USD</v>
          </cell>
          <cell r="Z66">
            <v>0</v>
          </cell>
          <cell r="AA66">
            <v>0</v>
          </cell>
          <cell r="AC66">
            <v>0</v>
          </cell>
          <cell r="AD66">
            <v>0</v>
          </cell>
          <cell r="AF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P66" t="str">
            <v>X</v>
          </cell>
          <cell r="AQ66" t="str">
            <v>CF.5</v>
          </cell>
        </row>
        <row r="67">
          <cell r="B67" t="str">
            <v>Low Level Control HW</v>
          </cell>
          <cell r="C67">
            <v>0</v>
          </cell>
          <cell r="D67">
            <v>4</v>
          </cell>
          <cell r="E67" t="str">
            <v>CW</v>
          </cell>
          <cell r="F67" t="str">
            <v>B_</v>
          </cell>
          <cell r="G67" t="str">
            <v>HA</v>
          </cell>
          <cell r="H67" t="str">
            <v>04-CW-B_-HA</v>
          </cell>
          <cell r="I67" t="str">
            <v>Signal Cable, Optical Fibre Optical Cable</v>
          </cell>
          <cell r="Q67" t="str">
            <v>EXT</v>
          </cell>
          <cell r="R67" t="str">
            <v>Placeholder</v>
          </cell>
          <cell r="U67" t="str">
            <v>MT</v>
          </cell>
          <cell r="W67">
            <v>1</v>
          </cell>
          <cell r="X67" t="str">
            <v>USD</v>
          </cell>
          <cell r="Z67">
            <v>0</v>
          </cell>
          <cell r="AA67">
            <v>0</v>
          </cell>
          <cell r="AC67">
            <v>0</v>
          </cell>
          <cell r="AD67">
            <v>0</v>
          </cell>
          <cell r="AF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P67" t="str">
            <v>X</v>
          </cell>
          <cell r="AQ67" t="str">
            <v>CF.5</v>
          </cell>
        </row>
        <row r="68">
          <cell r="B68" t="str">
            <v/>
          </cell>
          <cell r="H68" t="str">
            <v>--</v>
          </cell>
          <cell r="Q68" t="str">
            <v>EXT</v>
          </cell>
          <cell r="R68" t="str">
            <v>Placeholder</v>
          </cell>
          <cell r="W68">
            <v>1</v>
          </cell>
          <cell r="X68" t="str">
            <v>USD</v>
          </cell>
          <cell r="Z68">
            <v>0</v>
          </cell>
          <cell r="AA68">
            <v>0</v>
          </cell>
          <cell r="AC68">
            <v>0</v>
          </cell>
          <cell r="AD68">
            <v>0</v>
          </cell>
          <cell r="AF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P68" t="str">
            <v>X</v>
          </cell>
          <cell r="AQ68" t="str">
            <v/>
          </cell>
        </row>
        <row r="69">
          <cell r="B69" t="str">
            <v/>
          </cell>
          <cell r="H69" t="str">
            <v>--</v>
          </cell>
          <cell r="Q69" t="str">
            <v>EXT</v>
          </cell>
          <cell r="R69" t="str">
            <v>Placeholder</v>
          </cell>
          <cell r="W69">
            <v>1</v>
          </cell>
          <cell r="X69" t="str">
            <v>USD</v>
          </cell>
          <cell r="Z69">
            <v>0</v>
          </cell>
          <cell r="AA69">
            <v>0</v>
          </cell>
          <cell r="AC69">
            <v>0</v>
          </cell>
          <cell r="AD69">
            <v>0</v>
          </cell>
          <cell r="AF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P69" t="str">
            <v>X</v>
          </cell>
          <cell r="AQ69" t="str">
            <v/>
          </cell>
        </row>
        <row r="70">
          <cell r="I70" t="str">
            <v>1.8 Commissioning Spares</v>
          </cell>
        </row>
        <row r="71">
          <cell r="B71" t="str">
            <v>Low Level Control HW</v>
          </cell>
          <cell r="C71">
            <v>0</v>
          </cell>
          <cell r="D71">
            <v>4</v>
          </cell>
          <cell r="E71" t="str">
            <v>CP</v>
          </cell>
          <cell r="F71" t="str">
            <v>B_</v>
          </cell>
          <cell r="G71" t="str">
            <v>AB</v>
          </cell>
          <cell r="H71" t="str">
            <v>04-CP-B_-AB</v>
          </cell>
          <cell r="I71" t="str">
            <v>Electrical Spare Parts</v>
          </cell>
          <cell r="Q71" t="str">
            <v>EXT</v>
          </cell>
          <cell r="R71" t="str">
            <v>Placeholder</v>
          </cell>
          <cell r="U71" t="str">
            <v>LS</v>
          </cell>
          <cell r="W71">
            <v>1</v>
          </cell>
          <cell r="X71" t="str">
            <v>USD</v>
          </cell>
          <cell r="Z71">
            <v>0</v>
          </cell>
          <cell r="AA71">
            <v>0</v>
          </cell>
          <cell r="AC71">
            <v>0</v>
          </cell>
          <cell r="AD71">
            <v>0</v>
          </cell>
          <cell r="AF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P71" t="str">
            <v>X</v>
          </cell>
          <cell r="AQ71" t="str">
            <v>CF.5</v>
          </cell>
        </row>
        <row r="72">
          <cell r="B72" t="str">
            <v>Low Level Control HW</v>
          </cell>
          <cell r="C72">
            <v>0</v>
          </cell>
          <cell r="D72">
            <v>4</v>
          </cell>
          <cell r="E72" t="str">
            <v>CP</v>
          </cell>
          <cell r="F72" t="str">
            <v>B_</v>
          </cell>
          <cell r="G72" t="str">
            <v>AC</v>
          </cell>
          <cell r="H72" t="str">
            <v>04-CP-B_-AC</v>
          </cell>
          <cell r="I72" t="str">
            <v>Control Spare Parts</v>
          </cell>
          <cell r="J72" t="str">
            <v>=0,02% of Material</v>
          </cell>
          <cell r="L72" t="str">
            <v>Offshore:
GER
(MAT)</v>
          </cell>
          <cell r="Q72" t="str">
            <v>EXT</v>
          </cell>
          <cell r="R72" t="str">
            <v>Estimate</v>
          </cell>
          <cell r="T72">
            <v>1</v>
          </cell>
          <cell r="U72" t="str">
            <v>LS</v>
          </cell>
          <cell r="V72">
            <v>77299.762215762152</v>
          </cell>
          <cell r="W72">
            <v>2</v>
          </cell>
          <cell r="X72" t="str">
            <v>EUR</v>
          </cell>
          <cell r="Z72">
            <v>0</v>
          </cell>
          <cell r="AA72">
            <v>0</v>
          </cell>
          <cell r="AC72">
            <v>77299.762215762152</v>
          </cell>
          <cell r="AD72">
            <v>82208.297116463043</v>
          </cell>
          <cell r="AF72">
            <v>0</v>
          </cell>
          <cell r="AH72">
            <v>82208.297116463043</v>
          </cell>
          <cell r="AI72">
            <v>0.23709783177495308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107757.32530388166</v>
          </cell>
          <cell r="AP72" t="str">
            <v>IV.4.2</v>
          </cell>
          <cell r="AQ72" t="str">
            <v>CF.5</v>
          </cell>
        </row>
        <row r="73">
          <cell r="B73" t="str">
            <v/>
          </cell>
          <cell r="H73" t="str">
            <v>--</v>
          </cell>
          <cell r="Q73" t="str">
            <v>EXT</v>
          </cell>
          <cell r="R73" t="str">
            <v>Placeholder</v>
          </cell>
          <cell r="W73">
            <v>1</v>
          </cell>
          <cell r="X73" t="str">
            <v>USD</v>
          </cell>
          <cell r="Z73">
            <v>0</v>
          </cell>
          <cell r="AA73">
            <v>0</v>
          </cell>
          <cell r="AC73">
            <v>0</v>
          </cell>
          <cell r="AD73">
            <v>0</v>
          </cell>
          <cell r="AF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P73" t="str">
            <v>X</v>
          </cell>
          <cell r="AQ73" t="str">
            <v/>
          </cell>
        </row>
        <row r="74">
          <cell r="B74" t="str">
            <v/>
          </cell>
          <cell r="H74" t="str">
            <v>--</v>
          </cell>
          <cell r="Q74" t="str">
            <v>EXT</v>
          </cell>
          <cell r="R74" t="str">
            <v>Placeholder</v>
          </cell>
          <cell r="W74">
            <v>1</v>
          </cell>
          <cell r="X74" t="str">
            <v>USD</v>
          </cell>
          <cell r="Z74">
            <v>0</v>
          </cell>
          <cell r="AA74">
            <v>0</v>
          </cell>
          <cell r="AC74">
            <v>0</v>
          </cell>
          <cell r="AD74">
            <v>0</v>
          </cell>
          <cell r="AF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P74" t="str">
            <v>X</v>
          </cell>
          <cell r="AQ74" t="str">
            <v/>
          </cell>
        </row>
        <row r="75">
          <cell r="I75" t="str">
            <v>1.9 Inital Spare Part Package / Onsite Spares</v>
          </cell>
        </row>
        <row r="76">
          <cell r="B76" t="str">
            <v>Operation &amp; Maintenance - One-Time Cost</v>
          </cell>
          <cell r="C76" t="str">
            <v>W</v>
          </cell>
          <cell r="D76">
            <v>4</v>
          </cell>
          <cell r="E76" t="str">
            <v>CI</v>
          </cell>
          <cell r="F76" t="str">
            <v>B_</v>
          </cell>
          <cell r="G76" t="str">
            <v>AB</v>
          </cell>
          <cell r="H76" t="str">
            <v>W4-CI-B_-AB</v>
          </cell>
          <cell r="I76" t="str">
            <v>Electrical Spare Parts</v>
          </cell>
          <cell r="Q76" t="str">
            <v>EXT</v>
          </cell>
          <cell r="R76" t="str">
            <v>Placeholder</v>
          </cell>
          <cell r="U76" t="str">
            <v>LS</v>
          </cell>
          <cell r="W76">
            <v>1</v>
          </cell>
          <cell r="X76" t="str">
            <v>USD</v>
          </cell>
          <cell r="Z76">
            <v>0</v>
          </cell>
          <cell r="AA76">
            <v>0</v>
          </cell>
          <cell r="AC76">
            <v>0</v>
          </cell>
          <cell r="AD76">
            <v>0</v>
          </cell>
          <cell r="AF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P76" t="str">
            <v>X</v>
          </cell>
          <cell r="AQ76" t="str">
            <v>CF.15</v>
          </cell>
        </row>
        <row r="77">
          <cell r="B77" t="str">
            <v>Operation &amp; Maintenance - One-Time Cost</v>
          </cell>
          <cell r="C77" t="str">
            <v>W</v>
          </cell>
          <cell r="D77">
            <v>4</v>
          </cell>
          <cell r="E77" t="str">
            <v>CI</v>
          </cell>
          <cell r="F77" t="str">
            <v>B_</v>
          </cell>
          <cell r="G77" t="str">
            <v>AC</v>
          </cell>
          <cell r="H77" t="str">
            <v>W4-CI-B_-AC</v>
          </cell>
          <cell r="I77" t="str">
            <v>Control Spare Parts</v>
          </cell>
          <cell r="J77" t="str">
            <v>=0,02% of Material</v>
          </cell>
          <cell r="L77" t="str">
            <v>Offshore:
GER
(MAT)</v>
          </cell>
          <cell r="Q77" t="str">
            <v>EXT</v>
          </cell>
          <cell r="R77" t="str">
            <v>Estimate</v>
          </cell>
          <cell r="T77">
            <v>1</v>
          </cell>
          <cell r="U77" t="str">
            <v>LS</v>
          </cell>
          <cell r="V77">
            <v>77299.762215762152</v>
          </cell>
          <cell r="W77">
            <v>2</v>
          </cell>
          <cell r="X77" t="str">
            <v>EUR</v>
          </cell>
          <cell r="Z77">
            <v>0</v>
          </cell>
          <cell r="AA77">
            <v>0</v>
          </cell>
          <cell r="AC77">
            <v>77299.762215762152</v>
          </cell>
          <cell r="AD77">
            <v>82208.297116463043</v>
          </cell>
          <cell r="AF77">
            <v>0</v>
          </cell>
          <cell r="AH77">
            <v>82208.297116463043</v>
          </cell>
          <cell r="AI77">
            <v>0.23709783177495308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107757.32530388166</v>
          </cell>
          <cell r="AP77" t="str">
            <v>IV.4.2</v>
          </cell>
          <cell r="AQ77" t="str">
            <v>CF.15</v>
          </cell>
        </row>
        <row r="78">
          <cell r="B78" t="str">
            <v/>
          </cell>
          <cell r="H78" t="str">
            <v>--</v>
          </cell>
          <cell r="Q78" t="str">
            <v>EXT</v>
          </cell>
          <cell r="R78" t="str">
            <v>Placeholder</v>
          </cell>
          <cell r="W78">
            <v>1</v>
          </cell>
          <cell r="X78" t="str">
            <v>USD</v>
          </cell>
          <cell r="Z78">
            <v>0</v>
          </cell>
          <cell r="AA78">
            <v>0</v>
          </cell>
          <cell r="AC78">
            <v>0</v>
          </cell>
          <cell r="AD78">
            <v>0</v>
          </cell>
          <cell r="AF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P78" t="str">
            <v>X</v>
          </cell>
          <cell r="AQ78" t="str">
            <v/>
          </cell>
        </row>
        <row r="79">
          <cell r="B79" t="str">
            <v/>
          </cell>
          <cell r="H79" t="str">
            <v>--</v>
          </cell>
          <cell r="Q79" t="str">
            <v>EXT</v>
          </cell>
          <cell r="R79" t="str">
            <v>Placeholder</v>
          </cell>
          <cell r="W79">
            <v>1</v>
          </cell>
          <cell r="X79" t="str">
            <v>USD</v>
          </cell>
          <cell r="Z79">
            <v>0</v>
          </cell>
          <cell r="AA79">
            <v>0</v>
          </cell>
          <cell r="AC79">
            <v>0</v>
          </cell>
          <cell r="AD79">
            <v>0</v>
          </cell>
          <cell r="AF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P79" t="str">
            <v>X</v>
          </cell>
          <cell r="AQ79" t="str">
            <v/>
          </cell>
        </row>
        <row r="80">
          <cell r="B80" t="str">
            <v>Subtotal - 2</v>
          </cell>
          <cell r="I80" t="str">
            <v>2. Check-In System - Panels, Field Devices, VFDs, Brackets</v>
          </cell>
        </row>
        <row r="81">
          <cell r="I81" t="str">
            <v>2.1 Field Panels (PM, PFC, …)</v>
          </cell>
        </row>
        <row r="82">
          <cell r="B82" t="str">
            <v>Low Level Control HW</v>
          </cell>
          <cell r="C82">
            <v>0</v>
          </cell>
          <cell r="D82">
            <v>4</v>
          </cell>
          <cell r="E82" t="str">
            <v>CU</v>
          </cell>
          <cell r="F82" t="str">
            <v>CI</v>
          </cell>
          <cell r="G82" t="str">
            <v>CP</v>
          </cell>
          <cell r="H82" t="str">
            <v>04-CU-CI-CP</v>
          </cell>
          <cell r="I82" t="str">
            <v>Check-In Panel (Distr. &amp; Starter) CP</v>
          </cell>
          <cell r="J82" t="str">
            <v>221024_LTIA_Ph1_Z-4-CA-002_PLC_Material_Costs_Long Than_Belt_2022-09-30.xlsx</v>
          </cell>
          <cell r="L82" t="str">
            <v>Offshore:
GER
(MAT)</v>
          </cell>
          <cell r="M82" t="str">
            <v>S. Zenk</v>
          </cell>
          <cell r="N82">
            <v>44859</v>
          </cell>
          <cell r="P82" t="str">
            <v>XIAN Offer +15%</v>
          </cell>
          <cell r="Q82" t="str">
            <v>EXT</v>
          </cell>
          <cell r="R82" t="str">
            <v>Estimate</v>
          </cell>
          <cell r="T82">
            <v>24</v>
          </cell>
          <cell r="U82" t="str">
            <v>PC</v>
          </cell>
          <cell r="V82">
            <v>15000</v>
          </cell>
          <cell r="W82">
            <v>2</v>
          </cell>
          <cell r="X82" t="str">
            <v>EUR</v>
          </cell>
          <cell r="Y82" t="str">
            <v>German MGK 1</v>
          </cell>
          <cell r="Z82">
            <v>0</v>
          </cell>
          <cell r="AA82">
            <v>0</v>
          </cell>
          <cell r="AC82">
            <v>360000</v>
          </cell>
          <cell r="AD82">
            <v>382859.99999999994</v>
          </cell>
          <cell r="AF82">
            <v>0</v>
          </cell>
          <cell r="AH82">
            <v>382859.99999999994</v>
          </cell>
          <cell r="AI82">
            <v>0.23709783177495308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501846.7844845092</v>
          </cell>
          <cell r="AP82" t="str">
            <v>II</v>
          </cell>
          <cell r="AQ82" t="str">
            <v>CF.5</v>
          </cell>
        </row>
        <row r="83">
          <cell r="B83" t="str">
            <v>Low Level Control HW</v>
          </cell>
          <cell r="C83">
            <v>0</v>
          </cell>
          <cell r="D83">
            <v>4</v>
          </cell>
          <cell r="E83" t="str">
            <v>CU</v>
          </cell>
          <cell r="F83" t="str">
            <v>CI</v>
          </cell>
          <cell r="G83" t="str">
            <v>CO</v>
          </cell>
          <cell r="H83" t="str">
            <v>04-CU-CI-CO</v>
          </cell>
          <cell r="I83" t="str">
            <v>Check-In (I/O Box) CB</v>
          </cell>
          <cell r="J83" t="str">
            <v>221024_LTIA_Ph1_Z-4-CA-002_PLC_Material_Costs_Long Than_Belt_2022-09-30.xlsx</v>
          </cell>
          <cell r="L83" t="str">
            <v>Offshore:
GER
(MAT)</v>
          </cell>
          <cell r="M83" t="str">
            <v>S. Zenk</v>
          </cell>
          <cell r="N83">
            <v>44859</v>
          </cell>
          <cell r="P83" t="str">
            <v>XIAN Offer +15%</v>
          </cell>
          <cell r="Q83" t="str">
            <v>EXT</v>
          </cell>
          <cell r="R83" t="str">
            <v>Estimate</v>
          </cell>
          <cell r="T83">
            <v>48</v>
          </cell>
          <cell r="U83" t="str">
            <v>PC</v>
          </cell>
          <cell r="V83">
            <v>2000</v>
          </cell>
          <cell r="W83">
            <v>2</v>
          </cell>
          <cell r="X83" t="str">
            <v>EUR</v>
          </cell>
          <cell r="Y83" t="str">
            <v>German MGK 1</v>
          </cell>
          <cell r="Z83">
            <v>0</v>
          </cell>
          <cell r="AA83">
            <v>0</v>
          </cell>
          <cell r="AC83">
            <v>96000</v>
          </cell>
          <cell r="AD83">
            <v>102095.99999999999</v>
          </cell>
          <cell r="AF83">
            <v>0</v>
          </cell>
          <cell r="AH83">
            <v>102095.99999999999</v>
          </cell>
          <cell r="AI83">
            <v>0.23709783177495308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133825.80919586914</v>
          </cell>
          <cell r="AP83" t="str">
            <v>II</v>
          </cell>
          <cell r="AQ83" t="str">
            <v>CF.5</v>
          </cell>
        </row>
        <row r="84">
          <cell r="B84" t="str">
            <v/>
          </cell>
          <cell r="H84" t="str">
            <v>--</v>
          </cell>
          <cell r="Q84" t="str">
            <v>EXT</v>
          </cell>
          <cell r="R84" t="str">
            <v>Placeholder</v>
          </cell>
          <cell r="W84">
            <v>1</v>
          </cell>
          <cell r="X84" t="str">
            <v>USD</v>
          </cell>
          <cell r="Z84">
            <v>0</v>
          </cell>
          <cell r="AA84">
            <v>0</v>
          </cell>
          <cell r="AC84">
            <v>0</v>
          </cell>
          <cell r="AD84">
            <v>0</v>
          </cell>
          <cell r="AF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P84" t="str">
            <v>X</v>
          </cell>
          <cell r="AQ84" t="str">
            <v/>
          </cell>
        </row>
        <row r="85">
          <cell r="B85" t="str">
            <v/>
          </cell>
          <cell r="H85" t="str">
            <v>--</v>
          </cell>
          <cell r="Q85" t="str">
            <v>EXT</v>
          </cell>
          <cell r="R85" t="str">
            <v>Placeholder</v>
          </cell>
          <cell r="W85">
            <v>1</v>
          </cell>
          <cell r="X85" t="str">
            <v>USD</v>
          </cell>
          <cell r="Z85">
            <v>0</v>
          </cell>
          <cell r="AA85">
            <v>0</v>
          </cell>
          <cell r="AC85">
            <v>0</v>
          </cell>
          <cell r="AD85">
            <v>0</v>
          </cell>
          <cell r="AF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P85" t="str">
            <v>X</v>
          </cell>
          <cell r="AQ85" t="str">
            <v/>
          </cell>
        </row>
        <row r="86">
          <cell r="I86" t="str">
            <v>2.2 Field Devices Sensors…</v>
          </cell>
        </row>
        <row r="87">
          <cell r="B87" t="str">
            <v>Low Level Control HW</v>
          </cell>
          <cell r="C87">
            <v>0</v>
          </cell>
          <cell r="D87">
            <v>4</v>
          </cell>
          <cell r="E87" t="str">
            <v>CC</v>
          </cell>
          <cell r="F87" t="str">
            <v>CI</v>
          </cell>
          <cell r="G87" t="str">
            <v>BG</v>
          </cell>
          <cell r="H87" t="str">
            <v>04-CC-CI-BG</v>
          </cell>
          <cell r="I87" t="str">
            <v>Field Devices: Actors, Sensors</v>
          </cell>
          <cell r="Q87" t="str">
            <v>EXT</v>
          </cell>
          <cell r="R87" t="str">
            <v>Placeholder</v>
          </cell>
          <cell r="U87" t="str">
            <v>PC</v>
          </cell>
          <cell r="W87">
            <v>1</v>
          </cell>
          <cell r="X87" t="str">
            <v>USD</v>
          </cell>
          <cell r="Z87">
            <v>0</v>
          </cell>
          <cell r="AA87">
            <v>0</v>
          </cell>
          <cell r="AC87">
            <v>0</v>
          </cell>
          <cell r="AD87">
            <v>0</v>
          </cell>
          <cell r="AF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P87" t="str">
            <v>X</v>
          </cell>
          <cell r="AQ87" t="str">
            <v>CF.5</v>
          </cell>
        </row>
        <row r="88">
          <cell r="B88" t="str">
            <v>Low Level Control HW</v>
          </cell>
          <cell r="C88">
            <v>0</v>
          </cell>
          <cell r="D88">
            <v>4</v>
          </cell>
          <cell r="E88" t="str">
            <v>CC</v>
          </cell>
          <cell r="F88" t="str">
            <v>CI</v>
          </cell>
          <cell r="G88" t="str">
            <v>BA</v>
          </cell>
          <cell r="H88" t="str">
            <v>04-CC-CI-BA</v>
          </cell>
          <cell r="I88" t="str">
            <v>Field Devices: I/O Devices</v>
          </cell>
          <cell r="Q88" t="str">
            <v>EXT</v>
          </cell>
          <cell r="R88" t="str">
            <v>Placeholder</v>
          </cell>
          <cell r="U88" t="str">
            <v>PC</v>
          </cell>
          <cell r="W88">
            <v>1</v>
          </cell>
          <cell r="X88" t="str">
            <v>USD</v>
          </cell>
          <cell r="Z88">
            <v>0</v>
          </cell>
          <cell r="AA88">
            <v>0</v>
          </cell>
          <cell r="AC88">
            <v>0</v>
          </cell>
          <cell r="AD88">
            <v>0</v>
          </cell>
          <cell r="AF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P88" t="str">
            <v>X</v>
          </cell>
          <cell r="AQ88" t="str">
            <v>CF.5</v>
          </cell>
        </row>
        <row r="89">
          <cell r="B89" t="str">
            <v>Low Level Control HW</v>
          </cell>
          <cell r="C89">
            <v>0</v>
          </cell>
          <cell r="D89">
            <v>4</v>
          </cell>
          <cell r="E89" t="str">
            <v>CC</v>
          </cell>
          <cell r="F89" t="str">
            <v>CI</v>
          </cell>
          <cell r="G89" t="str">
            <v>BU</v>
          </cell>
          <cell r="H89" t="str">
            <v>04-CC-CI-BU</v>
          </cell>
          <cell r="I89" t="str">
            <v>Field Devices: Equipment Brackets &amp; Supports</v>
          </cell>
          <cell r="Q89" t="str">
            <v>EXT</v>
          </cell>
          <cell r="R89" t="str">
            <v>Placeholder</v>
          </cell>
          <cell r="U89" t="str">
            <v>PC</v>
          </cell>
          <cell r="W89">
            <v>1</v>
          </cell>
          <cell r="X89" t="str">
            <v>USD</v>
          </cell>
          <cell r="Z89">
            <v>0</v>
          </cell>
          <cell r="AA89">
            <v>0</v>
          </cell>
          <cell r="AC89">
            <v>0</v>
          </cell>
          <cell r="AD89">
            <v>0</v>
          </cell>
          <cell r="AF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P89" t="str">
            <v>X</v>
          </cell>
          <cell r="AQ89" t="str">
            <v>CF.5</v>
          </cell>
        </row>
        <row r="90">
          <cell r="B90" t="str">
            <v>Low Level Control HW</v>
          </cell>
          <cell r="C90">
            <v>0</v>
          </cell>
          <cell r="D90">
            <v>4</v>
          </cell>
          <cell r="E90" t="str">
            <v>CC</v>
          </cell>
          <cell r="F90" t="str">
            <v>CI</v>
          </cell>
          <cell r="G90" t="str">
            <v>BW</v>
          </cell>
          <cell r="H90" t="str">
            <v>04-CC-CI-BW</v>
          </cell>
          <cell r="I90" t="str">
            <v>Field Devices: Premanu. Sensor cable</v>
          </cell>
          <cell r="Q90" t="str">
            <v>EXT</v>
          </cell>
          <cell r="R90" t="str">
            <v>Placeholder</v>
          </cell>
          <cell r="U90" t="str">
            <v>PC</v>
          </cell>
          <cell r="W90">
            <v>1</v>
          </cell>
          <cell r="X90" t="str">
            <v>USD</v>
          </cell>
          <cell r="Z90">
            <v>0</v>
          </cell>
          <cell r="AA90">
            <v>0</v>
          </cell>
          <cell r="AC90">
            <v>0</v>
          </cell>
          <cell r="AD90">
            <v>0</v>
          </cell>
          <cell r="AF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P90" t="str">
            <v>X</v>
          </cell>
          <cell r="AQ90" t="str">
            <v>CF.5</v>
          </cell>
        </row>
        <row r="91">
          <cell r="B91" t="str">
            <v>Low Level Control HW</v>
          </cell>
          <cell r="C91">
            <v>0</v>
          </cell>
          <cell r="D91">
            <v>4</v>
          </cell>
          <cell r="E91" t="str">
            <v>CC</v>
          </cell>
          <cell r="F91" t="str">
            <v>CI</v>
          </cell>
          <cell r="G91" t="str">
            <v>SJ</v>
          </cell>
          <cell r="H91" t="str">
            <v>04-CC-CI-SJ</v>
          </cell>
          <cell r="I91" t="str">
            <v>Field Devices:Control Station</v>
          </cell>
          <cell r="J91" t="str">
            <v>221024_LTIA_Ph1_Z-4-CA-002_PLC_Material_Costs_Long Than_Belt_2022-09-30.xlsx</v>
          </cell>
          <cell r="L91" t="str">
            <v>Offshore:
GER
(MAT)</v>
          </cell>
          <cell r="M91" t="str">
            <v>S. Zenk</v>
          </cell>
          <cell r="N91">
            <v>44859</v>
          </cell>
          <cell r="Q91" t="str">
            <v>EXT</v>
          </cell>
          <cell r="R91" t="str">
            <v>Estimate</v>
          </cell>
          <cell r="T91">
            <v>224</v>
          </cell>
          <cell r="U91" t="str">
            <v>PC</v>
          </cell>
          <cell r="V91">
            <v>600</v>
          </cell>
          <cell r="W91">
            <v>2</v>
          </cell>
          <cell r="X91" t="str">
            <v>EUR</v>
          </cell>
          <cell r="Y91" t="str">
            <v>German MGK 1</v>
          </cell>
          <cell r="Z91">
            <v>0</v>
          </cell>
          <cell r="AA91">
            <v>0</v>
          </cell>
          <cell r="AC91">
            <v>134400</v>
          </cell>
          <cell r="AD91">
            <v>142934.39999999999</v>
          </cell>
          <cell r="AF91">
            <v>0</v>
          </cell>
          <cell r="AH91">
            <v>142934.39999999999</v>
          </cell>
          <cell r="AI91">
            <v>0.23709783177495308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187356.1328742168</v>
          </cell>
          <cell r="AP91" t="str">
            <v>II</v>
          </cell>
          <cell r="AQ91" t="str">
            <v>CF.5</v>
          </cell>
        </row>
        <row r="92">
          <cell r="B92" t="str">
            <v>Low Level Control HW</v>
          </cell>
          <cell r="C92">
            <v>0</v>
          </cell>
          <cell r="D92">
            <v>4</v>
          </cell>
          <cell r="E92" t="str">
            <v>CC</v>
          </cell>
          <cell r="F92" t="str">
            <v>CI</v>
          </cell>
          <cell r="G92" t="str">
            <v>SP</v>
          </cell>
          <cell r="H92" t="str">
            <v>04-CC-CI-SP</v>
          </cell>
          <cell r="I92" t="str">
            <v>Field Devices: Light Beacons / Tower Lamps (LB)</v>
          </cell>
          <cell r="Q92" t="str">
            <v>EXT</v>
          </cell>
          <cell r="R92" t="str">
            <v>Placeholder</v>
          </cell>
          <cell r="U92" t="str">
            <v>PC</v>
          </cell>
          <cell r="W92">
            <v>1</v>
          </cell>
          <cell r="X92" t="str">
            <v>USD</v>
          </cell>
          <cell r="Z92">
            <v>0</v>
          </cell>
          <cell r="AA92">
            <v>0</v>
          </cell>
          <cell r="AC92">
            <v>0</v>
          </cell>
          <cell r="AD92">
            <v>0</v>
          </cell>
          <cell r="AF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P92" t="str">
            <v>X</v>
          </cell>
          <cell r="AQ92" t="str">
            <v>CF.5</v>
          </cell>
        </row>
        <row r="93">
          <cell r="B93" t="str">
            <v>Low Level Control HW</v>
          </cell>
          <cell r="C93">
            <v>0</v>
          </cell>
          <cell r="D93">
            <v>4</v>
          </cell>
          <cell r="E93" t="str">
            <v>CC</v>
          </cell>
          <cell r="F93" t="str">
            <v>CI</v>
          </cell>
          <cell r="G93" t="str">
            <v>SG</v>
          </cell>
          <cell r="H93" t="str">
            <v>04-CC-CI-SG</v>
          </cell>
          <cell r="I93" t="str">
            <v>Field Devices: Foot Switch</v>
          </cell>
          <cell r="J93" t="str">
            <v>221024_LTIA_Ph1_Z-4-CA-002_PLC_Material_Costs_Long Than_Belt_2022-09-30.xlsx</v>
          </cell>
          <cell r="L93" t="str">
            <v>Offshore:
GER
(MAT)</v>
          </cell>
          <cell r="M93" t="str">
            <v>S. Zenk</v>
          </cell>
          <cell r="N93">
            <v>44859</v>
          </cell>
          <cell r="O93" t="str">
            <v>PMD</v>
          </cell>
          <cell r="P93" t="str">
            <v>Siemens</v>
          </cell>
          <cell r="Q93" t="str">
            <v>OSE</v>
          </cell>
          <cell r="R93" t="str">
            <v>Binding Quote</v>
          </cell>
          <cell r="T93">
            <v>224</v>
          </cell>
          <cell r="U93" t="str">
            <v>PC</v>
          </cell>
          <cell r="V93">
            <v>20.109999999999996</v>
          </cell>
          <cell r="W93">
            <v>2</v>
          </cell>
          <cell r="X93" t="str">
            <v>EUR</v>
          </cell>
          <cell r="Y93" t="str">
            <v>German MGK 1</v>
          </cell>
          <cell r="Z93">
            <v>0</v>
          </cell>
          <cell r="AA93">
            <v>0</v>
          </cell>
          <cell r="AC93">
            <v>4504.6399999999994</v>
          </cell>
          <cell r="AD93">
            <v>4790.6846399999986</v>
          </cell>
          <cell r="AF93">
            <v>0</v>
          </cell>
          <cell r="AH93">
            <v>4790.6846399999986</v>
          </cell>
          <cell r="AI93">
            <v>0.23709783177495308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6279.5530535008311</v>
          </cell>
          <cell r="AP93" t="str">
            <v>II</v>
          </cell>
          <cell r="AQ93" t="str">
            <v>CF.5</v>
          </cell>
        </row>
        <row r="94">
          <cell r="B94" t="str">
            <v/>
          </cell>
          <cell r="H94" t="str">
            <v>--</v>
          </cell>
          <cell r="Q94" t="str">
            <v>EXT</v>
          </cell>
          <cell r="R94" t="str">
            <v>Placeholder</v>
          </cell>
          <cell r="W94">
            <v>1</v>
          </cell>
          <cell r="X94" t="str">
            <v>USD</v>
          </cell>
          <cell r="Z94">
            <v>0</v>
          </cell>
          <cell r="AA94">
            <v>0</v>
          </cell>
          <cell r="AC94">
            <v>0</v>
          </cell>
          <cell r="AD94">
            <v>0</v>
          </cell>
          <cell r="AF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P94" t="str">
            <v>X</v>
          </cell>
          <cell r="AQ94" t="str">
            <v/>
          </cell>
        </row>
        <row r="95">
          <cell r="I95" t="str">
            <v>2.3 Cable Supporting System</v>
          </cell>
        </row>
        <row r="96">
          <cell r="B96" t="str">
            <v>Low Level Control HW</v>
          </cell>
          <cell r="C96">
            <v>0</v>
          </cell>
          <cell r="D96">
            <v>4</v>
          </cell>
          <cell r="E96" t="str">
            <v>CL</v>
          </cell>
          <cell r="F96" t="str">
            <v>CI</v>
          </cell>
          <cell r="G96" t="str">
            <v>BU</v>
          </cell>
          <cell r="H96" t="str">
            <v>04-CL-CI-BU</v>
          </cell>
          <cell r="I96" t="str">
            <v>Cable Tray Cable Rack, Cable Trunking, Cable Ladder, Conduit</v>
          </cell>
          <cell r="Q96" t="str">
            <v>EXT</v>
          </cell>
          <cell r="R96" t="str">
            <v>Placeholder</v>
          </cell>
          <cell r="U96" t="str">
            <v>MT</v>
          </cell>
          <cell r="W96">
            <v>1</v>
          </cell>
          <cell r="X96" t="str">
            <v>USD</v>
          </cell>
          <cell r="Z96">
            <v>0</v>
          </cell>
          <cell r="AA96">
            <v>0</v>
          </cell>
          <cell r="AC96">
            <v>0</v>
          </cell>
          <cell r="AD96">
            <v>0</v>
          </cell>
          <cell r="AF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P96" t="str">
            <v>X</v>
          </cell>
          <cell r="AQ96" t="str">
            <v>CF.5</v>
          </cell>
        </row>
        <row r="97">
          <cell r="B97" t="str">
            <v/>
          </cell>
          <cell r="H97" t="str">
            <v>--</v>
          </cell>
          <cell r="Q97" t="str">
            <v>EXT</v>
          </cell>
          <cell r="R97" t="str">
            <v>Placeholder</v>
          </cell>
          <cell r="W97">
            <v>1</v>
          </cell>
          <cell r="X97" t="str">
            <v>USD</v>
          </cell>
          <cell r="Z97">
            <v>0</v>
          </cell>
          <cell r="AA97">
            <v>0</v>
          </cell>
          <cell r="AC97">
            <v>0</v>
          </cell>
          <cell r="AD97">
            <v>0</v>
          </cell>
          <cell r="AF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P97" t="str">
            <v>X</v>
          </cell>
          <cell r="AQ97" t="str">
            <v/>
          </cell>
        </row>
        <row r="98">
          <cell r="B98" t="str">
            <v/>
          </cell>
          <cell r="H98" t="str">
            <v>--</v>
          </cell>
          <cell r="Q98" t="str">
            <v>EXT</v>
          </cell>
          <cell r="R98" t="str">
            <v>Placeholder</v>
          </cell>
          <cell r="W98">
            <v>1</v>
          </cell>
          <cell r="X98" t="str">
            <v>USD</v>
          </cell>
          <cell r="Z98">
            <v>0</v>
          </cell>
          <cell r="AA98">
            <v>0</v>
          </cell>
          <cell r="AC98">
            <v>0</v>
          </cell>
          <cell r="AD98">
            <v>0</v>
          </cell>
          <cell r="AF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P98" t="str">
            <v>X</v>
          </cell>
          <cell r="AQ98" t="str">
            <v/>
          </cell>
        </row>
        <row r="99">
          <cell r="I99" t="str">
            <v>2.4 Wire and Cable</v>
          </cell>
        </row>
        <row r="100">
          <cell r="B100" t="str">
            <v>Low Level Control HW</v>
          </cell>
          <cell r="C100">
            <v>0</v>
          </cell>
          <cell r="D100">
            <v>4</v>
          </cell>
          <cell r="E100" t="str">
            <v>CW</v>
          </cell>
          <cell r="F100" t="str">
            <v>CI</v>
          </cell>
          <cell r="G100" t="str">
            <v>DB</v>
          </cell>
          <cell r="H100" t="str">
            <v>04-CW-CI-DB</v>
          </cell>
          <cell r="I100" t="str">
            <v>Low Voltage Power Cable</v>
          </cell>
          <cell r="Q100" t="str">
            <v>EXT</v>
          </cell>
          <cell r="R100" t="str">
            <v>Placeholder</v>
          </cell>
          <cell r="U100" t="str">
            <v>MT</v>
          </cell>
          <cell r="W100">
            <v>1</v>
          </cell>
          <cell r="X100" t="str">
            <v>USD</v>
          </cell>
          <cell r="Z100">
            <v>0</v>
          </cell>
          <cell r="AA100">
            <v>0</v>
          </cell>
          <cell r="AC100">
            <v>0</v>
          </cell>
          <cell r="AD100">
            <v>0</v>
          </cell>
          <cell r="AF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P100" t="str">
            <v>X</v>
          </cell>
          <cell r="AQ100" t="str">
            <v>CF.5</v>
          </cell>
        </row>
        <row r="101">
          <cell r="B101" t="str">
            <v>Low Level Control HW</v>
          </cell>
          <cell r="C101">
            <v>0</v>
          </cell>
          <cell r="D101">
            <v>4</v>
          </cell>
          <cell r="E101" t="str">
            <v>CW</v>
          </cell>
          <cell r="F101" t="str">
            <v>CI</v>
          </cell>
          <cell r="G101" t="str">
            <v>EB</v>
          </cell>
          <cell r="H101" t="str">
            <v>04-CW-CI-EB</v>
          </cell>
          <cell r="I101" t="str">
            <v>Earthing Cable</v>
          </cell>
          <cell r="Q101" t="str">
            <v>EXT</v>
          </cell>
          <cell r="R101" t="str">
            <v>Placeholder</v>
          </cell>
          <cell r="U101" t="str">
            <v>MT</v>
          </cell>
          <cell r="W101">
            <v>1</v>
          </cell>
          <cell r="X101" t="str">
            <v>USD</v>
          </cell>
          <cell r="Z101">
            <v>0</v>
          </cell>
          <cell r="AA101">
            <v>0</v>
          </cell>
          <cell r="AC101">
            <v>0</v>
          </cell>
          <cell r="AD101">
            <v>0</v>
          </cell>
          <cell r="AF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P101" t="str">
            <v>X</v>
          </cell>
          <cell r="AQ101" t="str">
            <v>CF.5</v>
          </cell>
        </row>
        <row r="102">
          <cell r="B102" t="str">
            <v>Low Level Control HW</v>
          </cell>
          <cell r="C102">
            <v>0</v>
          </cell>
          <cell r="D102">
            <v>4</v>
          </cell>
          <cell r="E102" t="str">
            <v>CW</v>
          </cell>
          <cell r="F102" t="str">
            <v>CI</v>
          </cell>
          <cell r="G102" t="str">
            <v>GA</v>
          </cell>
          <cell r="H102" t="str">
            <v>04-CW-CI-GA</v>
          </cell>
          <cell r="I102" t="str">
            <v>Signal Cable, CU Control Cable</v>
          </cell>
          <cell r="Q102" t="str">
            <v>EXT</v>
          </cell>
          <cell r="R102" t="str">
            <v>Placeholder</v>
          </cell>
          <cell r="U102" t="str">
            <v>MT</v>
          </cell>
          <cell r="W102">
            <v>1</v>
          </cell>
          <cell r="X102" t="str">
            <v>USD</v>
          </cell>
          <cell r="Z102">
            <v>0</v>
          </cell>
          <cell r="AA102">
            <v>0</v>
          </cell>
          <cell r="AC102">
            <v>0</v>
          </cell>
          <cell r="AD102">
            <v>0</v>
          </cell>
          <cell r="AF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P102" t="str">
            <v>X</v>
          </cell>
          <cell r="AQ102" t="str">
            <v>CF.5</v>
          </cell>
        </row>
        <row r="103">
          <cell r="B103" t="str">
            <v>Low Level Control HW</v>
          </cell>
          <cell r="C103">
            <v>0</v>
          </cell>
          <cell r="D103">
            <v>4</v>
          </cell>
          <cell r="E103" t="str">
            <v>CW</v>
          </cell>
          <cell r="F103" t="str">
            <v>CI</v>
          </cell>
          <cell r="G103" t="str">
            <v>GB</v>
          </cell>
          <cell r="H103" t="str">
            <v>04-CW-CI-GB</v>
          </cell>
          <cell r="I103" t="str">
            <v>Signal Cable, CU Data Cable</v>
          </cell>
          <cell r="Q103" t="str">
            <v>EXT</v>
          </cell>
          <cell r="R103" t="str">
            <v>Placeholder</v>
          </cell>
          <cell r="U103" t="str">
            <v>MT</v>
          </cell>
          <cell r="W103">
            <v>1</v>
          </cell>
          <cell r="X103" t="str">
            <v>USD</v>
          </cell>
          <cell r="Z103">
            <v>0</v>
          </cell>
          <cell r="AA103">
            <v>0</v>
          </cell>
          <cell r="AC103">
            <v>0</v>
          </cell>
          <cell r="AD103">
            <v>0</v>
          </cell>
          <cell r="AF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P103" t="str">
            <v>X</v>
          </cell>
          <cell r="AQ103" t="str">
            <v>CF.5</v>
          </cell>
        </row>
        <row r="104">
          <cell r="B104" t="str">
            <v>Low Level Control HW</v>
          </cell>
          <cell r="C104">
            <v>0</v>
          </cell>
          <cell r="D104">
            <v>4</v>
          </cell>
          <cell r="E104" t="str">
            <v>CW</v>
          </cell>
          <cell r="F104" t="str">
            <v>CI</v>
          </cell>
          <cell r="G104" t="str">
            <v>HA</v>
          </cell>
          <cell r="H104" t="str">
            <v>04-CW-CI-HA</v>
          </cell>
          <cell r="I104" t="str">
            <v>Signal Cable, Optical Fibre Optical Cable</v>
          </cell>
          <cell r="Q104" t="str">
            <v>EXT</v>
          </cell>
          <cell r="R104" t="str">
            <v>Placeholder</v>
          </cell>
          <cell r="U104" t="str">
            <v>MT</v>
          </cell>
          <cell r="W104">
            <v>1</v>
          </cell>
          <cell r="X104" t="str">
            <v>USD</v>
          </cell>
          <cell r="Z104">
            <v>0</v>
          </cell>
          <cell r="AA104">
            <v>0</v>
          </cell>
          <cell r="AC104">
            <v>0</v>
          </cell>
          <cell r="AD104">
            <v>0</v>
          </cell>
          <cell r="AF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P104" t="str">
            <v>X</v>
          </cell>
          <cell r="AQ104" t="str">
            <v>CF.5</v>
          </cell>
        </row>
        <row r="105">
          <cell r="B105" t="str">
            <v/>
          </cell>
          <cell r="H105" t="str">
            <v>--</v>
          </cell>
          <cell r="Q105" t="str">
            <v>EXT</v>
          </cell>
          <cell r="R105" t="str">
            <v>Placeholder</v>
          </cell>
          <cell r="W105">
            <v>1</v>
          </cell>
          <cell r="X105" t="str">
            <v>USD</v>
          </cell>
          <cell r="Z105">
            <v>0</v>
          </cell>
          <cell r="AA105">
            <v>0</v>
          </cell>
          <cell r="AC105">
            <v>0</v>
          </cell>
          <cell r="AD105">
            <v>0</v>
          </cell>
          <cell r="AF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P105" t="str">
            <v>X</v>
          </cell>
          <cell r="AQ105" t="str">
            <v/>
          </cell>
        </row>
        <row r="106">
          <cell r="B106" t="str">
            <v/>
          </cell>
          <cell r="H106" t="str">
            <v>--</v>
          </cell>
          <cell r="Q106" t="str">
            <v>EXT</v>
          </cell>
          <cell r="R106" t="str">
            <v>Placeholder</v>
          </cell>
          <cell r="W106">
            <v>1</v>
          </cell>
          <cell r="X106" t="str">
            <v>USD</v>
          </cell>
          <cell r="Z106">
            <v>0</v>
          </cell>
          <cell r="AA106">
            <v>0</v>
          </cell>
          <cell r="AC106">
            <v>0</v>
          </cell>
          <cell r="AD106">
            <v>0</v>
          </cell>
          <cell r="AF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P106" t="str">
            <v>X</v>
          </cell>
          <cell r="AQ106" t="str">
            <v/>
          </cell>
        </row>
        <row r="107">
          <cell r="B107" t="str">
            <v>Subtotal - 3</v>
          </cell>
          <cell r="I107" t="str">
            <v>3. Carousel System - Panels, Field Devices, VFDs, Brackets</v>
          </cell>
        </row>
        <row r="108">
          <cell r="I108" t="str">
            <v>3.1 Control Panel (LP = Power and PLC Part)</v>
          </cell>
        </row>
        <row r="109">
          <cell r="B109" t="str">
            <v>Low Level Control HW</v>
          </cell>
          <cell r="C109">
            <v>0</v>
          </cell>
          <cell r="D109">
            <v>4</v>
          </cell>
          <cell r="E109" t="str">
            <v>CU</v>
          </cell>
          <cell r="F109" t="str">
            <v>T_</v>
          </cell>
          <cell r="G109" t="str">
            <v>CB</v>
          </cell>
          <cell r="H109" t="str">
            <v>04-CU-T_-CB</v>
          </cell>
          <cell r="I109" t="str">
            <v>LM 1500 Hybridschrank (LP + PM)</v>
          </cell>
          <cell r="Q109" t="str">
            <v>EXT</v>
          </cell>
          <cell r="R109" t="str">
            <v>Placeholder</v>
          </cell>
          <cell r="U109" t="str">
            <v>PC</v>
          </cell>
          <cell r="W109">
            <v>1</v>
          </cell>
          <cell r="X109" t="str">
            <v>USD</v>
          </cell>
          <cell r="Z109">
            <v>0</v>
          </cell>
          <cell r="AA109">
            <v>0</v>
          </cell>
          <cell r="AC109">
            <v>0</v>
          </cell>
          <cell r="AD109">
            <v>0</v>
          </cell>
          <cell r="AF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P109" t="str">
            <v>X</v>
          </cell>
          <cell r="AQ109" t="str">
            <v>CF.5</v>
          </cell>
        </row>
        <row r="110">
          <cell r="B110" t="str">
            <v>Low Level Control HW</v>
          </cell>
          <cell r="C110">
            <v>0</v>
          </cell>
          <cell r="D110">
            <v>4</v>
          </cell>
          <cell r="E110" t="str">
            <v>CU</v>
          </cell>
          <cell r="F110" t="str">
            <v>T_</v>
          </cell>
          <cell r="G110" t="str">
            <v>CB</v>
          </cell>
          <cell r="H110" t="str">
            <v>04-CU-T_-CB</v>
          </cell>
          <cell r="I110" t="str">
            <v>LP PLC Panel  (LP) S7-1517</v>
          </cell>
          <cell r="Q110" t="str">
            <v>EXT</v>
          </cell>
          <cell r="R110" t="str">
            <v>Placeholder</v>
          </cell>
          <cell r="U110" t="str">
            <v>PC</v>
          </cell>
          <cell r="W110">
            <v>1</v>
          </cell>
          <cell r="X110" t="str">
            <v>USD</v>
          </cell>
          <cell r="Z110">
            <v>0</v>
          </cell>
          <cell r="AA110">
            <v>0</v>
          </cell>
          <cell r="AC110">
            <v>0</v>
          </cell>
          <cell r="AD110">
            <v>0</v>
          </cell>
          <cell r="AF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P110" t="str">
            <v>X</v>
          </cell>
          <cell r="AQ110" t="str">
            <v>CF.5</v>
          </cell>
        </row>
        <row r="111">
          <cell r="B111" t="str">
            <v>Low Level Control HW</v>
          </cell>
          <cell r="C111">
            <v>0</v>
          </cell>
          <cell r="D111">
            <v>4</v>
          </cell>
          <cell r="E111" t="str">
            <v>CU</v>
          </cell>
          <cell r="F111" t="str">
            <v>T_</v>
          </cell>
          <cell r="G111" t="str">
            <v>CB</v>
          </cell>
          <cell r="H111" t="str">
            <v>04-CU-T_-CB</v>
          </cell>
          <cell r="I111" t="str">
            <v>LP PLC Panel  (LP) S7-1517H</v>
          </cell>
          <cell r="Q111" t="str">
            <v>EXT</v>
          </cell>
          <cell r="R111" t="str">
            <v>Placeholder</v>
          </cell>
          <cell r="U111" t="str">
            <v>PC</v>
          </cell>
          <cell r="W111">
            <v>1</v>
          </cell>
          <cell r="X111" t="str">
            <v>USD</v>
          </cell>
          <cell r="Z111">
            <v>0</v>
          </cell>
          <cell r="AA111">
            <v>0</v>
          </cell>
          <cell r="AC111">
            <v>0</v>
          </cell>
          <cell r="AD111">
            <v>0</v>
          </cell>
          <cell r="AF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P111" t="str">
            <v>X</v>
          </cell>
          <cell r="AQ111" t="str">
            <v>CF.5</v>
          </cell>
        </row>
        <row r="112">
          <cell r="B112" t="str">
            <v/>
          </cell>
          <cell r="H112" t="str">
            <v>--</v>
          </cell>
          <cell r="Q112" t="str">
            <v>EXT</v>
          </cell>
          <cell r="R112" t="str">
            <v>Placeholder</v>
          </cell>
          <cell r="W112">
            <v>1</v>
          </cell>
          <cell r="X112" t="str">
            <v>USD</v>
          </cell>
          <cell r="Z112">
            <v>0</v>
          </cell>
          <cell r="AA112">
            <v>0</v>
          </cell>
          <cell r="AC112">
            <v>0</v>
          </cell>
          <cell r="AD112">
            <v>0</v>
          </cell>
          <cell r="AF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P112" t="str">
            <v>X</v>
          </cell>
          <cell r="AQ112" t="str">
            <v/>
          </cell>
        </row>
        <row r="113">
          <cell r="B113" t="str">
            <v/>
          </cell>
          <cell r="H113" t="str">
            <v>--</v>
          </cell>
          <cell r="Q113" t="str">
            <v>EXT</v>
          </cell>
          <cell r="R113" t="str">
            <v>Placeholder</v>
          </cell>
          <cell r="W113">
            <v>1</v>
          </cell>
          <cell r="X113" t="str">
            <v>USD</v>
          </cell>
          <cell r="Z113">
            <v>0</v>
          </cell>
          <cell r="AA113">
            <v>0</v>
          </cell>
          <cell r="AC113">
            <v>0</v>
          </cell>
          <cell r="AD113">
            <v>0</v>
          </cell>
          <cell r="AF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P113" t="str">
            <v>X</v>
          </cell>
          <cell r="AQ113" t="str">
            <v/>
          </cell>
        </row>
        <row r="114">
          <cell r="I114" t="str">
            <v>3.2 Field Panels (PM, PFC, …)</v>
          </cell>
        </row>
        <row r="115">
          <cell r="B115" t="str">
            <v>Low Level Control HW</v>
          </cell>
          <cell r="C115">
            <v>0</v>
          </cell>
          <cell r="D115">
            <v>4</v>
          </cell>
          <cell r="E115" t="str">
            <v>CU</v>
          </cell>
          <cell r="F115" t="str">
            <v>T_</v>
          </cell>
          <cell r="G115" t="str">
            <v>CC</v>
          </cell>
          <cell r="H115" t="str">
            <v>04-CU-T_-CC</v>
          </cell>
          <cell r="I115" t="str">
            <v>Field Control Panel (PM)</v>
          </cell>
          <cell r="Q115" t="str">
            <v>EXT</v>
          </cell>
          <cell r="R115" t="str">
            <v>Placeholder</v>
          </cell>
          <cell r="U115" t="str">
            <v>PC</v>
          </cell>
          <cell r="W115">
            <v>1</v>
          </cell>
          <cell r="X115" t="str">
            <v>USD</v>
          </cell>
          <cell r="Z115">
            <v>0</v>
          </cell>
          <cell r="AA115">
            <v>0</v>
          </cell>
          <cell r="AC115">
            <v>0</v>
          </cell>
          <cell r="AD115">
            <v>0</v>
          </cell>
          <cell r="AF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P115" t="str">
            <v>X</v>
          </cell>
          <cell r="AQ115" t="str">
            <v>CF.5</v>
          </cell>
        </row>
        <row r="116">
          <cell r="B116" t="str">
            <v>Low Level Control HW</v>
          </cell>
          <cell r="C116">
            <v>0</v>
          </cell>
          <cell r="D116">
            <v>4</v>
          </cell>
          <cell r="E116" t="str">
            <v>CC</v>
          </cell>
          <cell r="F116" t="str">
            <v>T_</v>
          </cell>
          <cell r="G116" t="str">
            <v>CE</v>
          </cell>
          <cell r="H116" t="str">
            <v>04-CC-T_-CE</v>
          </cell>
          <cell r="I116" t="str">
            <v>I/O Box IOB (FB)</v>
          </cell>
          <cell r="Q116" t="str">
            <v>EXT</v>
          </cell>
          <cell r="R116" t="str">
            <v>Placeholder</v>
          </cell>
          <cell r="U116" t="str">
            <v>PC</v>
          </cell>
          <cell r="W116">
            <v>1</v>
          </cell>
          <cell r="X116" t="str">
            <v>USD</v>
          </cell>
          <cell r="Z116">
            <v>0</v>
          </cell>
          <cell r="AA116">
            <v>0</v>
          </cell>
          <cell r="AC116">
            <v>0</v>
          </cell>
          <cell r="AD116">
            <v>0</v>
          </cell>
          <cell r="AF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P116" t="str">
            <v>X</v>
          </cell>
          <cell r="AQ116" t="str">
            <v>CF.5</v>
          </cell>
        </row>
        <row r="117">
          <cell r="B117" t="str">
            <v/>
          </cell>
          <cell r="H117" t="str">
            <v>--</v>
          </cell>
          <cell r="Q117" t="str">
            <v>EXT</v>
          </cell>
          <cell r="R117" t="str">
            <v>Placeholder</v>
          </cell>
          <cell r="W117">
            <v>1</v>
          </cell>
          <cell r="X117" t="str">
            <v>USD</v>
          </cell>
          <cell r="Z117">
            <v>0</v>
          </cell>
          <cell r="AA117">
            <v>0</v>
          </cell>
          <cell r="AC117">
            <v>0</v>
          </cell>
          <cell r="AD117">
            <v>0</v>
          </cell>
          <cell r="AF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P117" t="str">
            <v>X</v>
          </cell>
          <cell r="AQ117" t="str">
            <v/>
          </cell>
        </row>
        <row r="118">
          <cell r="B118" t="str">
            <v/>
          </cell>
          <cell r="H118" t="str">
            <v>--</v>
          </cell>
          <cell r="Q118" t="str">
            <v>EXT</v>
          </cell>
          <cell r="R118" t="str">
            <v>Placeholder</v>
          </cell>
          <cell r="W118">
            <v>1</v>
          </cell>
          <cell r="X118" t="str">
            <v>USD</v>
          </cell>
          <cell r="Z118">
            <v>0</v>
          </cell>
          <cell r="AA118">
            <v>0</v>
          </cell>
          <cell r="AC118">
            <v>0</v>
          </cell>
          <cell r="AD118">
            <v>0</v>
          </cell>
          <cell r="AF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P118" t="str">
            <v>X</v>
          </cell>
          <cell r="AQ118" t="str">
            <v/>
          </cell>
        </row>
        <row r="119">
          <cell r="I119" t="str">
            <v>3.3 Drive Control</v>
          </cell>
        </row>
        <row r="120">
          <cell r="B120" t="str">
            <v>Low Level Control HW</v>
          </cell>
          <cell r="C120">
            <v>0</v>
          </cell>
          <cell r="D120">
            <v>4</v>
          </cell>
          <cell r="E120" t="str">
            <v>CC</v>
          </cell>
          <cell r="F120" t="str">
            <v>T_</v>
          </cell>
          <cell r="G120" t="str">
            <v>QA</v>
          </cell>
          <cell r="H120" t="str">
            <v>04-CC-T_-QA</v>
          </cell>
          <cell r="I120" t="str">
            <v>VFD: G110D 3kW</v>
          </cell>
          <cell r="Q120" t="str">
            <v>EXT</v>
          </cell>
          <cell r="R120" t="str">
            <v>Placeholder</v>
          </cell>
          <cell r="U120" t="str">
            <v>PC</v>
          </cell>
          <cell r="W120">
            <v>1</v>
          </cell>
          <cell r="X120" t="str">
            <v>USD</v>
          </cell>
          <cell r="Z120">
            <v>0</v>
          </cell>
          <cell r="AA120">
            <v>0</v>
          </cell>
          <cell r="AC120">
            <v>0</v>
          </cell>
          <cell r="AD120">
            <v>0</v>
          </cell>
          <cell r="AF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P120" t="str">
            <v>X</v>
          </cell>
          <cell r="AQ120" t="str">
            <v>CF.5</v>
          </cell>
        </row>
        <row r="121">
          <cell r="B121" t="str">
            <v>Low Level Control HW</v>
          </cell>
          <cell r="C121">
            <v>0</v>
          </cell>
          <cell r="D121">
            <v>4</v>
          </cell>
          <cell r="E121" t="str">
            <v>CC</v>
          </cell>
          <cell r="F121" t="str">
            <v>T_</v>
          </cell>
          <cell r="G121" t="str">
            <v>QA</v>
          </cell>
          <cell r="H121" t="str">
            <v>04-CC-T_-QA</v>
          </cell>
          <cell r="I121" t="str">
            <v>VFD: G115D WM FSB PN CON 2,2kW</v>
          </cell>
          <cell r="Q121" t="str">
            <v>EXT</v>
          </cell>
          <cell r="R121" t="str">
            <v>Placeholder</v>
          </cell>
          <cell r="U121" t="str">
            <v>PC</v>
          </cell>
          <cell r="W121">
            <v>1</v>
          </cell>
          <cell r="X121" t="str">
            <v>USD</v>
          </cell>
          <cell r="Z121">
            <v>0</v>
          </cell>
          <cell r="AA121">
            <v>0</v>
          </cell>
          <cell r="AC121">
            <v>0</v>
          </cell>
          <cell r="AD121">
            <v>0</v>
          </cell>
          <cell r="AF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P121" t="str">
            <v>X</v>
          </cell>
          <cell r="AQ121" t="str">
            <v>CF.5</v>
          </cell>
        </row>
        <row r="122">
          <cell r="B122" t="str">
            <v>Low Level Control HW</v>
          </cell>
          <cell r="C122">
            <v>0</v>
          </cell>
          <cell r="D122">
            <v>4</v>
          </cell>
          <cell r="E122" t="str">
            <v>CC</v>
          </cell>
          <cell r="F122" t="str">
            <v>T_</v>
          </cell>
          <cell r="G122" t="str">
            <v>QA</v>
          </cell>
          <cell r="H122" t="str">
            <v>04-CC-T_-QA</v>
          </cell>
          <cell r="I122" t="str">
            <v>VFD: Brake Resistor</v>
          </cell>
          <cell r="Q122" t="str">
            <v>EXT</v>
          </cell>
          <cell r="R122" t="str">
            <v>Placeholder</v>
          </cell>
          <cell r="U122" t="str">
            <v>PC</v>
          </cell>
          <cell r="W122">
            <v>1</v>
          </cell>
          <cell r="X122" t="str">
            <v>USD</v>
          </cell>
          <cell r="Z122">
            <v>0</v>
          </cell>
          <cell r="AA122">
            <v>0</v>
          </cell>
          <cell r="AC122">
            <v>0</v>
          </cell>
          <cell r="AD122">
            <v>0</v>
          </cell>
          <cell r="AF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P122" t="str">
            <v>X</v>
          </cell>
          <cell r="AQ122" t="str">
            <v>CF.5</v>
          </cell>
        </row>
        <row r="123">
          <cell r="B123" t="str">
            <v>Low Level Control HW</v>
          </cell>
          <cell r="C123">
            <v>0</v>
          </cell>
          <cell r="D123">
            <v>4</v>
          </cell>
          <cell r="E123" t="str">
            <v>CC</v>
          </cell>
          <cell r="F123" t="str">
            <v>T_</v>
          </cell>
          <cell r="G123" t="str">
            <v>QA</v>
          </cell>
          <cell r="H123" t="str">
            <v>04-CC-T_-QA</v>
          </cell>
          <cell r="I123" t="str">
            <v>VFD: Power T-Connector</v>
          </cell>
          <cell r="Q123" t="str">
            <v>EXT</v>
          </cell>
          <cell r="R123" t="str">
            <v>Placeholder</v>
          </cell>
          <cell r="U123" t="str">
            <v>PC</v>
          </cell>
          <cell r="W123">
            <v>1</v>
          </cell>
          <cell r="X123" t="str">
            <v>USD</v>
          </cell>
          <cell r="Z123">
            <v>0</v>
          </cell>
          <cell r="AA123">
            <v>0</v>
          </cell>
          <cell r="AC123">
            <v>0</v>
          </cell>
          <cell r="AD123">
            <v>0</v>
          </cell>
          <cell r="AF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P123" t="str">
            <v>X</v>
          </cell>
          <cell r="AQ123" t="str">
            <v>CF.5</v>
          </cell>
        </row>
        <row r="124">
          <cell r="B124" t="str">
            <v>Low Level Control HW</v>
          </cell>
          <cell r="C124">
            <v>0</v>
          </cell>
          <cell r="D124">
            <v>4</v>
          </cell>
          <cell r="E124" t="str">
            <v>CC</v>
          </cell>
          <cell r="F124" t="str">
            <v>T_</v>
          </cell>
          <cell r="G124" t="str">
            <v>QW</v>
          </cell>
          <cell r="H124" t="str">
            <v>04-CC-T_-QW</v>
          </cell>
          <cell r="I124" t="str">
            <v>VFD: Premanu. Power and Motor cable</v>
          </cell>
          <cell r="Q124" t="str">
            <v>EXT</v>
          </cell>
          <cell r="R124" t="str">
            <v>Placeholder</v>
          </cell>
          <cell r="U124" t="str">
            <v>ST</v>
          </cell>
          <cell r="W124">
            <v>1</v>
          </cell>
          <cell r="X124" t="str">
            <v>USD</v>
          </cell>
          <cell r="Z124">
            <v>0</v>
          </cell>
          <cell r="AA124">
            <v>0</v>
          </cell>
          <cell r="AC124">
            <v>0</v>
          </cell>
          <cell r="AD124">
            <v>0</v>
          </cell>
          <cell r="AF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P124" t="str">
            <v>X</v>
          </cell>
          <cell r="AQ124" t="str">
            <v>CF.5</v>
          </cell>
        </row>
        <row r="125">
          <cell r="B125" t="str">
            <v>Low Level Control HW</v>
          </cell>
          <cell r="C125">
            <v>0</v>
          </cell>
          <cell r="D125">
            <v>4</v>
          </cell>
          <cell r="E125" t="str">
            <v>CC</v>
          </cell>
          <cell r="F125" t="str">
            <v>T_</v>
          </cell>
          <cell r="G125" t="str">
            <v>QU</v>
          </cell>
          <cell r="H125" t="str">
            <v>04-CC-T_-QU</v>
          </cell>
          <cell r="I125" t="str">
            <v>VFD: Bracket G110D/G115D/G120D</v>
          </cell>
          <cell r="Q125" t="str">
            <v>EXT</v>
          </cell>
          <cell r="R125" t="str">
            <v>Placeholder</v>
          </cell>
          <cell r="U125" t="str">
            <v>ST</v>
          </cell>
          <cell r="W125">
            <v>1</v>
          </cell>
          <cell r="X125" t="str">
            <v>USD</v>
          </cell>
          <cell r="Z125">
            <v>0</v>
          </cell>
          <cell r="AA125">
            <v>0</v>
          </cell>
          <cell r="AC125">
            <v>0</v>
          </cell>
          <cell r="AD125">
            <v>0</v>
          </cell>
          <cell r="AF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P125" t="str">
            <v>X</v>
          </cell>
          <cell r="AQ125" t="str">
            <v>CF.5</v>
          </cell>
        </row>
        <row r="126">
          <cell r="B126" t="str">
            <v/>
          </cell>
          <cell r="H126" t="str">
            <v>--</v>
          </cell>
          <cell r="Q126" t="str">
            <v>EXT</v>
          </cell>
          <cell r="R126" t="str">
            <v>Placeholder</v>
          </cell>
          <cell r="W126">
            <v>1</v>
          </cell>
          <cell r="X126" t="str">
            <v>USD</v>
          </cell>
          <cell r="Z126">
            <v>0</v>
          </cell>
          <cell r="AA126">
            <v>0</v>
          </cell>
          <cell r="AC126">
            <v>0</v>
          </cell>
          <cell r="AD126">
            <v>0</v>
          </cell>
          <cell r="AF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P126" t="str">
            <v>X</v>
          </cell>
          <cell r="AQ126" t="str">
            <v/>
          </cell>
        </row>
        <row r="127">
          <cell r="B127" t="str">
            <v/>
          </cell>
          <cell r="H127" t="str">
            <v>--</v>
          </cell>
          <cell r="Q127" t="str">
            <v>EXT</v>
          </cell>
          <cell r="R127" t="str">
            <v>Placeholder</v>
          </cell>
          <cell r="W127">
            <v>1</v>
          </cell>
          <cell r="X127" t="str">
            <v>USD</v>
          </cell>
          <cell r="Z127">
            <v>0</v>
          </cell>
          <cell r="AA127">
            <v>0</v>
          </cell>
          <cell r="AC127">
            <v>0</v>
          </cell>
          <cell r="AD127">
            <v>0</v>
          </cell>
          <cell r="AF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P127" t="str">
            <v>X</v>
          </cell>
          <cell r="AQ127" t="str">
            <v/>
          </cell>
        </row>
        <row r="128">
          <cell r="I128" t="str">
            <v>3.5 Field Devices Sensors…</v>
          </cell>
        </row>
        <row r="129">
          <cell r="B129" t="str">
            <v>Low Level Control HW</v>
          </cell>
          <cell r="C129">
            <v>0</v>
          </cell>
          <cell r="D129">
            <v>4</v>
          </cell>
          <cell r="E129" t="str">
            <v>CC</v>
          </cell>
          <cell r="F129" t="str">
            <v>T_</v>
          </cell>
          <cell r="G129" t="str">
            <v>BG</v>
          </cell>
          <cell r="H129" t="str">
            <v>04-CC-T_-BG</v>
          </cell>
          <cell r="I129" t="str">
            <v>Field Devices: Actors, Sensors</v>
          </cell>
          <cell r="Q129" t="str">
            <v>EXT</v>
          </cell>
          <cell r="R129" t="str">
            <v>Placeholder</v>
          </cell>
          <cell r="U129" t="str">
            <v>PC</v>
          </cell>
          <cell r="W129">
            <v>1</v>
          </cell>
          <cell r="X129" t="str">
            <v>USD</v>
          </cell>
          <cell r="Z129">
            <v>0</v>
          </cell>
          <cell r="AA129">
            <v>0</v>
          </cell>
          <cell r="AC129">
            <v>0</v>
          </cell>
          <cell r="AD129">
            <v>0</v>
          </cell>
          <cell r="AF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P129" t="str">
            <v>X</v>
          </cell>
          <cell r="AQ129" t="str">
            <v>CF.5</v>
          </cell>
        </row>
        <row r="130">
          <cell r="B130" t="str">
            <v>Low Level Control HW</v>
          </cell>
          <cell r="C130">
            <v>0</v>
          </cell>
          <cell r="D130">
            <v>4</v>
          </cell>
          <cell r="E130" t="str">
            <v>CC</v>
          </cell>
          <cell r="F130" t="str">
            <v>T_</v>
          </cell>
          <cell r="G130" t="str">
            <v>BA</v>
          </cell>
          <cell r="H130" t="str">
            <v>04-CC-T_-BA</v>
          </cell>
          <cell r="I130" t="str">
            <v>Field Devices: I/O Devices</v>
          </cell>
          <cell r="Q130" t="str">
            <v>EXT</v>
          </cell>
          <cell r="R130" t="str">
            <v>Placeholder</v>
          </cell>
          <cell r="U130" t="str">
            <v>PC</v>
          </cell>
          <cell r="W130">
            <v>1</v>
          </cell>
          <cell r="X130" t="str">
            <v>USD</v>
          </cell>
          <cell r="Z130">
            <v>0</v>
          </cell>
          <cell r="AA130">
            <v>0</v>
          </cell>
          <cell r="AC130">
            <v>0</v>
          </cell>
          <cell r="AD130">
            <v>0</v>
          </cell>
          <cell r="AF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P130" t="str">
            <v>X</v>
          </cell>
          <cell r="AQ130" t="str">
            <v>CF.5</v>
          </cell>
        </row>
        <row r="131">
          <cell r="B131" t="str">
            <v>Low Level Control HW</v>
          </cell>
          <cell r="C131">
            <v>0</v>
          </cell>
          <cell r="D131">
            <v>4</v>
          </cell>
          <cell r="E131" t="str">
            <v>CC</v>
          </cell>
          <cell r="F131" t="str">
            <v>T_</v>
          </cell>
          <cell r="G131" t="str">
            <v>BU</v>
          </cell>
          <cell r="H131" t="str">
            <v>04-CC-T_-BU</v>
          </cell>
          <cell r="I131" t="str">
            <v>Field Devices: Equipment Brackets &amp; Supports</v>
          </cell>
          <cell r="Q131" t="str">
            <v>EXT</v>
          </cell>
          <cell r="R131" t="str">
            <v>Placeholder</v>
          </cell>
          <cell r="U131" t="str">
            <v>PC</v>
          </cell>
          <cell r="W131">
            <v>1</v>
          </cell>
          <cell r="X131" t="str">
            <v>USD</v>
          </cell>
          <cell r="Z131">
            <v>0</v>
          </cell>
          <cell r="AA131">
            <v>0</v>
          </cell>
          <cell r="AC131">
            <v>0</v>
          </cell>
          <cell r="AD131">
            <v>0</v>
          </cell>
          <cell r="AF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P131" t="str">
            <v>X</v>
          </cell>
          <cell r="AQ131" t="str">
            <v>CF.5</v>
          </cell>
        </row>
        <row r="132">
          <cell r="B132" t="str">
            <v>Low Level Control HW</v>
          </cell>
          <cell r="C132">
            <v>0</v>
          </cell>
          <cell r="D132">
            <v>4</v>
          </cell>
          <cell r="E132" t="str">
            <v>CC</v>
          </cell>
          <cell r="F132" t="str">
            <v>T_</v>
          </cell>
          <cell r="G132" t="str">
            <v>BW</v>
          </cell>
          <cell r="H132" t="str">
            <v>04-CC-T_-BW</v>
          </cell>
          <cell r="I132" t="str">
            <v>Field Devices: Premanu. Sensor cable</v>
          </cell>
          <cell r="Q132" t="str">
            <v>EXT</v>
          </cell>
          <cell r="R132" t="str">
            <v>Placeholder</v>
          </cell>
          <cell r="U132" t="str">
            <v>PC</v>
          </cell>
          <cell r="W132">
            <v>1</v>
          </cell>
          <cell r="X132" t="str">
            <v>USD</v>
          </cell>
          <cell r="Z132">
            <v>0</v>
          </cell>
          <cell r="AA132">
            <v>0</v>
          </cell>
          <cell r="AC132">
            <v>0</v>
          </cell>
          <cell r="AD132">
            <v>0</v>
          </cell>
          <cell r="AF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P132" t="str">
            <v>X</v>
          </cell>
          <cell r="AQ132" t="str">
            <v>CF.5</v>
          </cell>
        </row>
        <row r="133">
          <cell r="B133" t="str">
            <v>Low Level Control HW</v>
          </cell>
          <cell r="C133">
            <v>0</v>
          </cell>
          <cell r="D133">
            <v>4</v>
          </cell>
          <cell r="E133" t="str">
            <v>CC</v>
          </cell>
          <cell r="F133" t="str">
            <v>T_</v>
          </cell>
          <cell r="G133" t="str">
            <v>SJ</v>
          </cell>
          <cell r="H133" t="str">
            <v>04-CC-T_-SJ</v>
          </cell>
          <cell r="I133" t="str">
            <v>Field Devices: Control Stations (CS)</v>
          </cell>
          <cell r="Q133" t="str">
            <v>EXT</v>
          </cell>
          <cell r="R133" t="str">
            <v>Placeholder</v>
          </cell>
          <cell r="U133" t="str">
            <v>PC</v>
          </cell>
          <cell r="W133">
            <v>1</v>
          </cell>
          <cell r="X133" t="str">
            <v>USD</v>
          </cell>
          <cell r="Z133">
            <v>0</v>
          </cell>
          <cell r="AA133">
            <v>0</v>
          </cell>
          <cell r="AC133">
            <v>0</v>
          </cell>
          <cell r="AD133">
            <v>0</v>
          </cell>
          <cell r="AF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P133" t="str">
            <v>X</v>
          </cell>
          <cell r="AQ133" t="str">
            <v>CF.5</v>
          </cell>
        </row>
        <row r="134">
          <cell r="B134" t="str">
            <v>Low Level Control HW</v>
          </cell>
          <cell r="C134">
            <v>0</v>
          </cell>
          <cell r="D134">
            <v>4</v>
          </cell>
          <cell r="E134" t="str">
            <v>CC</v>
          </cell>
          <cell r="F134" t="str">
            <v>T_</v>
          </cell>
          <cell r="G134" t="str">
            <v>SP</v>
          </cell>
          <cell r="H134" t="str">
            <v>04-CC-T_-SP</v>
          </cell>
          <cell r="I134" t="str">
            <v>Field Devices: Light Beacons / Tower Lamps (LB)</v>
          </cell>
          <cell r="Q134" t="str">
            <v>EXT</v>
          </cell>
          <cell r="R134" t="str">
            <v>Placeholder</v>
          </cell>
          <cell r="U134" t="str">
            <v>PC</v>
          </cell>
          <cell r="W134">
            <v>1</v>
          </cell>
          <cell r="X134" t="str">
            <v>USD</v>
          </cell>
          <cell r="Z134">
            <v>0</v>
          </cell>
          <cell r="AA134">
            <v>0</v>
          </cell>
          <cell r="AC134">
            <v>0</v>
          </cell>
          <cell r="AD134">
            <v>0</v>
          </cell>
          <cell r="AF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P134" t="str">
            <v>X</v>
          </cell>
          <cell r="AQ134" t="str">
            <v>CF.5</v>
          </cell>
        </row>
        <row r="135">
          <cell r="B135" t="str">
            <v/>
          </cell>
          <cell r="H135" t="str">
            <v>--</v>
          </cell>
          <cell r="Q135" t="str">
            <v>EXT</v>
          </cell>
          <cell r="R135" t="str">
            <v>Placeholder</v>
          </cell>
          <cell r="W135">
            <v>1</v>
          </cell>
          <cell r="X135" t="str">
            <v>USD</v>
          </cell>
          <cell r="Z135">
            <v>0</v>
          </cell>
          <cell r="AA135">
            <v>0</v>
          </cell>
          <cell r="AC135">
            <v>0</v>
          </cell>
          <cell r="AD135">
            <v>0</v>
          </cell>
          <cell r="AF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P135" t="str">
            <v>X</v>
          </cell>
          <cell r="AQ135" t="str">
            <v/>
          </cell>
        </row>
        <row r="136">
          <cell r="B136" t="str">
            <v/>
          </cell>
          <cell r="H136" t="str">
            <v>--</v>
          </cell>
          <cell r="Q136" t="str">
            <v>EXT</v>
          </cell>
          <cell r="R136" t="str">
            <v>Placeholder</v>
          </cell>
          <cell r="W136">
            <v>1</v>
          </cell>
          <cell r="X136" t="str">
            <v>USD</v>
          </cell>
          <cell r="Z136">
            <v>0</v>
          </cell>
          <cell r="AA136">
            <v>0</v>
          </cell>
          <cell r="AC136">
            <v>0</v>
          </cell>
          <cell r="AD136">
            <v>0</v>
          </cell>
          <cell r="AF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P136" t="str">
            <v>X</v>
          </cell>
          <cell r="AQ136" t="str">
            <v/>
          </cell>
        </row>
        <row r="137">
          <cell r="I137" t="str">
            <v>3.6 Cable Supporting System</v>
          </cell>
        </row>
        <row r="138">
          <cell r="B138" t="str">
            <v>Low Level Control HW</v>
          </cell>
          <cell r="C138">
            <v>0</v>
          </cell>
          <cell r="D138">
            <v>4</v>
          </cell>
          <cell r="E138" t="str">
            <v>CL</v>
          </cell>
          <cell r="F138" t="str">
            <v>T_</v>
          </cell>
          <cell r="G138" t="str">
            <v>BU</v>
          </cell>
          <cell r="H138" t="str">
            <v>04-CL-T_-BU</v>
          </cell>
          <cell r="I138" t="str">
            <v>Cable Tray Cable Rack, Cable Trunking, Cable Ladder, Conduit</v>
          </cell>
          <cell r="Q138" t="str">
            <v>EXT</v>
          </cell>
          <cell r="R138" t="str">
            <v>Placeholder</v>
          </cell>
          <cell r="U138" t="str">
            <v>MT</v>
          </cell>
          <cell r="W138">
            <v>1</v>
          </cell>
          <cell r="X138" t="str">
            <v>USD</v>
          </cell>
          <cell r="Z138">
            <v>0</v>
          </cell>
          <cell r="AA138">
            <v>0</v>
          </cell>
          <cell r="AC138">
            <v>0</v>
          </cell>
          <cell r="AD138">
            <v>0</v>
          </cell>
          <cell r="AF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P138" t="str">
            <v>X</v>
          </cell>
          <cell r="AQ138" t="str">
            <v>CF.5</v>
          </cell>
        </row>
        <row r="139">
          <cell r="B139" t="str">
            <v/>
          </cell>
          <cell r="H139" t="str">
            <v>--</v>
          </cell>
          <cell r="Q139" t="str">
            <v>EXT</v>
          </cell>
          <cell r="R139" t="str">
            <v>Placeholder</v>
          </cell>
          <cell r="W139">
            <v>1</v>
          </cell>
          <cell r="X139" t="str">
            <v>USD</v>
          </cell>
          <cell r="Z139">
            <v>0</v>
          </cell>
          <cell r="AA139">
            <v>0</v>
          </cell>
          <cell r="AC139">
            <v>0</v>
          </cell>
          <cell r="AD139">
            <v>0</v>
          </cell>
          <cell r="AF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P139" t="str">
            <v>X</v>
          </cell>
          <cell r="AQ139" t="str">
            <v/>
          </cell>
        </row>
        <row r="140">
          <cell r="B140" t="str">
            <v/>
          </cell>
          <cell r="H140" t="str">
            <v>--</v>
          </cell>
          <cell r="Q140" t="str">
            <v>EXT</v>
          </cell>
          <cell r="R140" t="str">
            <v>Placeholder</v>
          </cell>
          <cell r="W140">
            <v>1</v>
          </cell>
          <cell r="X140" t="str">
            <v>USD</v>
          </cell>
          <cell r="Z140">
            <v>0</v>
          </cell>
          <cell r="AA140">
            <v>0</v>
          </cell>
          <cell r="AC140">
            <v>0</v>
          </cell>
          <cell r="AD140">
            <v>0</v>
          </cell>
          <cell r="AF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P140" t="str">
            <v>X</v>
          </cell>
          <cell r="AQ140" t="str">
            <v/>
          </cell>
        </row>
        <row r="141">
          <cell r="I141" t="str">
            <v>3.7 Wire and Cable</v>
          </cell>
        </row>
        <row r="142">
          <cell r="B142" t="str">
            <v>Low Level Control HW</v>
          </cell>
          <cell r="C142">
            <v>0</v>
          </cell>
          <cell r="D142">
            <v>4</v>
          </cell>
          <cell r="E142" t="str">
            <v>CW</v>
          </cell>
          <cell r="F142" t="str">
            <v>T_</v>
          </cell>
          <cell r="G142" t="str">
            <v>DB</v>
          </cell>
          <cell r="H142" t="str">
            <v>04-CW-T_-DB</v>
          </cell>
          <cell r="I142" t="str">
            <v>Low Voltage Power Cable</v>
          </cell>
          <cell r="Q142" t="str">
            <v>EXT</v>
          </cell>
          <cell r="R142" t="str">
            <v>Placeholder</v>
          </cell>
          <cell r="U142" t="str">
            <v>MT</v>
          </cell>
          <cell r="W142">
            <v>1</v>
          </cell>
          <cell r="X142" t="str">
            <v>USD</v>
          </cell>
          <cell r="Z142">
            <v>0</v>
          </cell>
          <cell r="AA142">
            <v>0</v>
          </cell>
          <cell r="AC142">
            <v>0</v>
          </cell>
          <cell r="AD142">
            <v>0</v>
          </cell>
          <cell r="AF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P142" t="str">
            <v>X</v>
          </cell>
          <cell r="AQ142" t="str">
            <v>CF.5</v>
          </cell>
        </row>
        <row r="143">
          <cell r="B143" t="str">
            <v>Low Level Control HW</v>
          </cell>
          <cell r="C143">
            <v>0</v>
          </cell>
          <cell r="D143">
            <v>4</v>
          </cell>
          <cell r="E143" t="str">
            <v>CW</v>
          </cell>
          <cell r="F143" t="str">
            <v>T_</v>
          </cell>
          <cell r="G143" t="str">
            <v>EB</v>
          </cell>
          <cell r="H143" t="str">
            <v>04-CW-T_-EB</v>
          </cell>
          <cell r="I143" t="str">
            <v>Earthing Cable</v>
          </cell>
          <cell r="Q143" t="str">
            <v>EXT</v>
          </cell>
          <cell r="R143" t="str">
            <v>Placeholder</v>
          </cell>
          <cell r="U143" t="str">
            <v>MT</v>
          </cell>
          <cell r="W143">
            <v>1</v>
          </cell>
          <cell r="X143" t="str">
            <v>USD</v>
          </cell>
          <cell r="Z143">
            <v>0</v>
          </cell>
          <cell r="AA143">
            <v>0</v>
          </cell>
          <cell r="AC143">
            <v>0</v>
          </cell>
          <cell r="AD143">
            <v>0</v>
          </cell>
          <cell r="AF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P143" t="str">
            <v>X</v>
          </cell>
          <cell r="AQ143" t="str">
            <v>CF.5</v>
          </cell>
        </row>
        <row r="144">
          <cell r="B144" t="str">
            <v>Low Level Control HW</v>
          </cell>
          <cell r="C144">
            <v>0</v>
          </cell>
          <cell r="D144">
            <v>4</v>
          </cell>
          <cell r="E144" t="str">
            <v>CW</v>
          </cell>
          <cell r="F144" t="str">
            <v>T_</v>
          </cell>
          <cell r="G144" t="str">
            <v>GA</v>
          </cell>
          <cell r="H144" t="str">
            <v>04-CW-T_-GA</v>
          </cell>
          <cell r="I144" t="str">
            <v>Signal Cable, CU Control Cable</v>
          </cell>
          <cell r="Q144" t="str">
            <v>EXT</v>
          </cell>
          <cell r="R144" t="str">
            <v>Placeholder</v>
          </cell>
          <cell r="U144" t="str">
            <v>MT</v>
          </cell>
          <cell r="W144">
            <v>1</v>
          </cell>
          <cell r="X144" t="str">
            <v>USD</v>
          </cell>
          <cell r="Z144">
            <v>0</v>
          </cell>
          <cell r="AA144">
            <v>0</v>
          </cell>
          <cell r="AC144">
            <v>0</v>
          </cell>
          <cell r="AD144">
            <v>0</v>
          </cell>
          <cell r="AF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P144" t="str">
            <v>X</v>
          </cell>
          <cell r="AQ144" t="str">
            <v>CF.5</v>
          </cell>
        </row>
        <row r="145">
          <cell r="B145" t="str">
            <v>Low Level Control HW</v>
          </cell>
          <cell r="C145">
            <v>0</v>
          </cell>
          <cell r="D145">
            <v>4</v>
          </cell>
          <cell r="E145" t="str">
            <v>CW</v>
          </cell>
          <cell r="F145" t="str">
            <v>T_</v>
          </cell>
          <cell r="G145" t="str">
            <v>GB</v>
          </cell>
          <cell r="H145" t="str">
            <v>04-CW-T_-GB</v>
          </cell>
          <cell r="I145" t="str">
            <v>Signal Cable, CU Data Cable</v>
          </cell>
          <cell r="Q145" t="str">
            <v>EXT</v>
          </cell>
          <cell r="R145" t="str">
            <v>Placeholder</v>
          </cell>
          <cell r="U145" t="str">
            <v>MT</v>
          </cell>
          <cell r="W145">
            <v>1</v>
          </cell>
          <cell r="X145" t="str">
            <v>USD</v>
          </cell>
          <cell r="Z145">
            <v>0</v>
          </cell>
          <cell r="AA145">
            <v>0</v>
          </cell>
          <cell r="AC145">
            <v>0</v>
          </cell>
          <cell r="AD145">
            <v>0</v>
          </cell>
          <cell r="AF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P145" t="str">
            <v>X</v>
          </cell>
          <cell r="AQ145" t="str">
            <v>CF.5</v>
          </cell>
        </row>
        <row r="146">
          <cell r="B146" t="str">
            <v>Low Level Control HW</v>
          </cell>
          <cell r="C146">
            <v>0</v>
          </cell>
          <cell r="D146">
            <v>4</v>
          </cell>
          <cell r="E146" t="str">
            <v>CW</v>
          </cell>
          <cell r="F146" t="str">
            <v>T_</v>
          </cell>
          <cell r="G146" t="str">
            <v>HA</v>
          </cell>
          <cell r="H146" t="str">
            <v>04-CW-T_-HA</v>
          </cell>
          <cell r="I146" t="str">
            <v>Signal Cable, Optical Fibre Optical Cable</v>
          </cell>
          <cell r="Q146" t="str">
            <v>EXT</v>
          </cell>
          <cell r="R146" t="str">
            <v>Placeholder</v>
          </cell>
          <cell r="U146" t="str">
            <v>MT</v>
          </cell>
          <cell r="W146">
            <v>1</v>
          </cell>
          <cell r="X146" t="str">
            <v>USD</v>
          </cell>
          <cell r="Z146">
            <v>0</v>
          </cell>
          <cell r="AA146">
            <v>0</v>
          </cell>
          <cell r="AC146">
            <v>0</v>
          </cell>
          <cell r="AD146">
            <v>0</v>
          </cell>
          <cell r="AF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P146" t="str">
            <v>X</v>
          </cell>
          <cell r="AQ146" t="str">
            <v>CF.5</v>
          </cell>
        </row>
        <row r="147">
          <cell r="B147" t="str">
            <v/>
          </cell>
          <cell r="H147" t="str">
            <v>--</v>
          </cell>
          <cell r="Q147" t="str">
            <v>EXT</v>
          </cell>
          <cell r="R147" t="str">
            <v>Placeholder</v>
          </cell>
          <cell r="W147">
            <v>1</v>
          </cell>
          <cell r="X147" t="str">
            <v>USD</v>
          </cell>
          <cell r="Z147">
            <v>0</v>
          </cell>
          <cell r="AA147">
            <v>0</v>
          </cell>
          <cell r="AC147">
            <v>0</v>
          </cell>
          <cell r="AD147">
            <v>0</v>
          </cell>
          <cell r="AF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P147" t="str">
            <v>X</v>
          </cell>
          <cell r="AQ147" t="str">
            <v/>
          </cell>
        </row>
        <row r="148">
          <cell r="B148" t="str">
            <v/>
          </cell>
          <cell r="H148" t="str">
            <v>--</v>
          </cell>
          <cell r="Q148" t="str">
            <v>EXT</v>
          </cell>
          <cell r="R148" t="str">
            <v>Placeholder</v>
          </cell>
          <cell r="W148">
            <v>1</v>
          </cell>
          <cell r="X148" t="str">
            <v>USD</v>
          </cell>
          <cell r="Z148">
            <v>0</v>
          </cell>
          <cell r="AA148">
            <v>0</v>
          </cell>
          <cell r="AC148">
            <v>0</v>
          </cell>
          <cell r="AD148">
            <v>0</v>
          </cell>
          <cell r="AF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P148" t="str">
            <v>X</v>
          </cell>
          <cell r="AQ148" t="str">
            <v/>
          </cell>
        </row>
        <row r="149">
          <cell r="B149" t="str">
            <v>Subtotal - 4</v>
          </cell>
          <cell r="I149" t="str">
            <v>4. Individual Carrier System - Panels, Field Devices, VFDs, Brackets</v>
          </cell>
        </row>
        <row r="150">
          <cell r="I150" t="str">
            <v>4.1 Control Panel (LP = Power and PLC Part)</v>
          </cell>
        </row>
        <row r="151">
          <cell r="B151" t="str">
            <v>Low Level Control HW</v>
          </cell>
          <cell r="C151">
            <v>0</v>
          </cell>
          <cell r="D151">
            <v>4</v>
          </cell>
          <cell r="E151" t="str">
            <v>CU</v>
          </cell>
          <cell r="F151" t="str">
            <v>I_</v>
          </cell>
          <cell r="G151" t="str">
            <v>CB</v>
          </cell>
          <cell r="H151" t="str">
            <v>04-CU-I_-CB</v>
          </cell>
          <cell r="I151" t="str">
            <v>LM 1500 Hybridschrank (LP + PM)</v>
          </cell>
          <cell r="Q151" t="str">
            <v>EXT</v>
          </cell>
          <cell r="R151" t="str">
            <v>Placeholder</v>
          </cell>
          <cell r="U151" t="str">
            <v>PC</v>
          </cell>
          <cell r="W151">
            <v>1</v>
          </cell>
          <cell r="X151" t="str">
            <v>USD</v>
          </cell>
          <cell r="Z151">
            <v>0</v>
          </cell>
          <cell r="AA151">
            <v>0</v>
          </cell>
          <cell r="AC151">
            <v>0</v>
          </cell>
          <cell r="AD151">
            <v>0</v>
          </cell>
          <cell r="AF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P151" t="str">
            <v>X</v>
          </cell>
          <cell r="AQ151" t="str">
            <v>CF.5</v>
          </cell>
        </row>
        <row r="152">
          <cell r="B152" t="str">
            <v>Low Level Control HW</v>
          </cell>
          <cell r="C152">
            <v>0</v>
          </cell>
          <cell r="D152">
            <v>4</v>
          </cell>
          <cell r="E152" t="str">
            <v>CU</v>
          </cell>
          <cell r="F152" t="str">
            <v>I_</v>
          </cell>
          <cell r="G152" t="str">
            <v>CB</v>
          </cell>
          <cell r="H152" t="str">
            <v>04-CU-I_-CB</v>
          </cell>
          <cell r="I152" t="str">
            <v>LP PLC Panel  (LP) S7-1517</v>
          </cell>
          <cell r="Q152" t="str">
            <v>EXT</v>
          </cell>
          <cell r="R152" t="str">
            <v>Placeholder</v>
          </cell>
          <cell r="U152" t="str">
            <v>PC</v>
          </cell>
          <cell r="W152">
            <v>1</v>
          </cell>
          <cell r="X152" t="str">
            <v>USD</v>
          </cell>
          <cell r="Z152">
            <v>0</v>
          </cell>
          <cell r="AA152">
            <v>0</v>
          </cell>
          <cell r="AC152">
            <v>0</v>
          </cell>
          <cell r="AD152">
            <v>0</v>
          </cell>
          <cell r="AF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P152" t="str">
            <v>X</v>
          </cell>
          <cell r="AQ152" t="str">
            <v>CF.5</v>
          </cell>
        </row>
        <row r="153">
          <cell r="B153" t="str">
            <v>Low Level Control HW</v>
          </cell>
          <cell r="C153">
            <v>0</v>
          </cell>
          <cell r="D153">
            <v>4</v>
          </cell>
          <cell r="E153" t="str">
            <v>CU</v>
          </cell>
          <cell r="F153" t="str">
            <v>I_</v>
          </cell>
          <cell r="G153" t="str">
            <v>CB</v>
          </cell>
          <cell r="H153" t="str">
            <v>04-CU-I_-CB</v>
          </cell>
          <cell r="I153" t="str">
            <v>LP PLC Panel  (LP) S7-1517H</v>
          </cell>
          <cell r="J153" t="str">
            <v>221024_LTIA_Ph1_Z-4-CA-003_PLC_Material_Costs_Long Than_Tray_2022-10-06.xlsx</v>
          </cell>
          <cell r="L153" t="str">
            <v>Offshore:
GER
(MAT)</v>
          </cell>
          <cell r="M153" t="str">
            <v>S. Zenk</v>
          </cell>
          <cell r="N153">
            <v>44859</v>
          </cell>
          <cell r="O153" t="str">
            <v>WKC-A28051_03_22</v>
          </cell>
          <cell r="P153" t="str">
            <v>Siemens WKC</v>
          </cell>
          <cell r="Q153" t="str">
            <v>OSE</v>
          </cell>
          <cell r="R153" t="str">
            <v>Binding Quote</v>
          </cell>
          <cell r="T153">
            <v>50</v>
          </cell>
          <cell r="U153" t="str">
            <v>PC</v>
          </cell>
          <cell r="V153">
            <v>29908</v>
          </cell>
          <cell r="W153">
            <v>2</v>
          </cell>
          <cell r="X153" t="str">
            <v>EUR</v>
          </cell>
          <cell r="Y153" t="str">
            <v>German MGK 1</v>
          </cell>
          <cell r="Z153">
            <v>0</v>
          </cell>
          <cell r="AA153">
            <v>0</v>
          </cell>
          <cell r="AC153">
            <v>1495400</v>
          </cell>
          <cell r="AD153">
            <v>1590357.9</v>
          </cell>
          <cell r="AF153">
            <v>0</v>
          </cell>
          <cell r="AH153">
            <v>1590357.9</v>
          </cell>
          <cell r="AI153">
            <v>0.23709783177495308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2084615.7819948199</v>
          </cell>
          <cell r="AP153" t="str">
            <v>II</v>
          </cell>
          <cell r="AQ153" t="str">
            <v>CF.5</v>
          </cell>
        </row>
        <row r="154">
          <cell r="B154" t="str">
            <v/>
          </cell>
          <cell r="H154" t="str">
            <v>--</v>
          </cell>
          <cell r="Q154" t="str">
            <v>EXT</v>
          </cell>
          <cell r="R154" t="str">
            <v>Placeholder</v>
          </cell>
          <cell r="W154">
            <v>1</v>
          </cell>
          <cell r="X154" t="str">
            <v>USD</v>
          </cell>
          <cell r="Z154">
            <v>0</v>
          </cell>
          <cell r="AA154">
            <v>0</v>
          </cell>
          <cell r="AC154">
            <v>0</v>
          </cell>
          <cell r="AD154">
            <v>0</v>
          </cell>
          <cell r="AF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P154" t="str">
            <v>X</v>
          </cell>
          <cell r="AQ154" t="str">
            <v/>
          </cell>
        </row>
        <row r="155">
          <cell r="B155" t="str">
            <v/>
          </cell>
          <cell r="H155" t="str">
            <v>--</v>
          </cell>
          <cell r="Q155" t="str">
            <v>EXT</v>
          </cell>
          <cell r="R155" t="str">
            <v>Placeholder</v>
          </cell>
          <cell r="W155">
            <v>1</v>
          </cell>
          <cell r="X155" t="str">
            <v>USD</v>
          </cell>
          <cell r="Z155">
            <v>0</v>
          </cell>
          <cell r="AA155">
            <v>0</v>
          </cell>
          <cell r="AC155">
            <v>0</v>
          </cell>
          <cell r="AD155">
            <v>0</v>
          </cell>
          <cell r="AF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P155" t="str">
            <v>X</v>
          </cell>
          <cell r="AQ155" t="str">
            <v/>
          </cell>
        </row>
        <row r="156">
          <cell r="I156" t="str">
            <v>4.2 Field Panels (PM, PFC, …)</v>
          </cell>
        </row>
        <row r="157">
          <cell r="B157" t="str">
            <v>Low Level Control HW</v>
          </cell>
          <cell r="C157">
            <v>0</v>
          </cell>
          <cell r="D157">
            <v>4</v>
          </cell>
          <cell r="E157" t="str">
            <v>CU</v>
          </cell>
          <cell r="F157" t="str">
            <v>I_</v>
          </cell>
          <cell r="G157" t="str">
            <v>CC</v>
          </cell>
          <cell r="H157" t="str">
            <v>04-CU-I_-CC</v>
          </cell>
          <cell r="I157" t="str">
            <v>Field Panels: Field Control Panel PM</v>
          </cell>
          <cell r="J157" t="str">
            <v>221024_LTIA_Ph1_Z-4-CA-003_PLC_Material_Costs_Long Than_Tray_2022-10-06.xlsx</v>
          </cell>
          <cell r="L157" t="str">
            <v>Offshore:
GER
(MAT)</v>
          </cell>
          <cell r="M157" t="str">
            <v>S. Zenk</v>
          </cell>
          <cell r="N157">
            <v>44859</v>
          </cell>
          <cell r="O157" t="str">
            <v>WKC-A28051_03_22</v>
          </cell>
          <cell r="P157" t="str">
            <v>Siemens WKC</v>
          </cell>
          <cell r="Q157" t="str">
            <v>OSE</v>
          </cell>
          <cell r="R157" t="str">
            <v>Binding Quote</v>
          </cell>
          <cell r="T157">
            <v>292</v>
          </cell>
          <cell r="U157" t="str">
            <v>PC</v>
          </cell>
          <cell r="V157">
            <v>6460</v>
          </cell>
          <cell r="W157">
            <v>2</v>
          </cell>
          <cell r="X157" t="str">
            <v>EUR</v>
          </cell>
          <cell r="Y157" t="str">
            <v>German MGK 1</v>
          </cell>
          <cell r="Z157">
            <v>0</v>
          </cell>
          <cell r="AA157">
            <v>0</v>
          </cell>
          <cell r="AC157">
            <v>1886320</v>
          </cell>
          <cell r="AD157">
            <v>2006101.3199999998</v>
          </cell>
          <cell r="AF157">
            <v>0</v>
          </cell>
          <cell r="AH157">
            <v>2006101.3199999998</v>
          </cell>
          <cell r="AI157">
            <v>0.23709783177495308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2629565.6291911653</v>
          </cell>
          <cell r="AP157" t="str">
            <v>II</v>
          </cell>
          <cell r="AQ157" t="str">
            <v>CF.5</v>
          </cell>
        </row>
        <row r="158">
          <cell r="B158" t="str">
            <v>Low Level Control HW</v>
          </cell>
          <cell r="C158">
            <v>0</v>
          </cell>
          <cell r="D158">
            <v>4</v>
          </cell>
          <cell r="E158" t="str">
            <v>CU</v>
          </cell>
          <cell r="F158" t="str">
            <v>I_</v>
          </cell>
          <cell r="G158" t="str">
            <v>CE</v>
          </cell>
          <cell r="H158" t="str">
            <v>04-CU-I_-CE</v>
          </cell>
          <cell r="I158" t="str">
            <v>Field Panels: I/O Box Fire Door FB501</v>
          </cell>
          <cell r="Q158" t="str">
            <v>EXT</v>
          </cell>
          <cell r="R158" t="str">
            <v>Placeholder</v>
          </cell>
          <cell r="U158" t="str">
            <v>PC</v>
          </cell>
          <cell r="W158">
            <v>1</v>
          </cell>
          <cell r="X158" t="str">
            <v>USD</v>
          </cell>
          <cell r="Z158">
            <v>0</v>
          </cell>
          <cell r="AA158">
            <v>0</v>
          </cell>
          <cell r="AC158">
            <v>0</v>
          </cell>
          <cell r="AD158">
            <v>0</v>
          </cell>
          <cell r="AF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P158" t="str">
            <v>X</v>
          </cell>
          <cell r="AQ158" t="str">
            <v>CF.5</v>
          </cell>
        </row>
        <row r="159">
          <cell r="B159" t="str">
            <v>Low Level Control HW</v>
          </cell>
          <cell r="C159">
            <v>0</v>
          </cell>
          <cell r="D159">
            <v>4</v>
          </cell>
          <cell r="E159" t="str">
            <v>CU</v>
          </cell>
          <cell r="F159" t="str">
            <v>I_</v>
          </cell>
          <cell r="G159" t="str">
            <v>CE</v>
          </cell>
          <cell r="H159" t="str">
            <v>04-CU-I_-CE</v>
          </cell>
          <cell r="I159" t="str">
            <v>Field Panels: I/O Box X-Ray FB401</v>
          </cell>
          <cell r="Q159" t="str">
            <v>EXT</v>
          </cell>
          <cell r="R159" t="str">
            <v>Placeholder</v>
          </cell>
          <cell r="U159" t="str">
            <v>PC</v>
          </cell>
          <cell r="W159">
            <v>1</v>
          </cell>
          <cell r="X159" t="str">
            <v>USD</v>
          </cell>
          <cell r="Z159">
            <v>0</v>
          </cell>
          <cell r="AA159">
            <v>0</v>
          </cell>
          <cell r="AC159">
            <v>0</v>
          </cell>
          <cell r="AD159">
            <v>0</v>
          </cell>
          <cell r="AF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P159" t="str">
            <v>X</v>
          </cell>
          <cell r="AQ159" t="str">
            <v>CF.5</v>
          </cell>
        </row>
        <row r="160">
          <cell r="B160" t="str">
            <v>Low Level Control HW</v>
          </cell>
          <cell r="C160">
            <v>0</v>
          </cell>
          <cell r="D160">
            <v>4</v>
          </cell>
          <cell r="E160" t="str">
            <v>CU</v>
          </cell>
          <cell r="F160" t="str">
            <v>I_</v>
          </cell>
          <cell r="G160" t="str">
            <v>CE</v>
          </cell>
          <cell r="H160" t="str">
            <v>04-CU-I_-CE</v>
          </cell>
          <cell r="I160" t="str">
            <v>Tray Merge&amp;Diverter</v>
          </cell>
          <cell r="J160" t="str">
            <v>221024_LTIA_Ph1_Z-4-CA-003_PLC_Material_Costs_Long Than_Tray_2022-10-06.xlsx</v>
          </cell>
          <cell r="L160" t="str">
            <v>Offshore:
GER
(MAT)</v>
          </cell>
          <cell r="M160" t="str">
            <v>S. Zenk</v>
          </cell>
          <cell r="N160">
            <v>44859</v>
          </cell>
          <cell r="O160" t="str">
            <v>WKC-A28051_03_22</v>
          </cell>
          <cell r="P160" t="str">
            <v>Siemens WKC</v>
          </cell>
          <cell r="Q160" t="str">
            <v>EXT</v>
          </cell>
          <cell r="R160" t="str">
            <v>Placeholder</v>
          </cell>
          <cell r="T160">
            <v>239</v>
          </cell>
          <cell r="U160" t="str">
            <v>PC</v>
          </cell>
          <cell r="V160">
            <v>1914</v>
          </cell>
          <cell r="W160">
            <v>2</v>
          </cell>
          <cell r="X160" t="str">
            <v>EUR</v>
          </cell>
          <cell r="Y160" t="str">
            <v>German MGK 1</v>
          </cell>
          <cell r="Z160">
            <v>0</v>
          </cell>
          <cell r="AA160">
            <v>0</v>
          </cell>
          <cell r="AC160">
            <v>457446</v>
          </cell>
          <cell r="AD160">
            <v>486493.82099999994</v>
          </cell>
          <cell r="AF160">
            <v>0</v>
          </cell>
          <cell r="AH160">
            <v>486493.82099999994</v>
          </cell>
          <cell r="AI160">
            <v>0.23709783177495308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637688.34493139118</v>
          </cell>
          <cell r="AP160" t="str">
            <v>II</v>
          </cell>
          <cell r="AQ160" t="str">
            <v>CF.5</v>
          </cell>
        </row>
        <row r="161">
          <cell r="B161" t="str">
            <v>Low Level Control HW</v>
          </cell>
          <cell r="C161">
            <v>0</v>
          </cell>
          <cell r="D161">
            <v>4</v>
          </cell>
          <cell r="E161" t="str">
            <v>CU</v>
          </cell>
          <cell r="F161" t="str">
            <v>I_</v>
          </cell>
          <cell r="G161" t="str">
            <v>CE</v>
          </cell>
          <cell r="H161" t="str">
            <v>04-CU-I_-CE</v>
          </cell>
          <cell r="I161" t="str">
            <v>Step-Through Control Box &amp; PB Stations</v>
          </cell>
          <cell r="J161" t="str">
            <v>221024_LTIA_Ph1_Z-4-CA-003_PLC_Material_Costs_Long Than_Tray_2022-10-06.xlsx</v>
          </cell>
          <cell r="L161" t="str">
            <v>Offshore:
GER
(MAT)</v>
          </cell>
          <cell r="M161" t="str">
            <v>S. Zenk</v>
          </cell>
          <cell r="N161">
            <v>44859</v>
          </cell>
          <cell r="P161" t="str">
            <v>TBS4 Reference</v>
          </cell>
          <cell r="Q161" t="str">
            <v>EXT</v>
          </cell>
          <cell r="R161" t="str">
            <v>Estimate</v>
          </cell>
          <cell r="T161">
            <v>30</v>
          </cell>
          <cell r="U161" t="str">
            <v>PC</v>
          </cell>
          <cell r="V161">
            <v>1440</v>
          </cell>
          <cell r="W161">
            <v>2</v>
          </cell>
          <cell r="X161" t="str">
            <v>EUR</v>
          </cell>
          <cell r="Y161" t="str">
            <v>German MGK 1</v>
          </cell>
          <cell r="Z161">
            <v>0</v>
          </cell>
          <cell r="AA161">
            <v>0</v>
          </cell>
          <cell r="AC161">
            <v>43200</v>
          </cell>
          <cell r="AD161">
            <v>45943.199999999997</v>
          </cell>
          <cell r="AF161">
            <v>0</v>
          </cell>
          <cell r="AH161">
            <v>45943.199999999997</v>
          </cell>
          <cell r="AI161">
            <v>0.23709783177495308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60221.614138141114</v>
          </cell>
          <cell r="AP161" t="str">
            <v>II</v>
          </cell>
          <cell r="AQ161" t="str">
            <v>CF.5</v>
          </cell>
        </row>
        <row r="162">
          <cell r="B162" t="str">
            <v>Low Level Control HW</v>
          </cell>
          <cell r="C162">
            <v>0</v>
          </cell>
          <cell r="D162">
            <v>4</v>
          </cell>
          <cell r="E162" t="str">
            <v>CU</v>
          </cell>
          <cell r="F162" t="str">
            <v>I_</v>
          </cell>
          <cell r="G162" t="str">
            <v>CE</v>
          </cell>
          <cell r="H162" t="str">
            <v>04-CU-I_-CE</v>
          </cell>
          <cell r="I162" t="str">
            <v>Roller Inspection Box</v>
          </cell>
          <cell r="J162" t="str">
            <v>221024_LTIA_Ph1_Z-4-CA-003_PLC_Material_Costs_Long Than_Tray_2022-10-06.xlsx</v>
          </cell>
          <cell r="L162" t="str">
            <v>Offshore:
GER
(MAT)</v>
          </cell>
          <cell r="M162" t="str">
            <v>S. Zenk</v>
          </cell>
          <cell r="N162">
            <v>44859</v>
          </cell>
          <cell r="O162" t="str">
            <v>WKC-A22102_19</v>
          </cell>
          <cell r="P162" t="str">
            <v>Siemens WKC</v>
          </cell>
          <cell r="Q162" t="str">
            <v>EXT</v>
          </cell>
          <cell r="R162" t="str">
            <v>Estimate</v>
          </cell>
          <cell r="T162">
            <v>11</v>
          </cell>
          <cell r="U162" t="str">
            <v>PC</v>
          </cell>
          <cell r="V162">
            <v>940.8</v>
          </cell>
          <cell r="W162">
            <v>2</v>
          </cell>
          <cell r="X162" t="str">
            <v>EUR</v>
          </cell>
          <cell r="Y162" t="str">
            <v>German MGK 1</v>
          </cell>
          <cell r="Z162">
            <v>0</v>
          </cell>
          <cell r="AA162">
            <v>0</v>
          </cell>
          <cell r="AC162">
            <v>10348.799999999999</v>
          </cell>
          <cell r="AD162">
            <v>11005.948799999998</v>
          </cell>
          <cell r="AF162">
            <v>0</v>
          </cell>
          <cell r="AH162">
            <v>11005.948799999998</v>
          </cell>
          <cell r="AI162">
            <v>0.23709783177495308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14426.422231314691</v>
          </cell>
          <cell r="AP162" t="str">
            <v>II</v>
          </cell>
          <cell r="AQ162" t="str">
            <v>CF.5</v>
          </cell>
        </row>
        <row r="163">
          <cell r="B163" t="str">
            <v/>
          </cell>
          <cell r="H163" t="str">
            <v>--</v>
          </cell>
          <cell r="Q163" t="str">
            <v>EXT</v>
          </cell>
          <cell r="R163" t="str">
            <v>Placeholder</v>
          </cell>
          <cell r="W163">
            <v>1</v>
          </cell>
          <cell r="X163" t="str">
            <v>USD</v>
          </cell>
          <cell r="Z163">
            <v>0</v>
          </cell>
          <cell r="AA163">
            <v>0</v>
          </cell>
          <cell r="AC163">
            <v>0</v>
          </cell>
          <cell r="AD163">
            <v>0</v>
          </cell>
          <cell r="AF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P163" t="str">
            <v>X</v>
          </cell>
          <cell r="AQ163" t="str">
            <v/>
          </cell>
        </row>
        <row r="164">
          <cell r="B164" t="str">
            <v/>
          </cell>
          <cell r="H164" t="str">
            <v>--</v>
          </cell>
          <cell r="Q164" t="str">
            <v>EXT</v>
          </cell>
          <cell r="R164" t="str">
            <v>Placeholder</v>
          </cell>
          <cell r="W164">
            <v>1</v>
          </cell>
          <cell r="X164" t="str">
            <v>USD</v>
          </cell>
          <cell r="Z164">
            <v>0</v>
          </cell>
          <cell r="AA164">
            <v>0</v>
          </cell>
          <cell r="AC164">
            <v>0</v>
          </cell>
          <cell r="AD164">
            <v>0</v>
          </cell>
          <cell r="AF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P164" t="str">
            <v>X</v>
          </cell>
          <cell r="AQ164" t="str">
            <v/>
          </cell>
        </row>
        <row r="165">
          <cell r="I165" t="str">
            <v>4.3 Smart Units</v>
          </cell>
        </row>
        <row r="166">
          <cell r="B166" t="str">
            <v>Low Level Control HW</v>
          </cell>
          <cell r="C166">
            <v>0</v>
          </cell>
          <cell r="D166">
            <v>4</v>
          </cell>
          <cell r="E166" t="str">
            <v>CV</v>
          </cell>
          <cell r="F166" t="str">
            <v>I7</v>
          </cell>
          <cell r="G166" t="str">
            <v>01</v>
          </cell>
          <cell r="H166" t="str">
            <v>04-CV-I7-01</v>
          </cell>
          <cell r="I166" t="str">
            <v>Smart Units: S-, C- Lift (Panel, Field Devices, …)</v>
          </cell>
          <cell r="Q166" t="str">
            <v>EXT</v>
          </cell>
          <cell r="R166" t="str">
            <v>Placeholder</v>
          </cell>
          <cell r="U166" t="str">
            <v>PC</v>
          </cell>
          <cell r="W166">
            <v>1</v>
          </cell>
          <cell r="X166" t="str">
            <v>USD</v>
          </cell>
          <cell r="Z166">
            <v>0</v>
          </cell>
          <cell r="AA166">
            <v>0</v>
          </cell>
          <cell r="AC166">
            <v>0</v>
          </cell>
          <cell r="AD166">
            <v>0</v>
          </cell>
          <cell r="AF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P166" t="str">
            <v>X</v>
          </cell>
          <cell r="AQ166" t="str">
            <v>CF.5</v>
          </cell>
        </row>
        <row r="167">
          <cell r="B167" t="str">
            <v>Low Level Control HW</v>
          </cell>
          <cell r="C167">
            <v>0</v>
          </cell>
          <cell r="D167">
            <v>4</v>
          </cell>
          <cell r="E167" t="str">
            <v>CV</v>
          </cell>
          <cell r="F167" t="str">
            <v>I7</v>
          </cell>
          <cell r="G167" t="str">
            <v>02</v>
          </cell>
          <cell r="H167" t="str">
            <v>04-CV-I7-02</v>
          </cell>
          <cell r="I167" t="str">
            <v xml:space="preserve">Smart Units: Lift (Panel, Field Devices, …) </v>
          </cell>
          <cell r="Q167" t="str">
            <v>EXT</v>
          </cell>
          <cell r="R167" t="str">
            <v>Placeholder</v>
          </cell>
          <cell r="U167" t="str">
            <v>PC</v>
          </cell>
          <cell r="W167">
            <v>1</v>
          </cell>
          <cell r="X167" t="str">
            <v>USD</v>
          </cell>
          <cell r="Z167">
            <v>0</v>
          </cell>
          <cell r="AA167">
            <v>0</v>
          </cell>
          <cell r="AC167">
            <v>0</v>
          </cell>
          <cell r="AD167">
            <v>0</v>
          </cell>
          <cell r="AF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P167" t="str">
            <v>X</v>
          </cell>
          <cell r="AQ167" t="str">
            <v>CF.5</v>
          </cell>
        </row>
        <row r="168">
          <cell r="B168" t="str">
            <v>Low Level Control HW</v>
          </cell>
          <cell r="C168">
            <v>0</v>
          </cell>
          <cell r="D168">
            <v>4</v>
          </cell>
          <cell r="E168" t="str">
            <v>CV</v>
          </cell>
          <cell r="F168" t="str">
            <v>IS</v>
          </cell>
          <cell r="G168" t="str">
            <v>01</v>
          </cell>
          <cell r="H168" t="str">
            <v>04-CV-IS-01</v>
          </cell>
          <cell r="I168" t="str">
            <v>Smart Units: Stacker (Panel, Field Devices, …)</v>
          </cell>
          <cell r="J168" t="str">
            <v>221024_LTIA_Ph1_Z-4-CA-003_PLC_Material_Costs_Long Than_Tray_2022-10-06.xlsx</v>
          </cell>
          <cell r="L168" t="str">
            <v>Offshore:
GER
(MAT)</v>
          </cell>
          <cell r="M168" t="str">
            <v>S. Zenk</v>
          </cell>
          <cell r="N168">
            <v>44859</v>
          </cell>
          <cell r="O168" t="str">
            <v>WKC-A28051_03_22</v>
          </cell>
          <cell r="P168" t="str">
            <v>Siemens WKC</v>
          </cell>
          <cell r="Q168" t="str">
            <v>OSE</v>
          </cell>
          <cell r="R168" t="str">
            <v>Binding Quote</v>
          </cell>
          <cell r="T168">
            <v>12</v>
          </cell>
          <cell r="U168" t="str">
            <v>PC</v>
          </cell>
          <cell r="V168">
            <v>10971</v>
          </cell>
          <cell r="W168">
            <v>2</v>
          </cell>
          <cell r="X168" t="str">
            <v>EUR</v>
          </cell>
          <cell r="Y168" t="str">
            <v>German MGK 1</v>
          </cell>
          <cell r="Z168">
            <v>0</v>
          </cell>
          <cell r="AA168">
            <v>0</v>
          </cell>
          <cell r="AC168">
            <v>131652</v>
          </cell>
          <cell r="AD168">
            <v>140011.90199999997</v>
          </cell>
          <cell r="AF168">
            <v>0</v>
          </cell>
          <cell r="AH168">
            <v>140011.90199999997</v>
          </cell>
          <cell r="AI168">
            <v>0.23709783177495308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183525.369085985</v>
          </cell>
          <cell r="AP168" t="str">
            <v>II</v>
          </cell>
          <cell r="AQ168" t="str">
            <v>CF.5</v>
          </cell>
        </row>
        <row r="169">
          <cell r="B169" t="str">
            <v>Low Level Control HW</v>
          </cell>
          <cell r="C169">
            <v>0</v>
          </cell>
          <cell r="D169">
            <v>4</v>
          </cell>
          <cell r="E169" t="str">
            <v>CV</v>
          </cell>
          <cell r="F169" t="str">
            <v>IS</v>
          </cell>
          <cell r="G169" t="str">
            <v>02</v>
          </cell>
          <cell r="H169" t="str">
            <v>04-CV-IS-02</v>
          </cell>
          <cell r="I169" t="str">
            <v>Smart Units: Line Stacker (Panel, Field Devices, …)</v>
          </cell>
          <cell r="Q169" t="str">
            <v>EXT</v>
          </cell>
          <cell r="R169" t="str">
            <v>Placeholder</v>
          </cell>
          <cell r="U169" t="str">
            <v>PC</v>
          </cell>
          <cell r="W169">
            <v>1</v>
          </cell>
          <cell r="X169" t="str">
            <v>USD</v>
          </cell>
          <cell r="Z169">
            <v>0</v>
          </cell>
          <cell r="AA169">
            <v>0</v>
          </cell>
          <cell r="AC169">
            <v>0</v>
          </cell>
          <cell r="AD169">
            <v>0</v>
          </cell>
          <cell r="AF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P169" t="str">
            <v>X</v>
          </cell>
          <cell r="AQ169" t="str">
            <v>CF.5</v>
          </cell>
        </row>
        <row r="170">
          <cell r="B170" t="str">
            <v>Low Level Control HW</v>
          </cell>
          <cell r="C170">
            <v>0</v>
          </cell>
          <cell r="D170">
            <v>4</v>
          </cell>
          <cell r="E170" t="str">
            <v>CV</v>
          </cell>
          <cell r="F170" t="str">
            <v>IS</v>
          </cell>
          <cell r="G170" t="str">
            <v>04</v>
          </cell>
          <cell r="H170" t="str">
            <v>04-CV-IS-04</v>
          </cell>
          <cell r="I170" t="str">
            <v>Smart Units: Tilter (Panel, Field Devices, …)</v>
          </cell>
          <cell r="Q170" t="str">
            <v>EXT</v>
          </cell>
          <cell r="R170" t="str">
            <v>Placeholder</v>
          </cell>
          <cell r="U170" t="str">
            <v>PC</v>
          </cell>
          <cell r="W170">
            <v>1</v>
          </cell>
          <cell r="X170" t="str">
            <v>USD</v>
          </cell>
          <cell r="Z170">
            <v>0</v>
          </cell>
          <cell r="AA170">
            <v>0</v>
          </cell>
          <cell r="AC170">
            <v>0</v>
          </cell>
          <cell r="AD170">
            <v>0</v>
          </cell>
          <cell r="AF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P170" t="str">
            <v>X</v>
          </cell>
          <cell r="AQ170" t="str">
            <v>CF.5</v>
          </cell>
        </row>
        <row r="171">
          <cell r="B171" t="str">
            <v>Low Level Control HW</v>
          </cell>
          <cell r="C171">
            <v>0</v>
          </cell>
          <cell r="D171">
            <v>4</v>
          </cell>
          <cell r="E171" t="str">
            <v>CV</v>
          </cell>
          <cell r="F171" t="str">
            <v>IS</v>
          </cell>
          <cell r="G171" t="str">
            <v>05</v>
          </cell>
          <cell r="H171" t="str">
            <v>04-CV-IS-05</v>
          </cell>
          <cell r="I171" t="str">
            <v>Smart Units: Tilter (Panel, Field Devices, …)</v>
          </cell>
          <cell r="J171" t="str">
            <v>221024_LTIA_Ph1_Z-4-CA-003_PLC_Material_Costs_Long Than_Tray_2022-10-06.xlsx</v>
          </cell>
          <cell r="L171" t="str">
            <v>Offshore:
GER
(MAT)</v>
          </cell>
          <cell r="M171" t="str">
            <v>S. Zenk</v>
          </cell>
          <cell r="N171">
            <v>44859</v>
          </cell>
          <cell r="O171" t="str">
            <v>WKC-A28051_03_22</v>
          </cell>
          <cell r="P171" t="str">
            <v>Siemens WKC</v>
          </cell>
          <cell r="Q171" t="str">
            <v>OSE</v>
          </cell>
          <cell r="R171" t="str">
            <v>Binding Quote</v>
          </cell>
          <cell r="T171">
            <v>42</v>
          </cell>
          <cell r="U171" t="str">
            <v>PC</v>
          </cell>
          <cell r="V171">
            <v>10103</v>
          </cell>
          <cell r="W171">
            <v>2</v>
          </cell>
          <cell r="X171" t="str">
            <v>EUR</v>
          </cell>
          <cell r="Y171" t="str">
            <v>German MGK 1</v>
          </cell>
          <cell r="Z171">
            <v>0</v>
          </cell>
          <cell r="AA171">
            <v>0</v>
          </cell>
          <cell r="AC171">
            <v>424326</v>
          </cell>
          <cell r="AD171">
            <v>451270.70099999994</v>
          </cell>
          <cell r="AF171">
            <v>0</v>
          </cell>
          <cell r="AH171">
            <v>451270.70099999994</v>
          </cell>
          <cell r="AI171">
            <v>0.23709783177495308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591518.44075881632</v>
          </cell>
          <cell r="AP171" t="str">
            <v>II</v>
          </cell>
          <cell r="AQ171" t="str">
            <v>CF.5</v>
          </cell>
        </row>
        <row r="172">
          <cell r="B172" t="str">
            <v>Low Level Control HW</v>
          </cell>
          <cell r="C172">
            <v>0</v>
          </cell>
          <cell r="D172">
            <v>4</v>
          </cell>
          <cell r="E172" t="str">
            <v>CV</v>
          </cell>
          <cell r="F172" t="str">
            <v>IS</v>
          </cell>
          <cell r="G172" t="str">
            <v>06</v>
          </cell>
          <cell r="H172" t="str">
            <v>04-CV-IS-06</v>
          </cell>
          <cell r="I172" t="str">
            <v>Smart Units: Smart Tilter (Panel, Field Devices, …)</v>
          </cell>
          <cell r="Q172" t="str">
            <v>EXT</v>
          </cell>
          <cell r="R172" t="str">
            <v>Placeholder</v>
          </cell>
          <cell r="U172" t="str">
            <v>PC</v>
          </cell>
          <cell r="W172">
            <v>1</v>
          </cell>
          <cell r="X172" t="str">
            <v>USD</v>
          </cell>
          <cell r="Z172">
            <v>0</v>
          </cell>
          <cell r="AA172">
            <v>0</v>
          </cell>
          <cell r="AC172">
            <v>0</v>
          </cell>
          <cell r="AD172">
            <v>0</v>
          </cell>
          <cell r="AF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P172" t="str">
            <v>X</v>
          </cell>
          <cell r="AQ172" t="str">
            <v>CF.5</v>
          </cell>
        </row>
        <row r="173">
          <cell r="B173" t="str">
            <v/>
          </cell>
          <cell r="H173" t="str">
            <v>--</v>
          </cell>
          <cell r="Q173" t="str">
            <v>EXT</v>
          </cell>
          <cell r="R173" t="str">
            <v>Placeholder</v>
          </cell>
          <cell r="W173">
            <v>1</v>
          </cell>
          <cell r="X173" t="str">
            <v>USD</v>
          </cell>
          <cell r="Z173">
            <v>0</v>
          </cell>
          <cell r="AA173">
            <v>0</v>
          </cell>
          <cell r="AC173">
            <v>0</v>
          </cell>
          <cell r="AD173">
            <v>0</v>
          </cell>
          <cell r="AF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P173" t="str">
            <v>X</v>
          </cell>
          <cell r="AQ173" t="str">
            <v/>
          </cell>
        </row>
        <row r="174">
          <cell r="B174" t="str">
            <v/>
          </cell>
          <cell r="H174" t="str">
            <v>--</v>
          </cell>
          <cell r="Q174" t="str">
            <v>EXT</v>
          </cell>
          <cell r="R174" t="str">
            <v>Placeholder</v>
          </cell>
          <cell r="W174">
            <v>1</v>
          </cell>
          <cell r="X174" t="str">
            <v>USD</v>
          </cell>
          <cell r="Z174">
            <v>0</v>
          </cell>
          <cell r="AA174">
            <v>0</v>
          </cell>
          <cell r="AC174">
            <v>0</v>
          </cell>
          <cell r="AD174">
            <v>0</v>
          </cell>
          <cell r="AF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P174" t="str">
            <v>X</v>
          </cell>
          <cell r="AQ174" t="str">
            <v/>
          </cell>
        </row>
        <row r="175">
          <cell r="I175" t="str">
            <v>4.4 Drive Control</v>
          </cell>
        </row>
        <row r="176">
          <cell r="B176" t="str">
            <v>Low Level Control HW</v>
          </cell>
          <cell r="C176">
            <v>0</v>
          </cell>
          <cell r="D176">
            <v>4</v>
          </cell>
          <cell r="E176" t="str">
            <v>CC</v>
          </cell>
          <cell r="F176" t="str">
            <v>I_</v>
          </cell>
          <cell r="G176" t="str">
            <v>QA</v>
          </cell>
          <cell r="H176" t="str">
            <v>04-CC-I_-QA</v>
          </cell>
          <cell r="I176" t="str">
            <v>VFD: G110D 0,75kW</v>
          </cell>
          <cell r="Q176" t="str">
            <v>EXT</v>
          </cell>
          <cell r="R176" t="str">
            <v>Placeholder</v>
          </cell>
          <cell r="U176" t="str">
            <v>PC</v>
          </cell>
          <cell r="W176">
            <v>1</v>
          </cell>
          <cell r="X176" t="str">
            <v>USD</v>
          </cell>
          <cell r="Z176">
            <v>0</v>
          </cell>
          <cell r="AA176">
            <v>0</v>
          </cell>
          <cell r="AC176">
            <v>0</v>
          </cell>
          <cell r="AD176">
            <v>0</v>
          </cell>
          <cell r="AF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P176" t="str">
            <v>X</v>
          </cell>
          <cell r="AQ176" t="str">
            <v>CF.5</v>
          </cell>
        </row>
        <row r="177">
          <cell r="B177" t="str">
            <v>Low Level Control HW</v>
          </cell>
          <cell r="C177">
            <v>0</v>
          </cell>
          <cell r="D177">
            <v>4</v>
          </cell>
          <cell r="E177" t="str">
            <v>CC</v>
          </cell>
          <cell r="F177" t="str">
            <v>I_</v>
          </cell>
          <cell r="G177" t="str">
            <v>QA</v>
          </cell>
          <cell r="H177" t="str">
            <v>04-CC-I_-QA</v>
          </cell>
          <cell r="I177" t="str">
            <v>VFD: G110D 1,5kW</v>
          </cell>
          <cell r="Q177" t="str">
            <v>EXT</v>
          </cell>
          <cell r="R177" t="str">
            <v>Placeholder</v>
          </cell>
          <cell r="U177" t="str">
            <v>PC</v>
          </cell>
          <cell r="W177">
            <v>1</v>
          </cell>
          <cell r="X177" t="str">
            <v>USD</v>
          </cell>
          <cell r="Z177">
            <v>0</v>
          </cell>
          <cell r="AA177">
            <v>0</v>
          </cell>
          <cell r="AC177">
            <v>0</v>
          </cell>
          <cell r="AD177">
            <v>0</v>
          </cell>
          <cell r="AF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P177" t="str">
            <v>X</v>
          </cell>
          <cell r="AQ177" t="str">
            <v>CF.5</v>
          </cell>
        </row>
        <row r="178">
          <cell r="B178" t="str">
            <v>Low Level Control HW</v>
          </cell>
          <cell r="C178">
            <v>0</v>
          </cell>
          <cell r="D178">
            <v>4</v>
          </cell>
          <cell r="E178" t="str">
            <v>CC</v>
          </cell>
          <cell r="F178" t="str">
            <v>I_</v>
          </cell>
          <cell r="G178" t="str">
            <v>QA</v>
          </cell>
          <cell r="H178" t="str">
            <v>04-CC-I_-QA</v>
          </cell>
          <cell r="I178" t="str">
            <v>VFD: G110D 3kW</v>
          </cell>
          <cell r="Q178" t="str">
            <v>EXT</v>
          </cell>
          <cell r="R178" t="str">
            <v>Placeholder</v>
          </cell>
          <cell r="U178" t="str">
            <v>PC</v>
          </cell>
          <cell r="W178">
            <v>1</v>
          </cell>
          <cell r="X178" t="str">
            <v>USD</v>
          </cell>
          <cell r="Z178">
            <v>0</v>
          </cell>
          <cell r="AA178">
            <v>0</v>
          </cell>
          <cell r="AC178">
            <v>0</v>
          </cell>
          <cell r="AD178">
            <v>0</v>
          </cell>
          <cell r="AF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P178" t="str">
            <v>X</v>
          </cell>
          <cell r="AQ178" t="str">
            <v>CF.5</v>
          </cell>
        </row>
        <row r="179">
          <cell r="B179" t="str">
            <v>Low Level Control HW</v>
          </cell>
          <cell r="C179">
            <v>0</v>
          </cell>
          <cell r="D179">
            <v>4</v>
          </cell>
          <cell r="E179" t="str">
            <v>CC</v>
          </cell>
          <cell r="F179" t="str">
            <v>I_</v>
          </cell>
          <cell r="G179" t="str">
            <v>QA</v>
          </cell>
          <cell r="H179" t="str">
            <v>04-CC-I_-QA</v>
          </cell>
          <cell r="I179" t="str">
            <v>VFD: G110D 4kW</v>
          </cell>
          <cell r="Q179" t="str">
            <v>EXT</v>
          </cell>
          <cell r="R179" t="str">
            <v>Placeholder</v>
          </cell>
          <cell r="U179" t="str">
            <v>PC</v>
          </cell>
          <cell r="W179">
            <v>1</v>
          </cell>
          <cell r="X179" t="str">
            <v>USD</v>
          </cell>
          <cell r="Z179">
            <v>0</v>
          </cell>
          <cell r="AA179">
            <v>0</v>
          </cell>
          <cell r="AC179">
            <v>0</v>
          </cell>
          <cell r="AD179">
            <v>0</v>
          </cell>
          <cell r="AF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P179" t="str">
            <v>X</v>
          </cell>
          <cell r="AQ179" t="str">
            <v>CF.5</v>
          </cell>
        </row>
        <row r="180">
          <cell r="B180" t="str">
            <v>Low Level Control HW</v>
          </cell>
          <cell r="C180">
            <v>0</v>
          </cell>
          <cell r="D180">
            <v>4</v>
          </cell>
          <cell r="E180" t="str">
            <v>CC</v>
          </cell>
          <cell r="F180" t="str">
            <v>I_</v>
          </cell>
          <cell r="G180" t="str">
            <v>QA</v>
          </cell>
          <cell r="H180" t="str">
            <v>04-CC-I_-QA</v>
          </cell>
          <cell r="I180" t="str">
            <v>VFD: G110D 5,5kW</v>
          </cell>
          <cell r="Q180" t="str">
            <v>EXT</v>
          </cell>
          <cell r="R180" t="str">
            <v>Placeholder</v>
          </cell>
          <cell r="U180" t="str">
            <v>PC</v>
          </cell>
          <cell r="W180">
            <v>1</v>
          </cell>
          <cell r="X180" t="str">
            <v>USD</v>
          </cell>
          <cell r="Z180">
            <v>0</v>
          </cell>
          <cell r="AA180">
            <v>0</v>
          </cell>
          <cell r="AC180">
            <v>0</v>
          </cell>
          <cell r="AD180">
            <v>0</v>
          </cell>
          <cell r="AF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P180" t="str">
            <v>X</v>
          </cell>
          <cell r="AQ180" t="str">
            <v>CF.5</v>
          </cell>
        </row>
        <row r="181">
          <cell r="B181" t="str">
            <v>Low Level Control HW</v>
          </cell>
          <cell r="C181">
            <v>0</v>
          </cell>
          <cell r="D181">
            <v>4</v>
          </cell>
          <cell r="E181" t="str">
            <v>CC</v>
          </cell>
          <cell r="F181" t="str">
            <v>I_</v>
          </cell>
          <cell r="G181" t="str">
            <v>QA</v>
          </cell>
          <cell r="H181" t="str">
            <v>04-CC-I_-QA</v>
          </cell>
          <cell r="I181" t="str">
            <v>VFD: G110D 7,5kW</v>
          </cell>
          <cell r="Q181" t="str">
            <v>EXT</v>
          </cell>
          <cell r="R181" t="str">
            <v>Placeholder</v>
          </cell>
          <cell r="U181" t="str">
            <v>PC</v>
          </cell>
          <cell r="W181">
            <v>1</v>
          </cell>
          <cell r="X181" t="str">
            <v>USD</v>
          </cell>
          <cell r="Z181">
            <v>0</v>
          </cell>
          <cell r="AA181">
            <v>0</v>
          </cell>
          <cell r="AC181">
            <v>0</v>
          </cell>
          <cell r="AD181">
            <v>0</v>
          </cell>
          <cell r="AF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P181" t="str">
            <v>X</v>
          </cell>
          <cell r="AQ181" t="str">
            <v>CF.5</v>
          </cell>
        </row>
        <row r="182">
          <cell r="B182" t="str">
            <v>Low Level Control HW</v>
          </cell>
          <cell r="C182">
            <v>0</v>
          </cell>
          <cell r="D182">
            <v>4</v>
          </cell>
          <cell r="E182" t="str">
            <v>CC</v>
          </cell>
          <cell r="F182" t="str">
            <v>I_</v>
          </cell>
          <cell r="G182" t="str">
            <v>QA</v>
          </cell>
          <cell r="H182" t="str">
            <v>04-CC-I_-QA</v>
          </cell>
          <cell r="I182" t="str">
            <v>VFD: G115D WM FSA PN CON 0,75kW</v>
          </cell>
          <cell r="J182" t="str">
            <v>221024_LTIA_Ph1_Z-4-CA-003_PLC_Material_Costs_Long Than_Tray_2022-10-06.xlsx</v>
          </cell>
          <cell r="L182" t="str">
            <v>Offshore:
GER
(MAT)</v>
          </cell>
          <cell r="M182" t="str">
            <v>S. Zenk</v>
          </cell>
          <cell r="N182">
            <v>44859</v>
          </cell>
          <cell r="P182" t="str">
            <v>Siemens</v>
          </cell>
          <cell r="Q182" t="str">
            <v>OSE</v>
          </cell>
          <cell r="R182" t="str">
            <v>Binding Quote</v>
          </cell>
          <cell r="T182">
            <v>1163</v>
          </cell>
          <cell r="U182" t="str">
            <v>PC</v>
          </cell>
          <cell r="V182">
            <v>521.95000000000005</v>
          </cell>
          <cell r="W182">
            <v>2</v>
          </cell>
          <cell r="X182" t="str">
            <v>EUR</v>
          </cell>
          <cell r="Y182" t="str">
            <v>German MGK 1</v>
          </cell>
          <cell r="Z182">
            <v>0</v>
          </cell>
          <cell r="AA182">
            <v>0</v>
          </cell>
          <cell r="AC182">
            <v>607027.85000000009</v>
          </cell>
          <cell r="AD182">
            <v>645574.11847500002</v>
          </cell>
          <cell r="AF182">
            <v>0</v>
          </cell>
          <cell r="AH182">
            <v>645574.11847500002</v>
          </cell>
          <cell r="AI182">
            <v>0.23709783177495308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846208.26281956956</v>
          </cell>
          <cell r="AP182" t="str">
            <v>II</v>
          </cell>
          <cell r="AQ182" t="str">
            <v>CF.5</v>
          </cell>
        </row>
        <row r="183">
          <cell r="B183" t="str">
            <v>Low Level Control HW</v>
          </cell>
          <cell r="C183">
            <v>0</v>
          </cell>
          <cell r="D183">
            <v>4</v>
          </cell>
          <cell r="E183" t="str">
            <v>CC</v>
          </cell>
          <cell r="F183" t="str">
            <v>I_</v>
          </cell>
          <cell r="G183" t="str">
            <v>QA</v>
          </cell>
          <cell r="H183" t="str">
            <v>04-CC-I_-QA</v>
          </cell>
          <cell r="I183" t="str">
            <v>VFD: G115D WM FSA PN CON 1,1kW</v>
          </cell>
          <cell r="J183" t="str">
            <v>221024_LTIA_Ph1_Z-4-CA-003_PLC_Material_Costs_Long Than_Tray_2022-10-06.xlsx</v>
          </cell>
          <cell r="L183" t="str">
            <v>Offshore:
GER
(MAT)</v>
          </cell>
          <cell r="M183" t="str">
            <v>S. Zenk</v>
          </cell>
          <cell r="N183">
            <v>44859</v>
          </cell>
          <cell r="P183" t="str">
            <v>Siemens</v>
          </cell>
          <cell r="Q183" t="str">
            <v>OSE</v>
          </cell>
          <cell r="R183" t="str">
            <v>Binding Quote</v>
          </cell>
          <cell r="T183">
            <v>2165</v>
          </cell>
          <cell r="U183" t="str">
            <v>PC</v>
          </cell>
          <cell r="V183">
            <v>552.54999999999995</v>
          </cell>
          <cell r="W183">
            <v>2</v>
          </cell>
          <cell r="X183" t="str">
            <v>EUR</v>
          </cell>
          <cell r="Y183" t="str">
            <v>German MGK 1</v>
          </cell>
          <cell r="Z183">
            <v>0</v>
          </cell>
          <cell r="AA183">
            <v>0</v>
          </cell>
          <cell r="AC183">
            <v>1196270.75</v>
          </cell>
          <cell r="AD183">
            <v>1272233.9426249999</v>
          </cell>
          <cell r="AF183">
            <v>0</v>
          </cell>
          <cell r="AH183">
            <v>1272233.9426249999</v>
          </cell>
          <cell r="AI183">
            <v>0.23709783177495308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1667623.9701677007</v>
          </cell>
          <cell r="AP183" t="str">
            <v>II</v>
          </cell>
          <cell r="AQ183" t="str">
            <v>CF.5</v>
          </cell>
        </row>
        <row r="184">
          <cell r="B184" t="str">
            <v>Low Level Control HW</v>
          </cell>
          <cell r="C184">
            <v>0</v>
          </cell>
          <cell r="D184">
            <v>4</v>
          </cell>
          <cell r="E184" t="str">
            <v>CC</v>
          </cell>
          <cell r="F184" t="str">
            <v>I_</v>
          </cell>
          <cell r="G184" t="str">
            <v>QA</v>
          </cell>
          <cell r="H184" t="str">
            <v>04-CC-I_-QA</v>
          </cell>
          <cell r="I184" t="str">
            <v>VFD: G115D WM FSA PN CON 1,5kW</v>
          </cell>
          <cell r="J184" t="str">
            <v>221024_LTIA_Ph1_Z-4-CA-003_PLC_Material_Costs_Long Than_Tray_2022-10-06.xlsx</v>
          </cell>
          <cell r="L184" t="str">
            <v>Offshore:
GER
(MAT)</v>
          </cell>
          <cell r="M184" t="str">
            <v>S. Zenk</v>
          </cell>
          <cell r="N184">
            <v>44859</v>
          </cell>
          <cell r="P184" t="str">
            <v>Siemens</v>
          </cell>
          <cell r="Q184" t="str">
            <v>OSE</v>
          </cell>
          <cell r="R184" t="str">
            <v>Binding Quote</v>
          </cell>
          <cell r="T184">
            <v>669</v>
          </cell>
          <cell r="U184" t="str">
            <v>PC</v>
          </cell>
          <cell r="V184">
            <v>583.16</v>
          </cell>
          <cell r="W184">
            <v>2</v>
          </cell>
          <cell r="X184" t="str">
            <v>EUR</v>
          </cell>
          <cell r="Y184" t="str">
            <v>German MGK 1</v>
          </cell>
          <cell r="Z184">
            <v>0</v>
          </cell>
          <cell r="AA184">
            <v>0</v>
          </cell>
          <cell r="AC184">
            <v>390134.04</v>
          </cell>
          <cell r="AD184">
            <v>414907.55153999996</v>
          </cell>
          <cell r="AF184">
            <v>0</v>
          </cell>
          <cell r="AH184">
            <v>414907.55153999996</v>
          </cell>
          <cell r="AI184">
            <v>0.23709783177495308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543854.20414430811</v>
          </cell>
          <cell r="AP184" t="str">
            <v>II</v>
          </cell>
          <cell r="AQ184" t="str">
            <v>CF.5</v>
          </cell>
        </row>
        <row r="185">
          <cell r="B185" t="str">
            <v>Low Level Control HW</v>
          </cell>
          <cell r="C185">
            <v>0</v>
          </cell>
          <cell r="D185">
            <v>4</v>
          </cell>
          <cell r="E185" t="str">
            <v>CC</v>
          </cell>
          <cell r="F185" t="str">
            <v>I_</v>
          </cell>
          <cell r="G185" t="str">
            <v>QA</v>
          </cell>
          <cell r="H185" t="str">
            <v>04-CC-I_-QA</v>
          </cell>
          <cell r="I185" t="str">
            <v>VFD: G115D WM FSB PN CON 2,2kW</v>
          </cell>
          <cell r="J185" t="str">
            <v>221024_LTIA_Ph1_Z-4-CA-003_PLC_Material_Costs_Long Than_Tray_2022-10-06.xlsx</v>
          </cell>
          <cell r="L185" t="str">
            <v>Offshore:
GER
(MAT)</v>
          </cell>
          <cell r="M185" t="str">
            <v>S. Zenk</v>
          </cell>
          <cell r="N185">
            <v>44859</v>
          </cell>
          <cell r="P185" t="str">
            <v>Siemens</v>
          </cell>
          <cell r="Q185" t="str">
            <v>OSE</v>
          </cell>
          <cell r="R185" t="str">
            <v>Binding Quote</v>
          </cell>
          <cell r="T185">
            <v>517</v>
          </cell>
          <cell r="U185" t="str">
            <v>PC</v>
          </cell>
          <cell r="V185">
            <v>648.98</v>
          </cell>
          <cell r="W185">
            <v>2</v>
          </cell>
          <cell r="X185" t="str">
            <v>EUR</v>
          </cell>
          <cell r="Y185" t="str">
            <v>German MGK 1</v>
          </cell>
          <cell r="Z185">
            <v>0</v>
          </cell>
          <cell r="AA185">
            <v>0</v>
          </cell>
          <cell r="AC185">
            <v>335522.66000000003</v>
          </cell>
          <cell r="AD185">
            <v>356828.34891</v>
          </cell>
          <cell r="AF185">
            <v>0</v>
          </cell>
          <cell r="AH185">
            <v>356828.34891</v>
          </cell>
          <cell r="AI185">
            <v>0.23709783177495308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467724.91122969246</v>
          </cell>
          <cell r="AP185" t="str">
            <v>II</v>
          </cell>
          <cell r="AQ185" t="str">
            <v>CF.5</v>
          </cell>
        </row>
        <row r="186">
          <cell r="B186" t="str">
            <v>Low Level Control HW</v>
          </cell>
          <cell r="C186">
            <v>0</v>
          </cell>
          <cell r="D186">
            <v>4</v>
          </cell>
          <cell r="E186" t="str">
            <v>CC</v>
          </cell>
          <cell r="F186" t="str">
            <v>I_</v>
          </cell>
          <cell r="G186" t="str">
            <v>QA</v>
          </cell>
          <cell r="H186" t="str">
            <v>04-CC-I_-QA</v>
          </cell>
          <cell r="I186" t="str">
            <v>VFD: G115D WM FSB PN CON 3,0kW</v>
          </cell>
          <cell r="J186" t="str">
            <v>221024_LTIA_Ph1_Z-4-CA-003_PLC_Material_Costs_Long Than_Tray_2022-10-06.xlsx</v>
          </cell>
          <cell r="L186" t="str">
            <v>Offshore:
GER
(MAT)</v>
          </cell>
          <cell r="M186" t="str">
            <v>S. Zenk</v>
          </cell>
          <cell r="N186">
            <v>44859</v>
          </cell>
          <cell r="P186" t="str">
            <v>Siemens</v>
          </cell>
          <cell r="Q186" t="str">
            <v>OSE</v>
          </cell>
          <cell r="R186" t="str">
            <v>Binding Quote</v>
          </cell>
          <cell r="T186">
            <v>134</v>
          </cell>
          <cell r="U186" t="str">
            <v>PC</v>
          </cell>
          <cell r="V186">
            <v>703.12</v>
          </cell>
          <cell r="W186">
            <v>2</v>
          </cell>
          <cell r="X186" t="str">
            <v>EUR</v>
          </cell>
          <cell r="Y186" t="str">
            <v>German MGK 1</v>
          </cell>
          <cell r="Z186">
            <v>0</v>
          </cell>
          <cell r="AA186">
            <v>0</v>
          </cell>
          <cell r="AC186">
            <v>94218.08</v>
          </cell>
          <cell r="AD186">
            <v>100200.92808</v>
          </cell>
          <cell r="AF186">
            <v>0</v>
          </cell>
          <cell r="AH186">
            <v>100200.92808</v>
          </cell>
          <cell r="AI186">
            <v>0.23709783177495308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131341.77913417848</v>
          </cell>
          <cell r="AP186" t="str">
            <v>II</v>
          </cell>
          <cell r="AQ186" t="str">
            <v>CF.5</v>
          </cell>
        </row>
        <row r="187">
          <cell r="B187" t="str">
            <v>Low Level Control HW</v>
          </cell>
          <cell r="C187">
            <v>0</v>
          </cell>
          <cell r="D187">
            <v>4</v>
          </cell>
          <cell r="E187" t="str">
            <v>CC</v>
          </cell>
          <cell r="F187" t="str">
            <v>I_</v>
          </cell>
          <cell r="G187" t="str">
            <v>QA</v>
          </cell>
          <cell r="H187" t="str">
            <v>04-CC-I_-QA</v>
          </cell>
          <cell r="I187" t="str">
            <v>VFD: G115D WM FSB PN CON 4,0kW</v>
          </cell>
          <cell r="J187" t="str">
            <v>221024_LTIA_Ph1_Z-4-CA-003_PLC_Material_Costs_Long Than_Tray_2022-10-06.xlsx</v>
          </cell>
          <cell r="L187" t="str">
            <v>Offshore:
GER
(MAT)</v>
          </cell>
          <cell r="M187" t="str">
            <v>S. Zenk</v>
          </cell>
          <cell r="N187">
            <v>44859</v>
          </cell>
          <cell r="P187" t="str">
            <v>Siemens</v>
          </cell>
          <cell r="Q187" t="str">
            <v>OSE</v>
          </cell>
          <cell r="R187" t="str">
            <v>Binding Quote</v>
          </cell>
          <cell r="T187">
            <v>202</v>
          </cell>
          <cell r="U187" t="str">
            <v>PC</v>
          </cell>
          <cell r="V187">
            <v>790.22</v>
          </cell>
          <cell r="W187">
            <v>2</v>
          </cell>
          <cell r="X187" t="str">
            <v>EUR</v>
          </cell>
          <cell r="Y187" t="str">
            <v>German MGK 1</v>
          </cell>
          <cell r="Z187">
            <v>0</v>
          </cell>
          <cell r="AA187">
            <v>0</v>
          </cell>
          <cell r="AC187">
            <v>159624.44</v>
          </cell>
          <cell r="AD187">
            <v>169760.59193999998</v>
          </cell>
          <cell r="AF187">
            <v>0</v>
          </cell>
          <cell r="AH187">
            <v>169760.59193999998</v>
          </cell>
          <cell r="AI187">
            <v>0.23709783177495308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222519.47760872354</v>
          </cell>
          <cell r="AP187" t="str">
            <v>II</v>
          </cell>
          <cell r="AQ187" t="str">
            <v>CF.5</v>
          </cell>
        </row>
        <row r="188">
          <cell r="B188" t="str">
            <v>Low Level Control HW</v>
          </cell>
          <cell r="C188">
            <v>0</v>
          </cell>
          <cell r="D188">
            <v>4</v>
          </cell>
          <cell r="E188" t="str">
            <v>CC</v>
          </cell>
          <cell r="F188" t="str">
            <v>I_</v>
          </cell>
          <cell r="G188" t="str">
            <v>QA</v>
          </cell>
          <cell r="H188" t="str">
            <v>04-CC-I_-QA</v>
          </cell>
          <cell r="I188" t="str">
            <v>VFD Brake Resistor FSA 240W f. G115D</v>
          </cell>
          <cell r="J188" t="str">
            <v>221024_LTIA_Ph1_Z-4-CA-003_PLC_Material_Costs_Long Than_Tray_2022-10-06.xlsx</v>
          </cell>
          <cell r="L188" t="str">
            <v>Offshore:
GER
(MAT)</v>
          </cell>
          <cell r="M188" t="str">
            <v>S. Zenk</v>
          </cell>
          <cell r="N188">
            <v>44859</v>
          </cell>
          <cell r="P188" t="str">
            <v>Siemens</v>
          </cell>
          <cell r="Q188" t="str">
            <v>OSE</v>
          </cell>
          <cell r="R188" t="str">
            <v>Binding Quote</v>
          </cell>
          <cell r="T188">
            <v>2075.0713815066988</v>
          </cell>
          <cell r="U188" t="str">
            <v>PC</v>
          </cell>
          <cell r="V188">
            <v>161.56</v>
          </cell>
          <cell r="W188">
            <v>2</v>
          </cell>
          <cell r="X188" t="str">
            <v>EUR</v>
          </cell>
          <cell r="Y188" t="str">
            <v>German MGK 1</v>
          </cell>
          <cell r="Z188">
            <v>0</v>
          </cell>
          <cell r="AA188">
            <v>0</v>
          </cell>
          <cell r="AC188">
            <v>335248.53239622229</v>
          </cell>
          <cell r="AD188">
            <v>356536.81420338235</v>
          </cell>
          <cell r="AF188">
            <v>0</v>
          </cell>
          <cell r="AH188">
            <v>356536.81420338235</v>
          </cell>
          <cell r="AI188">
            <v>0.23709783177495308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467342.77218387491</v>
          </cell>
          <cell r="AP188" t="str">
            <v>II</v>
          </cell>
          <cell r="AQ188" t="str">
            <v>CF.5</v>
          </cell>
        </row>
        <row r="189">
          <cell r="B189" t="str">
            <v>Low Level Control HW</v>
          </cell>
          <cell r="C189">
            <v>0</v>
          </cell>
          <cell r="D189">
            <v>4</v>
          </cell>
          <cell r="E189" t="str">
            <v>CC</v>
          </cell>
          <cell r="F189" t="str">
            <v>I_</v>
          </cell>
          <cell r="G189" t="str">
            <v>QA</v>
          </cell>
          <cell r="H189" t="str">
            <v>04-CC-I_-QA</v>
          </cell>
          <cell r="I189" t="str">
            <v>VFD Brake Resistor FSA 480W f. G115D</v>
          </cell>
          <cell r="J189" t="str">
            <v>221024_LTIA_Ph1_Z-4-CA-003_PLC_Material_Costs_Long Than_Tray_2022-10-06.xlsx</v>
          </cell>
          <cell r="L189" t="str">
            <v>Offshore:
GER
(MAT)</v>
          </cell>
          <cell r="M189" t="str">
            <v>S. Zenk</v>
          </cell>
          <cell r="N189">
            <v>44859</v>
          </cell>
          <cell r="P189" t="str">
            <v>Siemens</v>
          </cell>
          <cell r="Q189" t="str">
            <v>OSE</v>
          </cell>
          <cell r="R189" t="str">
            <v>Binding Quote</v>
          </cell>
          <cell r="T189">
            <v>1.0652317153525148</v>
          </cell>
          <cell r="U189" t="str">
            <v>PC</v>
          </cell>
          <cell r="V189">
            <v>161.56</v>
          </cell>
          <cell r="W189">
            <v>2</v>
          </cell>
          <cell r="X189" t="str">
            <v>EUR</v>
          </cell>
          <cell r="Y189" t="str">
            <v>German MGK 1</v>
          </cell>
          <cell r="Z189">
            <v>0</v>
          </cell>
          <cell r="AA189">
            <v>0</v>
          </cell>
          <cell r="AC189">
            <v>172.0988359323523</v>
          </cell>
          <cell r="AD189">
            <v>183.02711201405666</v>
          </cell>
          <cell r="AF189">
            <v>0</v>
          </cell>
          <cell r="AH189">
            <v>183.02711201405666</v>
          </cell>
          <cell r="AI189">
            <v>0.23709783177495308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239.90902062827257</v>
          </cell>
          <cell r="AP189" t="str">
            <v>II</v>
          </cell>
          <cell r="AQ189" t="str">
            <v>CF.5</v>
          </cell>
        </row>
        <row r="190">
          <cell r="B190" t="str">
            <v>Low Level Control HW</v>
          </cell>
          <cell r="C190">
            <v>0</v>
          </cell>
          <cell r="D190">
            <v>4</v>
          </cell>
          <cell r="E190" t="str">
            <v>CC</v>
          </cell>
          <cell r="F190" t="str">
            <v>I_</v>
          </cell>
          <cell r="G190" t="str">
            <v>QA</v>
          </cell>
          <cell r="H190" t="str">
            <v>04-CC-I_-QA</v>
          </cell>
          <cell r="I190" t="str">
            <v>VFD Brake Resistor FSB 240W f. G115D</v>
          </cell>
          <cell r="J190" t="str">
            <v>221024_LTIA_Ph1_Z-4-CA-003_PLC_Material_Costs_Long Than_Tray_2022-10-06.xlsx</v>
          </cell>
          <cell r="L190" t="str">
            <v>Offshore:
GER
(MAT)</v>
          </cell>
          <cell r="M190" t="str">
            <v>S. Zenk</v>
          </cell>
          <cell r="N190">
            <v>44859</v>
          </cell>
          <cell r="P190" t="str">
            <v>Siemens</v>
          </cell>
          <cell r="Q190" t="str">
            <v>OSE</v>
          </cell>
          <cell r="R190" t="str">
            <v>Binding Quote</v>
          </cell>
          <cell r="T190">
            <v>850.05490885130689</v>
          </cell>
          <cell r="U190" t="str">
            <v>PC</v>
          </cell>
          <cell r="V190">
            <v>161.56</v>
          </cell>
          <cell r="W190">
            <v>2</v>
          </cell>
          <cell r="X190" t="str">
            <v>EUR</v>
          </cell>
          <cell r="Y190" t="str">
            <v>German MGK 1</v>
          </cell>
          <cell r="Z190">
            <v>0</v>
          </cell>
          <cell r="AA190">
            <v>0</v>
          </cell>
          <cell r="AC190">
            <v>137334.87107401714</v>
          </cell>
          <cell r="AD190">
            <v>146055.63538721722</v>
          </cell>
          <cell r="AF190">
            <v>0</v>
          </cell>
          <cell r="AH190">
            <v>146055.63538721722</v>
          </cell>
          <cell r="AI190">
            <v>0.23709783177495308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191447.3984613615</v>
          </cell>
          <cell r="AP190" t="str">
            <v>II</v>
          </cell>
          <cell r="AQ190" t="str">
            <v>CF.5</v>
          </cell>
        </row>
        <row r="191">
          <cell r="B191" t="str">
            <v>Low Level Control HW</v>
          </cell>
          <cell r="C191">
            <v>0</v>
          </cell>
          <cell r="D191">
            <v>4</v>
          </cell>
          <cell r="E191" t="str">
            <v>CC</v>
          </cell>
          <cell r="F191" t="str">
            <v>I_</v>
          </cell>
          <cell r="G191" t="str">
            <v>QA</v>
          </cell>
          <cell r="H191" t="str">
            <v>04-CC-I_-QA</v>
          </cell>
          <cell r="I191" t="str">
            <v>VFD Brake Resistor FSB 600W f. G115D</v>
          </cell>
          <cell r="J191" t="str">
            <v>221024_LTIA_Ph1_Z-4-CA-003_PLC_Material_Costs_Long Than_Tray_2022-10-06.xlsx</v>
          </cell>
          <cell r="L191" t="str">
            <v>Offshore:
GER
(MAT)</v>
          </cell>
          <cell r="M191" t="str">
            <v>S. Zenk</v>
          </cell>
          <cell r="N191">
            <v>44859</v>
          </cell>
          <cell r="P191" t="str">
            <v>Siemens</v>
          </cell>
          <cell r="Q191" t="str">
            <v>OSE</v>
          </cell>
          <cell r="R191" t="str">
            <v>Binding Quote</v>
          </cell>
          <cell r="T191">
            <v>3.1956951460575445</v>
          </cell>
          <cell r="U191" t="str">
            <v>PC</v>
          </cell>
          <cell r="V191">
            <v>184.63</v>
          </cell>
          <cell r="W191">
            <v>2</v>
          </cell>
          <cell r="X191" t="str">
            <v>EUR</v>
          </cell>
          <cell r="Y191" t="str">
            <v>German MGK 1</v>
          </cell>
          <cell r="Z191">
            <v>0</v>
          </cell>
          <cell r="AA191">
            <v>0</v>
          </cell>
          <cell r="AC191">
            <v>590.02119481660441</v>
          </cell>
          <cell r="AD191">
            <v>627.4875406874587</v>
          </cell>
          <cell r="AF191">
            <v>0</v>
          </cell>
          <cell r="AH191">
            <v>627.4875406874587</v>
          </cell>
          <cell r="AI191">
            <v>0.23709783177495308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822.50066499005857</v>
          </cell>
          <cell r="AP191" t="str">
            <v>II</v>
          </cell>
          <cell r="AQ191" t="str">
            <v>CF.5</v>
          </cell>
        </row>
        <row r="192">
          <cell r="B192" t="str">
            <v>Low Level Control HW</v>
          </cell>
          <cell r="C192">
            <v>0</v>
          </cell>
          <cell r="D192">
            <v>4</v>
          </cell>
          <cell r="E192" t="str">
            <v>CC</v>
          </cell>
          <cell r="F192" t="str">
            <v>I_</v>
          </cell>
          <cell r="G192" t="str">
            <v>QA</v>
          </cell>
          <cell r="H192" t="str">
            <v>04-CC-I_-QA</v>
          </cell>
          <cell r="I192" t="str">
            <v>VFD: Power T-Connector</v>
          </cell>
          <cell r="J192" t="str">
            <v>221024_LTIA_Ph1_Z-4-CA-003_PLC_Material_Costs_Long Than_Tray_2022-10-06.xlsx</v>
          </cell>
          <cell r="L192" t="str">
            <v>Offshore:
GER
(MAT)</v>
          </cell>
          <cell r="M192" t="str">
            <v>S. Zenk</v>
          </cell>
          <cell r="N192">
            <v>44859</v>
          </cell>
          <cell r="O192" t="str">
            <v>HAR-05.20201</v>
          </cell>
          <cell r="P192" t="str">
            <v>Harting</v>
          </cell>
          <cell r="Q192" t="str">
            <v>OSE</v>
          </cell>
          <cell r="R192" t="str">
            <v>Binding Quote</v>
          </cell>
          <cell r="T192">
            <v>5143</v>
          </cell>
          <cell r="U192" t="str">
            <v>PC</v>
          </cell>
          <cell r="V192">
            <v>27.28</v>
          </cell>
          <cell r="W192">
            <v>2</v>
          </cell>
          <cell r="X192" t="str">
            <v>EUR</v>
          </cell>
          <cell r="Y192" t="str">
            <v>German MGK 1</v>
          </cell>
          <cell r="Z192">
            <v>0</v>
          </cell>
          <cell r="AA192">
            <v>0</v>
          </cell>
          <cell r="AC192">
            <v>140301.04</v>
          </cell>
          <cell r="AD192">
            <v>149210.15604</v>
          </cell>
          <cell r="AF192">
            <v>0</v>
          </cell>
          <cell r="AH192">
            <v>149210.15604</v>
          </cell>
          <cell r="AI192">
            <v>0.23709783177495308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195582.29384397922</v>
          </cell>
          <cell r="AP192" t="str">
            <v>II</v>
          </cell>
          <cell r="AQ192" t="str">
            <v>CF.5</v>
          </cell>
        </row>
        <row r="193">
          <cell r="B193" t="str">
            <v>Low Level Control HW</v>
          </cell>
          <cell r="C193">
            <v>0</v>
          </cell>
          <cell r="D193">
            <v>4</v>
          </cell>
          <cell r="E193" t="str">
            <v>CC</v>
          </cell>
          <cell r="F193" t="str">
            <v>I_</v>
          </cell>
          <cell r="G193" t="str">
            <v>QW</v>
          </cell>
          <cell r="H193" t="str">
            <v>04-CC-I_-QW</v>
          </cell>
          <cell r="I193" t="str">
            <v>VFD: Premanu. Power and Motor cable</v>
          </cell>
          <cell r="J193" t="str">
            <v>221024_LTIA_Ph1_Z-4-CA-003_PLC_Material_Costs_Long Than_Tray_2022-10-06.xlsx</v>
          </cell>
          <cell r="L193" t="str">
            <v>Offshore:
GER
(MAT)</v>
          </cell>
          <cell r="M193" t="str">
            <v>S. Zenk</v>
          </cell>
          <cell r="N193">
            <v>44859</v>
          </cell>
          <cell r="O193" t="str">
            <v>HAR-05.20201</v>
          </cell>
          <cell r="P193" t="str">
            <v>Harting</v>
          </cell>
          <cell r="Q193" t="str">
            <v>OSE</v>
          </cell>
          <cell r="R193" t="str">
            <v>Binding Quote</v>
          </cell>
          <cell r="T193">
            <v>9993</v>
          </cell>
          <cell r="U193" t="str">
            <v>ST</v>
          </cell>
          <cell r="V193">
            <v>66.908736115280703</v>
          </cell>
          <cell r="W193">
            <v>2</v>
          </cell>
          <cell r="X193" t="str">
            <v>EUR</v>
          </cell>
          <cell r="Y193" t="str">
            <v>German MGK 1</v>
          </cell>
          <cell r="Z193">
            <v>0</v>
          </cell>
          <cell r="AA193">
            <v>0</v>
          </cell>
          <cell r="AC193">
            <v>668619.00000000012</v>
          </cell>
          <cell r="AD193">
            <v>711076.30650000006</v>
          </cell>
          <cell r="AF193">
            <v>0</v>
          </cell>
          <cell r="AH193">
            <v>711076.30650000006</v>
          </cell>
          <cell r="AI193">
            <v>0.23709783177495308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932067.48665346706</v>
          </cell>
          <cell r="AP193" t="str">
            <v>II</v>
          </cell>
          <cell r="AQ193" t="str">
            <v>CF.5</v>
          </cell>
        </row>
        <row r="194">
          <cell r="B194" t="str">
            <v>Low Level Control HW</v>
          </cell>
          <cell r="C194">
            <v>0</v>
          </cell>
          <cell r="D194">
            <v>4</v>
          </cell>
          <cell r="E194" t="str">
            <v>CC</v>
          </cell>
          <cell r="F194" t="str">
            <v>I_</v>
          </cell>
          <cell r="G194" t="str">
            <v>QU</v>
          </cell>
          <cell r="H194" t="str">
            <v>04-CC-I_-QU</v>
          </cell>
          <cell r="I194" t="str">
            <v>VFD: Bracket G110D/G115D/G120D</v>
          </cell>
          <cell r="Q194" t="str">
            <v>EXT</v>
          </cell>
          <cell r="R194" t="str">
            <v>Placeholder</v>
          </cell>
          <cell r="U194" t="str">
            <v>ST</v>
          </cell>
          <cell r="W194">
            <v>1</v>
          </cell>
          <cell r="X194" t="str">
            <v>USD</v>
          </cell>
          <cell r="Z194">
            <v>0</v>
          </cell>
          <cell r="AA194">
            <v>0</v>
          </cell>
          <cell r="AC194">
            <v>0</v>
          </cell>
          <cell r="AD194">
            <v>0</v>
          </cell>
          <cell r="AF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P194" t="str">
            <v>X</v>
          </cell>
          <cell r="AQ194" t="str">
            <v>CF.5</v>
          </cell>
        </row>
        <row r="195">
          <cell r="B195" t="str">
            <v/>
          </cell>
          <cell r="H195" t="str">
            <v>--</v>
          </cell>
          <cell r="Q195" t="str">
            <v>EXT</v>
          </cell>
          <cell r="R195" t="str">
            <v>Placeholder</v>
          </cell>
          <cell r="W195">
            <v>1</v>
          </cell>
          <cell r="X195" t="str">
            <v>USD</v>
          </cell>
          <cell r="Z195">
            <v>0</v>
          </cell>
          <cell r="AA195">
            <v>0</v>
          </cell>
          <cell r="AC195">
            <v>0</v>
          </cell>
          <cell r="AD195">
            <v>0</v>
          </cell>
          <cell r="AF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P195" t="str">
            <v>X</v>
          </cell>
          <cell r="AQ195" t="str">
            <v/>
          </cell>
        </row>
        <row r="196">
          <cell r="B196" t="str">
            <v/>
          </cell>
          <cell r="H196" t="str">
            <v>--</v>
          </cell>
          <cell r="Q196" t="str">
            <v>EXT</v>
          </cell>
          <cell r="R196" t="str">
            <v>Placeholder</v>
          </cell>
          <cell r="W196">
            <v>1</v>
          </cell>
          <cell r="X196" t="str">
            <v>USD</v>
          </cell>
          <cell r="Z196">
            <v>0</v>
          </cell>
          <cell r="AA196">
            <v>0</v>
          </cell>
          <cell r="AC196">
            <v>0</v>
          </cell>
          <cell r="AD196">
            <v>0</v>
          </cell>
          <cell r="AF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P196" t="str">
            <v>X</v>
          </cell>
          <cell r="AQ196" t="str">
            <v/>
          </cell>
        </row>
        <row r="197">
          <cell r="I197" t="str">
            <v>4.5 Field Devices Sensors…</v>
          </cell>
        </row>
        <row r="198">
          <cell r="B198" t="str">
            <v>Low Level Control HW</v>
          </cell>
          <cell r="C198">
            <v>0</v>
          </cell>
          <cell r="D198">
            <v>4</v>
          </cell>
          <cell r="E198" t="str">
            <v>CC</v>
          </cell>
          <cell r="F198" t="str">
            <v>I_</v>
          </cell>
          <cell r="G198" t="str">
            <v>BG</v>
          </cell>
          <cell r="H198" t="str">
            <v>04-CC-I_-BG</v>
          </cell>
          <cell r="I198" t="str">
            <v>Field Devices: Actors, Sensors</v>
          </cell>
          <cell r="J198" t="str">
            <v>221024_LTIA_Ph1_Z-4-CA-003_PLC_Material_Costs_Long Than_Tray_2022-10-06.xlsx</v>
          </cell>
          <cell r="L198" t="str">
            <v>Offshore:
GER
(MAT)</v>
          </cell>
          <cell r="M198" t="str">
            <v>S. Zenk</v>
          </cell>
          <cell r="N198">
            <v>44859</v>
          </cell>
          <cell r="P198" t="str">
            <v>SICK</v>
          </cell>
          <cell r="Q198" t="str">
            <v>EXT</v>
          </cell>
          <cell r="R198" t="str">
            <v>Binding Quote</v>
          </cell>
          <cell r="T198">
            <v>1</v>
          </cell>
          <cell r="U198" t="str">
            <v>LS</v>
          </cell>
          <cell r="V198">
            <v>102449</v>
          </cell>
          <cell r="W198">
            <v>2</v>
          </cell>
          <cell r="X198" t="str">
            <v>EUR</v>
          </cell>
          <cell r="Y198" t="str">
            <v>German MGK 1</v>
          </cell>
          <cell r="Z198">
            <v>0</v>
          </cell>
          <cell r="AA198">
            <v>0</v>
          </cell>
          <cell r="AC198">
            <v>102449</v>
          </cell>
          <cell r="AD198">
            <v>108954.51149999999</v>
          </cell>
          <cell r="AF198">
            <v>0</v>
          </cell>
          <cell r="AH198">
            <v>108954.51149999999</v>
          </cell>
          <cell r="AI198">
            <v>0.23709783177495308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142815.83673237081</v>
          </cell>
          <cell r="AP198" t="str">
            <v>II</v>
          </cell>
          <cell r="AQ198" t="str">
            <v>CF.5</v>
          </cell>
        </row>
        <row r="199">
          <cell r="B199" t="str">
            <v>Low Level Control HW</v>
          </cell>
          <cell r="C199">
            <v>0</v>
          </cell>
          <cell r="D199">
            <v>4</v>
          </cell>
          <cell r="E199" t="str">
            <v>CC</v>
          </cell>
          <cell r="F199" t="str">
            <v>I_</v>
          </cell>
          <cell r="G199" t="str">
            <v>BA</v>
          </cell>
          <cell r="H199" t="str">
            <v>04-CC-I_-BA</v>
          </cell>
          <cell r="I199" t="str">
            <v>Field Devices: I/O Devices</v>
          </cell>
          <cell r="J199" t="str">
            <v>221024_LTIA_Ph1_Z-4-CA-003_PLC_Material_Costs_Long Than_Tray_2022-10-06.xlsx</v>
          </cell>
          <cell r="L199" t="str">
            <v>Offshore:
GER
(MAT)</v>
          </cell>
          <cell r="M199" t="str">
            <v>S. Zenk</v>
          </cell>
          <cell r="N199">
            <v>44859</v>
          </cell>
          <cell r="P199" t="str">
            <v>Siemens</v>
          </cell>
          <cell r="Q199" t="str">
            <v>OSE</v>
          </cell>
          <cell r="R199" t="str">
            <v>Binding Quote</v>
          </cell>
          <cell r="T199">
            <v>2024.5833333333335</v>
          </cell>
          <cell r="U199" t="str">
            <v>PC</v>
          </cell>
          <cell r="V199">
            <v>288.3</v>
          </cell>
          <cell r="W199">
            <v>2</v>
          </cell>
          <cell r="X199" t="str">
            <v>EUR</v>
          </cell>
          <cell r="Y199" t="str">
            <v>German MGK 1</v>
          </cell>
          <cell r="Z199">
            <v>0</v>
          </cell>
          <cell r="AA199">
            <v>0</v>
          </cell>
          <cell r="AC199">
            <v>583687.37500000012</v>
          </cell>
          <cell r="AD199">
            <v>620751.5233125001</v>
          </cell>
          <cell r="AF199">
            <v>0</v>
          </cell>
          <cell r="AH199">
            <v>620751.5233125001</v>
          </cell>
          <cell r="AI199">
            <v>0.23709783177495308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813671.20079987228</v>
          </cell>
          <cell r="AP199" t="str">
            <v>II</v>
          </cell>
          <cell r="AQ199" t="str">
            <v>CF.5</v>
          </cell>
        </row>
        <row r="200">
          <cell r="B200" t="str">
            <v>Low Level Control HW</v>
          </cell>
          <cell r="C200">
            <v>0</v>
          </cell>
          <cell r="D200">
            <v>4</v>
          </cell>
          <cell r="E200" t="str">
            <v>CC</v>
          </cell>
          <cell r="F200" t="str">
            <v>I_</v>
          </cell>
          <cell r="G200" t="str">
            <v>BY</v>
          </cell>
          <cell r="H200" t="str">
            <v>04-CC-I_-BY</v>
          </cell>
          <cell r="I200" t="str">
            <v>Field Devices: Barcode Reader (Moby, BPS…) - Interface Module for Profinet RF185C</v>
          </cell>
          <cell r="J200" t="str">
            <v>221024_LTIA_Ph1_Z-4-CA-003_PLC_Material_Costs_Long Than_Tray_2022-10-06.xlsx</v>
          </cell>
          <cell r="L200" t="str">
            <v>Offshore:
GER
(MAT)</v>
          </cell>
          <cell r="M200" t="str">
            <v>S. Zenk</v>
          </cell>
          <cell r="N200">
            <v>44859</v>
          </cell>
          <cell r="Q200" t="str">
            <v>EXT</v>
          </cell>
          <cell r="R200" t="str">
            <v>Binding Quote</v>
          </cell>
          <cell r="T200">
            <v>182</v>
          </cell>
          <cell r="U200" t="str">
            <v>PC</v>
          </cell>
          <cell r="V200">
            <v>368.9</v>
          </cell>
          <cell r="W200">
            <v>2</v>
          </cell>
          <cell r="X200" t="str">
            <v>EUR</v>
          </cell>
          <cell r="Y200" t="str">
            <v>German MGK 1</v>
          </cell>
          <cell r="Z200">
            <v>0</v>
          </cell>
          <cell r="AA200">
            <v>0</v>
          </cell>
          <cell r="AC200">
            <v>67139.8</v>
          </cell>
          <cell r="AD200">
            <v>71403.177299999996</v>
          </cell>
          <cell r="AF200">
            <v>0</v>
          </cell>
          <cell r="AH200">
            <v>71403.177299999996</v>
          </cell>
          <cell r="AI200">
            <v>0.23709783177495308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93594.146502591815</v>
          </cell>
          <cell r="AP200" t="str">
            <v>II</v>
          </cell>
          <cell r="AQ200" t="str">
            <v>CF.5</v>
          </cell>
        </row>
        <row r="201">
          <cell r="B201" t="str">
            <v>Low Level Control HW</v>
          </cell>
          <cell r="C201">
            <v>0</v>
          </cell>
          <cell r="D201">
            <v>4</v>
          </cell>
          <cell r="E201" t="str">
            <v>CC</v>
          </cell>
          <cell r="F201" t="str">
            <v>I_</v>
          </cell>
          <cell r="G201" t="str">
            <v>BY</v>
          </cell>
          <cell r="H201" t="str">
            <v>04-CC-I_-BY</v>
          </cell>
          <cell r="I201" t="str">
            <v>Field Devices: Barcode Reader (Moby, BPS…) - Reader RF380R</v>
          </cell>
          <cell r="J201" t="str">
            <v>221024_LTIA_Ph1_Z-4-CA-003_PLC_Material_Costs_Long Than_Tray_2022-10-06.xlsx</v>
          </cell>
          <cell r="L201" t="str">
            <v>Offshore:
GER
(MAT)</v>
          </cell>
          <cell r="M201" t="str">
            <v>S. Zenk</v>
          </cell>
          <cell r="N201">
            <v>44859</v>
          </cell>
          <cell r="P201" t="str">
            <v>Siemens</v>
          </cell>
          <cell r="Q201" t="str">
            <v>OSE</v>
          </cell>
          <cell r="R201" t="str">
            <v>Binding Quote</v>
          </cell>
          <cell r="T201">
            <v>182</v>
          </cell>
          <cell r="U201" t="str">
            <v>PC</v>
          </cell>
          <cell r="V201">
            <v>533.20000000000005</v>
          </cell>
          <cell r="W201">
            <v>2</v>
          </cell>
          <cell r="X201" t="str">
            <v>EUR</v>
          </cell>
          <cell r="Y201" t="str">
            <v>German MGK 1</v>
          </cell>
          <cell r="Z201">
            <v>0</v>
          </cell>
          <cell r="AA201">
            <v>0</v>
          </cell>
          <cell r="AC201">
            <v>97042.400000000009</v>
          </cell>
          <cell r="AD201">
            <v>103204.59239999999</v>
          </cell>
          <cell r="AF201">
            <v>0</v>
          </cell>
          <cell r="AH201">
            <v>103204.59239999999</v>
          </cell>
          <cell r="AI201">
            <v>0.23709783177495308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135278.93444072094</v>
          </cell>
          <cell r="AP201" t="str">
            <v>II</v>
          </cell>
          <cell r="AQ201" t="str">
            <v>CF.5</v>
          </cell>
        </row>
        <row r="202">
          <cell r="B202" t="str">
            <v>Low Level Control HW</v>
          </cell>
          <cell r="C202">
            <v>0</v>
          </cell>
          <cell r="D202">
            <v>4</v>
          </cell>
          <cell r="E202" t="str">
            <v>CC</v>
          </cell>
          <cell r="F202" t="str">
            <v>I_</v>
          </cell>
          <cell r="G202" t="str">
            <v>BY</v>
          </cell>
          <cell r="H202" t="str">
            <v>04-CC-I_-BY</v>
          </cell>
          <cell r="I202" t="str">
            <v>Field Devices: Barcode Reader (Moby, BPS…) - Cable RF180C - RF380R; 1 m</v>
          </cell>
          <cell r="J202" t="str">
            <v>221024_LTIA_Ph1_Z-4-CA-003_PLC_Material_Costs_Long Than_Tray_2022-10-06.xlsx</v>
          </cell>
          <cell r="L202" t="str">
            <v>Offshore:
GER
(MAT)</v>
          </cell>
          <cell r="M202" t="str">
            <v>S. Zenk</v>
          </cell>
          <cell r="N202">
            <v>44859</v>
          </cell>
          <cell r="Q202" t="str">
            <v>EXT</v>
          </cell>
          <cell r="R202" t="str">
            <v>Binding Quote</v>
          </cell>
          <cell r="T202">
            <v>182</v>
          </cell>
          <cell r="U202" t="str">
            <v>PC</v>
          </cell>
          <cell r="V202">
            <v>103.54</v>
          </cell>
          <cell r="W202">
            <v>2</v>
          </cell>
          <cell r="X202" t="str">
            <v>EUR</v>
          </cell>
          <cell r="Y202" t="str">
            <v>German MGK 1</v>
          </cell>
          <cell r="Z202">
            <v>0</v>
          </cell>
          <cell r="AA202">
            <v>0</v>
          </cell>
          <cell r="AC202">
            <v>18844.280000000002</v>
          </cell>
          <cell r="AD202">
            <v>20040.891780000002</v>
          </cell>
          <cell r="AF202">
            <v>0</v>
          </cell>
          <cell r="AH202">
            <v>20040.891780000002</v>
          </cell>
          <cell r="AI202">
            <v>0.23709783177495308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26269.281455349304</v>
          </cell>
          <cell r="AP202" t="str">
            <v>II</v>
          </cell>
          <cell r="AQ202" t="str">
            <v>CF.5</v>
          </cell>
        </row>
        <row r="203">
          <cell r="B203" t="str">
            <v>Low Level Control HW</v>
          </cell>
          <cell r="C203">
            <v>0</v>
          </cell>
          <cell r="D203">
            <v>4</v>
          </cell>
          <cell r="E203" t="str">
            <v>CC</v>
          </cell>
          <cell r="F203" t="str">
            <v>I_</v>
          </cell>
          <cell r="G203" t="str">
            <v>BU</v>
          </cell>
          <cell r="H203" t="str">
            <v>04-CC-I_-BU</v>
          </cell>
          <cell r="I203" t="str">
            <v>Field Devices: Equipment Brackets &amp; Supports</v>
          </cell>
          <cell r="Q203" t="str">
            <v>EXT</v>
          </cell>
          <cell r="R203" t="str">
            <v>Placeholder</v>
          </cell>
          <cell r="U203" t="str">
            <v>PC</v>
          </cell>
          <cell r="W203">
            <v>1</v>
          </cell>
          <cell r="X203" t="str">
            <v>USD</v>
          </cell>
          <cell r="Z203">
            <v>0</v>
          </cell>
          <cell r="AA203">
            <v>0</v>
          </cell>
          <cell r="AC203">
            <v>0</v>
          </cell>
          <cell r="AD203">
            <v>0</v>
          </cell>
          <cell r="AF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P203" t="str">
            <v>X</v>
          </cell>
          <cell r="AQ203" t="str">
            <v>CF.5</v>
          </cell>
        </row>
        <row r="204">
          <cell r="B204" t="str">
            <v>Low Level Control HW</v>
          </cell>
          <cell r="C204">
            <v>0</v>
          </cell>
          <cell r="D204">
            <v>4</v>
          </cell>
          <cell r="E204" t="str">
            <v>CC</v>
          </cell>
          <cell r="F204" t="str">
            <v>I_</v>
          </cell>
          <cell r="G204" t="str">
            <v>BW</v>
          </cell>
          <cell r="H204" t="str">
            <v>04-CC-I_-BW</v>
          </cell>
          <cell r="I204" t="str">
            <v>Field Devices: Premanu. Sensor cable</v>
          </cell>
          <cell r="J204" t="str">
            <v>221024_LTIA_Ph1_Z-4-CA-003_PLC_Material_Costs_Long Than_Tray_2022-10-06.xlsx</v>
          </cell>
          <cell r="L204" t="str">
            <v>Offshore:
GER
(MAT)</v>
          </cell>
          <cell r="M204" t="str">
            <v>S. Zenk</v>
          </cell>
          <cell r="N204">
            <v>44859</v>
          </cell>
          <cell r="P204" t="str">
            <v>MURR</v>
          </cell>
          <cell r="Q204" t="str">
            <v>EXT</v>
          </cell>
          <cell r="R204" t="str">
            <v>Binding Quote</v>
          </cell>
          <cell r="T204">
            <v>1</v>
          </cell>
          <cell r="U204" t="str">
            <v>LS</v>
          </cell>
          <cell r="V204">
            <v>314437</v>
          </cell>
          <cell r="W204">
            <v>2</v>
          </cell>
          <cell r="X204" t="str">
            <v>EUR</v>
          </cell>
          <cell r="Y204" t="str">
            <v>German MGK 1</v>
          </cell>
          <cell r="Z204">
            <v>0</v>
          </cell>
          <cell r="AA204">
            <v>0</v>
          </cell>
          <cell r="AC204">
            <v>314437</v>
          </cell>
          <cell r="AD204">
            <v>334403.74949999998</v>
          </cell>
          <cell r="AF204">
            <v>0</v>
          </cell>
          <cell r="AH204">
            <v>334403.74949999998</v>
          </cell>
          <cell r="AI204">
            <v>0.23709783177495308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438331.10381376563</v>
          </cell>
          <cell r="AP204" t="str">
            <v>II</v>
          </cell>
          <cell r="AQ204" t="str">
            <v>CF.5</v>
          </cell>
        </row>
        <row r="205">
          <cell r="B205" t="str">
            <v>Low Level Control HW</v>
          </cell>
          <cell r="C205">
            <v>0</v>
          </cell>
          <cell r="D205">
            <v>4</v>
          </cell>
          <cell r="E205" t="str">
            <v>CC</v>
          </cell>
          <cell r="F205" t="str">
            <v>I_</v>
          </cell>
          <cell r="G205" t="str">
            <v>SJ</v>
          </cell>
          <cell r="H205" t="str">
            <v>04-CC-I_-SJ</v>
          </cell>
          <cell r="I205" t="str">
            <v>Field Devices: Control Stations (CS)</v>
          </cell>
          <cell r="J205" t="str">
            <v>221024_LTIA_Ph1_Z-4-CA-003_PLC_Material_Costs_Long Than_Tray_2022-10-06.xlsx</v>
          </cell>
          <cell r="L205" t="str">
            <v>Offshore:
GER
(MAT)</v>
          </cell>
          <cell r="M205" t="str">
            <v>S. Zenk</v>
          </cell>
          <cell r="N205">
            <v>44859</v>
          </cell>
          <cell r="P205" t="str">
            <v>Siemens</v>
          </cell>
          <cell r="Q205" t="str">
            <v>OSE</v>
          </cell>
          <cell r="R205" t="str">
            <v>Binding Quote</v>
          </cell>
          <cell r="T205">
            <v>1529.3333333333335</v>
          </cell>
          <cell r="U205" t="str">
            <v>PC</v>
          </cell>
          <cell r="V205">
            <v>97.204708960104639</v>
          </cell>
          <cell r="W205">
            <v>2</v>
          </cell>
          <cell r="X205" t="str">
            <v>EUR</v>
          </cell>
          <cell r="Y205" t="str">
            <v>German MGK 1</v>
          </cell>
          <cell r="Z205">
            <v>0</v>
          </cell>
          <cell r="AA205">
            <v>0</v>
          </cell>
          <cell r="AC205">
            <v>148658.40156965339</v>
          </cell>
          <cell r="AD205">
            <v>158098.21006932636</v>
          </cell>
          <cell r="AF205">
            <v>0</v>
          </cell>
          <cell r="AH205">
            <v>158098.21006932636</v>
          </cell>
          <cell r="AI205">
            <v>0.23709783177495308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207232.61337315966</v>
          </cell>
          <cell r="AP205" t="str">
            <v>II</v>
          </cell>
          <cell r="AQ205" t="str">
            <v>CF.5</v>
          </cell>
        </row>
        <row r="206">
          <cell r="B206" t="str">
            <v>Low Level Control HW</v>
          </cell>
          <cell r="C206">
            <v>0</v>
          </cell>
          <cell r="D206">
            <v>4</v>
          </cell>
          <cell r="E206" t="str">
            <v>CC</v>
          </cell>
          <cell r="F206" t="str">
            <v>I_</v>
          </cell>
          <cell r="G206" t="str">
            <v>SP</v>
          </cell>
          <cell r="H206" t="str">
            <v>04-CC-I_-SP</v>
          </cell>
          <cell r="I206" t="str">
            <v>Field Devices: Light Beacons / Tower Lamps (LB)</v>
          </cell>
          <cell r="J206" t="str">
            <v>221024_LTIA_Ph1_Z-4-CA-003_PLC_Material_Costs_Long Than_Tray_2022-10-06.xlsx</v>
          </cell>
          <cell r="L206" t="str">
            <v>Offshore:
GER
(MAT)</v>
          </cell>
          <cell r="M206" t="str">
            <v>S. Zenk</v>
          </cell>
          <cell r="N206">
            <v>44859</v>
          </cell>
          <cell r="P206" t="str">
            <v>Siemens</v>
          </cell>
          <cell r="Q206" t="str">
            <v>OSE</v>
          </cell>
          <cell r="R206" t="str">
            <v>Binding Quote</v>
          </cell>
          <cell r="T206">
            <v>1613.8333333333335</v>
          </cell>
          <cell r="U206" t="str">
            <v>PC</v>
          </cell>
          <cell r="V206">
            <v>186.75650557620818</v>
          </cell>
          <cell r="W206">
            <v>2</v>
          </cell>
          <cell r="X206" t="str">
            <v>EUR</v>
          </cell>
          <cell r="Y206" t="str">
            <v>German MGK 1</v>
          </cell>
          <cell r="Z206">
            <v>0</v>
          </cell>
          <cell r="AA206">
            <v>0</v>
          </cell>
          <cell r="AC206">
            <v>301393.87391573732</v>
          </cell>
          <cell r="AD206">
            <v>320532.38490938663</v>
          </cell>
          <cell r="AF206">
            <v>0</v>
          </cell>
          <cell r="AH206">
            <v>320532.38490938663</v>
          </cell>
          <cell r="AI206">
            <v>0.23709783177495308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420148.74024428439</v>
          </cell>
          <cell r="AP206" t="str">
            <v>II</v>
          </cell>
          <cell r="AQ206" t="str">
            <v>CF.5</v>
          </cell>
        </row>
        <row r="207">
          <cell r="B207" t="str">
            <v/>
          </cell>
          <cell r="H207" t="str">
            <v>--</v>
          </cell>
          <cell r="Q207" t="str">
            <v>EXT</v>
          </cell>
          <cell r="R207" t="str">
            <v>Placeholder</v>
          </cell>
          <cell r="W207">
            <v>1</v>
          </cell>
          <cell r="X207" t="str">
            <v>USD</v>
          </cell>
          <cell r="Z207">
            <v>0</v>
          </cell>
          <cell r="AA207">
            <v>0</v>
          </cell>
          <cell r="AC207">
            <v>0</v>
          </cell>
          <cell r="AD207">
            <v>0</v>
          </cell>
          <cell r="AF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P207" t="str">
            <v>X</v>
          </cell>
          <cell r="AQ207" t="str">
            <v/>
          </cell>
        </row>
        <row r="208">
          <cell r="B208" t="str">
            <v/>
          </cell>
          <cell r="H208" t="str">
            <v>--</v>
          </cell>
          <cell r="Q208" t="str">
            <v>EXT</v>
          </cell>
          <cell r="R208" t="str">
            <v>Placeholder</v>
          </cell>
          <cell r="W208">
            <v>1</v>
          </cell>
          <cell r="X208" t="str">
            <v>USD</v>
          </cell>
          <cell r="Z208">
            <v>0</v>
          </cell>
          <cell r="AA208">
            <v>0</v>
          </cell>
          <cell r="AC208">
            <v>0</v>
          </cell>
          <cell r="AD208">
            <v>0</v>
          </cell>
          <cell r="AF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P208" t="str">
            <v>X</v>
          </cell>
          <cell r="AQ208" t="str">
            <v/>
          </cell>
        </row>
        <row r="209">
          <cell r="I209" t="str">
            <v>4.6 Cable Supporting System</v>
          </cell>
        </row>
        <row r="210">
          <cell r="B210" t="str">
            <v>Low Level Control HW</v>
          </cell>
          <cell r="C210">
            <v>0</v>
          </cell>
          <cell r="D210">
            <v>4</v>
          </cell>
          <cell r="E210" t="str">
            <v>CL</v>
          </cell>
          <cell r="F210" t="str">
            <v>I_</v>
          </cell>
          <cell r="G210" t="str">
            <v>BU</v>
          </cell>
          <cell r="H210" t="str">
            <v>04-CL-I_-BU</v>
          </cell>
          <cell r="I210" t="str">
            <v>Cable Tray Cable Rack, Cable Trunking, Cable Ladder, Conduit</v>
          </cell>
          <cell r="Q210" t="str">
            <v>EXT</v>
          </cell>
          <cell r="R210" t="str">
            <v>Placeholder</v>
          </cell>
          <cell r="U210" t="str">
            <v>MT</v>
          </cell>
          <cell r="W210">
            <v>1</v>
          </cell>
          <cell r="X210" t="str">
            <v>USD</v>
          </cell>
          <cell r="Z210">
            <v>0</v>
          </cell>
          <cell r="AA210">
            <v>0</v>
          </cell>
          <cell r="AC210">
            <v>0</v>
          </cell>
          <cell r="AD210">
            <v>0</v>
          </cell>
          <cell r="AF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P210" t="str">
            <v>X</v>
          </cell>
          <cell r="AQ210" t="str">
            <v>CF.5</v>
          </cell>
        </row>
        <row r="211">
          <cell r="B211" t="str">
            <v/>
          </cell>
          <cell r="H211" t="str">
            <v>--</v>
          </cell>
          <cell r="Q211" t="str">
            <v>EXT</v>
          </cell>
          <cell r="R211" t="str">
            <v>Placeholder</v>
          </cell>
          <cell r="W211">
            <v>1</v>
          </cell>
          <cell r="X211" t="str">
            <v>USD</v>
          </cell>
          <cell r="Z211">
            <v>0</v>
          </cell>
          <cell r="AA211">
            <v>0</v>
          </cell>
          <cell r="AC211">
            <v>0</v>
          </cell>
          <cell r="AD211">
            <v>0</v>
          </cell>
          <cell r="AF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P211" t="str">
            <v>X</v>
          </cell>
          <cell r="AQ211" t="str">
            <v/>
          </cell>
        </row>
        <row r="212">
          <cell r="B212" t="str">
            <v/>
          </cell>
          <cell r="H212" t="str">
            <v>--</v>
          </cell>
          <cell r="Q212" t="str">
            <v>EXT</v>
          </cell>
          <cell r="R212" t="str">
            <v>Placeholder</v>
          </cell>
          <cell r="W212">
            <v>1</v>
          </cell>
          <cell r="X212" t="str">
            <v>USD</v>
          </cell>
          <cell r="Z212">
            <v>0</v>
          </cell>
          <cell r="AA212">
            <v>0</v>
          </cell>
          <cell r="AC212">
            <v>0</v>
          </cell>
          <cell r="AD212">
            <v>0</v>
          </cell>
          <cell r="AF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P212" t="str">
            <v>X</v>
          </cell>
          <cell r="AQ212" t="str">
            <v/>
          </cell>
        </row>
        <row r="213">
          <cell r="I213" t="str">
            <v>4.7 Wire and Cable</v>
          </cell>
        </row>
        <row r="214">
          <cell r="B214" t="str">
            <v>Low Level Control HW</v>
          </cell>
          <cell r="C214">
            <v>0</v>
          </cell>
          <cell r="D214">
            <v>4</v>
          </cell>
          <cell r="E214" t="str">
            <v>CW</v>
          </cell>
          <cell r="F214" t="str">
            <v>I_</v>
          </cell>
          <cell r="G214" t="str">
            <v>DB</v>
          </cell>
          <cell r="H214" t="str">
            <v>04-CW-I_-DB</v>
          </cell>
          <cell r="I214" t="str">
            <v>Low Voltage Power Cable</v>
          </cell>
          <cell r="Q214" t="str">
            <v>EXT</v>
          </cell>
          <cell r="R214" t="str">
            <v>Placeholder</v>
          </cell>
          <cell r="U214" t="str">
            <v>MT</v>
          </cell>
          <cell r="W214">
            <v>1</v>
          </cell>
          <cell r="X214" t="str">
            <v>USD</v>
          </cell>
          <cell r="Z214">
            <v>0</v>
          </cell>
          <cell r="AA214">
            <v>0</v>
          </cell>
          <cell r="AC214">
            <v>0</v>
          </cell>
          <cell r="AD214">
            <v>0</v>
          </cell>
          <cell r="AF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P214" t="str">
            <v>X</v>
          </cell>
          <cell r="AQ214" t="str">
            <v>CF.5</v>
          </cell>
        </row>
        <row r="215">
          <cell r="B215" t="str">
            <v>Low Level Control HW</v>
          </cell>
          <cell r="C215">
            <v>0</v>
          </cell>
          <cell r="D215">
            <v>4</v>
          </cell>
          <cell r="E215" t="str">
            <v>CW</v>
          </cell>
          <cell r="F215" t="str">
            <v>I_</v>
          </cell>
          <cell r="G215" t="str">
            <v>EB</v>
          </cell>
          <cell r="H215" t="str">
            <v>04-CW-I_-EB</v>
          </cell>
          <cell r="I215" t="str">
            <v>Earthing Cable</v>
          </cell>
          <cell r="Q215" t="str">
            <v>EXT</v>
          </cell>
          <cell r="R215" t="str">
            <v>Placeholder</v>
          </cell>
          <cell r="U215" t="str">
            <v>MT</v>
          </cell>
          <cell r="W215">
            <v>1</v>
          </cell>
          <cell r="X215" t="str">
            <v>USD</v>
          </cell>
          <cell r="Z215">
            <v>0</v>
          </cell>
          <cell r="AA215">
            <v>0</v>
          </cell>
          <cell r="AC215">
            <v>0</v>
          </cell>
          <cell r="AD215">
            <v>0</v>
          </cell>
          <cell r="AF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P215" t="str">
            <v>X</v>
          </cell>
          <cell r="AQ215" t="str">
            <v>CF.5</v>
          </cell>
        </row>
        <row r="216">
          <cell r="B216" t="str">
            <v>Low Level Control HW</v>
          </cell>
          <cell r="C216">
            <v>0</v>
          </cell>
          <cell r="D216">
            <v>4</v>
          </cell>
          <cell r="E216" t="str">
            <v>CW</v>
          </cell>
          <cell r="F216" t="str">
            <v>I_</v>
          </cell>
          <cell r="G216" t="str">
            <v>GA</v>
          </cell>
          <cell r="H216" t="str">
            <v>04-CW-I_-GA</v>
          </cell>
          <cell r="I216" t="str">
            <v>Signal Cable, CU Control Cable</v>
          </cell>
          <cell r="Q216" t="str">
            <v>EXT</v>
          </cell>
          <cell r="R216" t="str">
            <v>Placeholder</v>
          </cell>
          <cell r="U216" t="str">
            <v>MT</v>
          </cell>
          <cell r="W216">
            <v>1</v>
          </cell>
          <cell r="X216" t="str">
            <v>USD</v>
          </cell>
          <cell r="Z216">
            <v>0</v>
          </cell>
          <cell r="AA216">
            <v>0</v>
          </cell>
          <cell r="AC216">
            <v>0</v>
          </cell>
          <cell r="AD216">
            <v>0</v>
          </cell>
          <cell r="AF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P216" t="str">
            <v>X</v>
          </cell>
          <cell r="AQ216" t="str">
            <v>CF.5</v>
          </cell>
        </row>
        <row r="217">
          <cell r="B217" t="str">
            <v>Low Level Control HW</v>
          </cell>
          <cell r="C217">
            <v>0</v>
          </cell>
          <cell r="D217">
            <v>4</v>
          </cell>
          <cell r="E217" t="str">
            <v>CW</v>
          </cell>
          <cell r="F217" t="str">
            <v>I_</v>
          </cell>
          <cell r="G217" t="str">
            <v>GB</v>
          </cell>
          <cell r="H217" t="str">
            <v>04-CW-I_-GB</v>
          </cell>
          <cell r="I217" t="str">
            <v>Signal Cable, CU Data Cable</v>
          </cell>
          <cell r="Q217" t="str">
            <v>EXT</v>
          </cell>
          <cell r="R217" t="str">
            <v>Placeholder</v>
          </cell>
          <cell r="U217" t="str">
            <v>MT</v>
          </cell>
          <cell r="W217">
            <v>1</v>
          </cell>
          <cell r="X217" t="str">
            <v>USD</v>
          </cell>
          <cell r="Z217">
            <v>0</v>
          </cell>
          <cell r="AA217">
            <v>0</v>
          </cell>
          <cell r="AC217">
            <v>0</v>
          </cell>
          <cell r="AD217">
            <v>0</v>
          </cell>
          <cell r="AF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P217" t="str">
            <v>X</v>
          </cell>
          <cell r="AQ217" t="str">
            <v>CF.5</v>
          </cell>
        </row>
        <row r="218">
          <cell r="B218" t="str">
            <v>Low Level Control HW</v>
          </cell>
          <cell r="C218">
            <v>0</v>
          </cell>
          <cell r="D218">
            <v>4</v>
          </cell>
          <cell r="E218" t="str">
            <v>CW</v>
          </cell>
          <cell r="F218" t="str">
            <v>I_</v>
          </cell>
          <cell r="G218" t="str">
            <v>HA</v>
          </cell>
          <cell r="H218" t="str">
            <v>04-CW-I_-HA</v>
          </cell>
          <cell r="I218" t="str">
            <v>Signal Cable, Optical Fibre Optical Cable</v>
          </cell>
          <cell r="Q218" t="str">
            <v>EXT</v>
          </cell>
          <cell r="R218" t="str">
            <v>Placeholder</v>
          </cell>
          <cell r="U218" t="str">
            <v>MT</v>
          </cell>
          <cell r="W218">
            <v>1</v>
          </cell>
          <cell r="X218" t="str">
            <v>USD</v>
          </cell>
          <cell r="Z218">
            <v>0</v>
          </cell>
          <cell r="AA218">
            <v>0</v>
          </cell>
          <cell r="AC218">
            <v>0</v>
          </cell>
          <cell r="AD218">
            <v>0</v>
          </cell>
          <cell r="AF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P218" t="str">
            <v>X</v>
          </cell>
          <cell r="AQ218" t="str">
            <v>CF.5</v>
          </cell>
        </row>
        <row r="219">
          <cell r="B219" t="str">
            <v/>
          </cell>
          <cell r="H219" t="str">
            <v>--</v>
          </cell>
          <cell r="Q219" t="str">
            <v>EXT</v>
          </cell>
          <cell r="R219" t="str">
            <v>Placeholder</v>
          </cell>
          <cell r="W219">
            <v>1</v>
          </cell>
          <cell r="X219" t="str">
            <v>USD</v>
          </cell>
          <cell r="Z219">
            <v>0</v>
          </cell>
          <cell r="AA219">
            <v>0</v>
          </cell>
          <cell r="AC219">
            <v>0</v>
          </cell>
          <cell r="AD219">
            <v>0</v>
          </cell>
          <cell r="AF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P219" t="str">
            <v>X</v>
          </cell>
          <cell r="AQ219" t="str">
            <v/>
          </cell>
        </row>
        <row r="220">
          <cell r="B220" t="str">
            <v/>
          </cell>
          <cell r="H220" t="str">
            <v>--</v>
          </cell>
          <cell r="Q220" t="str">
            <v>EXT</v>
          </cell>
          <cell r="R220" t="str">
            <v>Placeholder</v>
          </cell>
          <cell r="W220">
            <v>1</v>
          </cell>
          <cell r="X220" t="str">
            <v>USD</v>
          </cell>
          <cell r="Z220">
            <v>0</v>
          </cell>
          <cell r="AA220">
            <v>0</v>
          </cell>
          <cell r="AC220">
            <v>0</v>
          </cell>
          <cell r="AD220">
            <v>0</v>
          </cell>
          <cell r="AF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P220" t="str">
            <v>X</v>
          </cell>
          <cell r="AQ220" t="str">
            <v/>
          </cell>
        </row>
        <row r="221">
          <cell r="I221" t="str">
            <v>4.8 Commissioning Spares</v>
          </cell>
        </row>
        <row r="222">
          <cell r="B222" t="str">
            <v>Low Level Control HW</v>
          </cell>
          <cell r="C222">
            <v>0</v>
          </cell>
          <cell r="D222">
            <v>4</v>
          </cell>
          <cell r="E222" t="str">
            <v>CP</v>
          </cell>
          <cell r="F222" t="str">
            <v>I_</v>
          </cell>
          <cell r="G222" t="str">
            <v>AB</v>
          </cell>
          <cell r="H222" t="str">
            <v>04-CP-I_-AB</v>
          </cell>
          <cell r="I222" t="str">
            <v>Electrical Spare Parts</v>
          </cell>
          <cell r="Q222" t="str">
            <v>EXT</v>
          </cell>
          <cell r="R222" t="str">
            <v>Placeholder</v>
          </cell>
          <cell r="U222" t="str">
            <v>LS</v>
          </cell>
          <cell r="W222">
            <v>1</v>
          </cell>
          <cell r="X222" t="str">
            <v>USD</v>
          </cell>
          <cell r="Z222">
            <v>0</v>
          </cell>
          <cell r="AA222">
            <v>0</v>
          </cell>
          <cell r="AC222">
            <v>0</v>
          </cell>
          <cell r="AD222">
            <v>0</v>
          </cell>
          <cell r="AF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P222" t="str">
            <v>X</v>
          </cell>
          <cell r="AQ222" t="str">
            <v>CF.5</v>
          </cell>
        </row>
        <row r="223">
          <cell r="B223" t="str">
            <v>Low Level Control HW</v>
          </cell>
          <cell r="C223">
            <v>0</v>
          </cell>
          <cell r="D223">
            <v>4</v>
          </cell>
          <cell r="E223" t="str">
            <v>CP</v>
          </cell>
          <cell r="F223" t="str">
            <v>I_</v>
          </cell>
          <cell r="G223" t="str">
            <v>AC</v>
          </cell>
          <cell r="H223" t="str">
            <v>04-CP-I_-AC</v>
          </cell>
          <cell r="I223" t="str">
            <v>Control Spare Parts</v>
          </cell>
          <cell r="J223" t="str">
            <v>=0,02% of Material</v>
          </cell>
          <cell r="L223" t="str">
            <v>Offshore:
GER
(MAT)</v>
          </cell>
          <cell r="Q223" t="str">
            <v>EXT</v>
          </cell>
          <cell r="R223" t="str">
            <v>Estimate</v>
          </cell>
          <cell r="T223">
            <v>1</v>
          </cell>
          <cell r="U223" t="str">
            <v>LS</v>
          </cell>
          <cell r="V223">
            <v>209645.45576695856</v>
          </cell>
          <cell r="W223">
            <v>2</v>
          </cell>
          <cell r="X223" t="str">
            <v>EUR</v>
          </cell>
          <cell r="Z223">
            <v>0</v>
          </cell>
          <cell r="AA223">
            <v>0</v>
          </cell>
          <cell r="AC223">
            <v>209645.45576695856</v>
          </cell>
          <cell r="AD223">
            <v>222957.94220816041</v>
          </cell>
          <cell r="AF223">
            <v>0</v>
          </cell>
          <cell r="AH223">
            <v>222957.94220816041</v>
          </cell>
          <cell r="AI223">
            <v>0.23709783177495308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292249.71627343772</v>
          </cell>
          <cell r="AP223" t="str">
            <v>IV.4.2</v>
          </cell>
          <cell r="AQ223" t="str">
            <v>CF.5</v>
          </cell>
        </row>
        <row r="224">
          <cell r="B224" t="str">
            <v/>
          </cell>
          <cell r="H224" t="str">
            <v>--</v>
          </cell>
          <cell r="Q224" t="str">
            <v>EXT</v>
          </cell>
          <cell r="R224" t="str">
            <v>Placeholder</v>
          </cell>
          <cell r="W224">
            <v>1</v>
          </cell>
          <cell r="X224" t="str">
            <v>USD</v>
          </cell>
          <cell r="Z224">
            <v>0</v>
          </cell>
          <cell r="AA224">
            <v>0</v>
          </cell>
          <cell r="AC224">
            <v>0</v>
          </cell>
          <cell r="AD224">
            <v>0</v>
          </cell>
          <cell r="AF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P224" t="str">
            <v>X</v>
          </cell>
          <cell r="AQ224" t="str">
            <v/>
          </cell>
        </row>
        <row r="225">
          <cell r="B225" t="str">
            <v/>
          </cell>
          <cell r="H225" t="str">
            <v>--</v>
          </cell>
          <cell r="Q225" t="str">
            <v>EXT</v>
          </cell>
          <cell r="R225" t="str">
            <v>Placeholder</v>
          </cell>
          <cell r="W225">
            <v>1</v>
          </cell>
          <cell r="X225" t="str">
            <v>USD</v>
          </cell>
          <cell r="Z225">
            <v>0</v>
          </cell>
          <cell r="AA225">
            <v>0</v>
          </cell>
          <cell r="AC225">
            <v>0</v>
          </cell>
          <cell r="AD225">
            <v>0</v>
          </cell>
          <cell r="AF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P225" t="str">
            <v>X</v>
          </cell>
          <cell r="AQ225" t="str">
            <v/>
          </cell>
        </row>
        <row r="226">
          <cell r="I226" t="str">
            <v>4.9 Inital Spare Part Package / Onsite Spares</v>
          </cell>
        </row>
        <row r="227">
          <cell r="B227" t="str">
            <v>Operation &amp; Maintenance - One-Time Cost</v>
          </cell>
          <cell r="C227" t="str">
            <v>W</v>
          </cell>
          <cell r="D227">
            <v>4</v>
          </cell>
          <cell r="E227" t="str">
            <v>CI</v>
          </cell>
          <cell r="F227" t="str">
            <v>I_</v>
          </cell>
          <cell r="G227" t="str">
            <v>AB</v>
          </cell>
          <cell r="H227" t="str">
            <v>W4-CI-I_-AB</v>
          </cell>
          <cell r="I227" t="str">
            <v>Electrical Spare Parts</v>
          </cell>
          <cell r="Q227" t="str">
            <v>EXT</v>
          </cell>
          <cell r="R227" t="str">
            <v>Placeholder</v>
          </cell>
          <cell r="U227" t="str">
            <v>LS</v>
          </cell>
          <cell r="W227">
            <v>1</v>
          </cell>
          <cell r="X227" t="str">
            <v>USD</v>
          </cell>
          <cell r="Z227">
            <v>0</v>
          </cell>
          <cell r="AA227">
            <v>0</v>
          </cell>
          <cell r="AC227">
            <v>0</v>
          </cell>
          <cell r="AD227">
            <v>0</v>
          </cell>
          <cell r="AF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P227" t="str">
            <v>X</v>
          </cell>
          <cell r="AQ227" t="str">
            <v>CF.15</v>
          </cell>
        </row>
        <row r="228">
          <cell r="B228" t="str">
            <v>Operation &amp; Maintenance - One-Time Cost</v>
          </cell>
          <cell r="C228" t="str">
            <v>W</v>
          </cell>
          <cell r="D228">
            <v>4</v>
          </cell>
          <cell r="E228" t="str">
            <v>CI</v>
          </cell>
          <cell r="F228" t="str">
            <v>I_</v>
          </cell>
          <cell r="G228" t="str">
            <v>AC</v>
          </cell>
          <cell r="H228" t="str">
            <v>W4-CI-I_-AC</v>
          </cell>
          <cell r="I228" t="str">
            <v>Control Spare Parts</v>
          </cell>
          <cell r="J228" t="str">
            <v>=0,02% of Material</v>
          </cell>
          <cell r="L228" t="str">
            <v>Offshore:
GER
(MAT)</v>
          </cell>
          <cell r="Q228" t="str">
            <v>EXT</v>
          </cell>
          <cell r="R228" t="str">
            <v>Estimate</v>
          </cell>
          <cell r="T228">
            <v>1</v>
          </cell>
          <cell r="U228" t="str">
            <v>LS</v>
          </cell>
          <cell r="V228">
            <v>209645.45576695856</v>
          </cell>
          <cell r="W228">
            <v>2</v>
          </cell>
          <cell r="X228" t="str">
            <v>EUR</v>
          </cell>
          <cell r="Z228">
            <v>0</v>
          </cell>
          <cell r="AA228">
            <v>0</v>
          </cell>
          <cell r="AC228">
            <v>209645.45576695856</v>
          </cell>
          <cell r="AD228">
            <v>222957.94220816041</v>
          </cell>
          <cell r="AF228">
            <v>0</v>
          </cell>
          <cell r="AH228">
            <v>222957.94220816041</v>
          </cell>
          <cell r="AI228">
            <v>0.23709783177495308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292249.71627343772</v>
          </cell>
          <cell r="AP228" t="str">
            <v>IV.4.2</v>
          </cell>
          <cell r="AQ228" t="str">
            <v>CF.15</v>
          </cell>
        </row>
        <row r="229">
          <cell r="B229" t="str">
            <v/>
          </cell>
          <cell r="H229" t="str">
            <v>--</v>
          </cell>
          <cell r="Q229" t="str">
            <v>EXT</v>
          </cell>
          <cell r="R229" t="str">
            <v>Placeholder</v>
          </cell>
          <cell r="W229">
            <v>1</v>
          </cell>
          <cell r="X229" t="str">
            <v>USD</v>
          </cell>
          <cell r="Z229">
            <v>0</v>
          </cell>
          <cell r="AA229">
            <v>0</v>
          </cell>
          <cell r="AC229">
            <v>0</v>
          </cell>
          <cell r="AD229">
            <v>0</v>
          </cell>
          <cell r="AF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P229" t="str">
            <v>X</v>
          </cell>
          <cell r="AQ229" t="str">
            <v/>
          </cell>
        </row>
        <row r="230">
          <cell r="B230" t="str">
            <v/>
          </cell>
          <cell r="H230" t="str">
            <v>--</v>
          </cell>
          <cell r="Q230" t="str">
            <v>EXT</v>
          </cell>
          <cell r="R230" t="str">
            <v>Placeholder</v>
          </cell>
          <cell r="W230">
            <v>1</v>
          </cell>
          <cell r="X230" t="str">
            <v>USD</v>
          </cell>
          <cell r="Z230">
            <v>0</v>
          </cell>
          <cell r="AA230">
            <v>0</v>
          </cell>
          <cell r="AC230">
            <v>0</v>
          </cell>
          <cell r="AD230">
            <v>0</v>
          </cell>
          <cell r="AF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P230" t="str">
            <v>X</v>
          </cell>
          <cell r="AQ230" t="str">
            <v/>
          </cell>
        </row>
        <row r="231">
          <cell r="B231" t="str">
            <v>Subtotal - 5</v>
          </cell>
          <cell r="I231" t="str">
            <v>5. Early Bag Storage System</v>
          </cell>
        </row>
        <row r="232">
          <cell r="I232" t="str">
            <v>5.1 Control Panel (LP = Power and PLC Part)</v>
          </cell>
        </row>
        <row r="233">
          <cell r="B233" t="str">
            <v>Low Level Control HW</v>
          </cell>
          <cell r="C233">
            <v>0</v>
          </cell>
          <cell r="D233">
            <v>4</v>
          </cell>
          <cell r="E233" t="str">
            <v>CU</v>
          </cell>
          <cell r="F233" t="str">
            <v>E_</v>
          </cell>
          <cell r="G233" t="str">
            <v>CB</v>
          </cell>
          <cell r="H233" t="str">
            <v>04-CU-E_-CB</v>
          </cell>
          <cell r="I233" t="str">
            <v>LP PLC Panel EBS (1500)</v>
          </cell>
          <cell r="L233" t="str">
            <v>Offshore:
GER
(MAT)</v>
          </cell>
          <cell r="M233" t="str">
            <v>StHo</v>
          </cell>
          <cell r="N233">
            <v>44867</v>
          </cell>
          <cell r="O233" t="str">
            <v>EBS_Estimate</v>
          </cell>
          <cell r="P233" t="str">
            <v>Siemens WKC/ESTIM</v>
          </cell>
          <cell r="Q233" t="str">
            <v>OSE</v>
          </cell>
          <cell r="R233" t="str">
            <v>Estimate</v>
          </cell>
          <cell r="T233">
            <v>3</v>
          </cell>
          <cell r="U233" t="str">
            <v>PC</v>
          </cell>
          <cell r="V233">
            <v>24850</v>
          </cell>
          <cell r="W233">
            <v>2</v>
          </cell>
          <cell r="X233" t="str">
            <v>EUR</v>
          </cell>
          <cell r="Z233">
            <v>0</v>
          </cell>
          <cell r="AA233">
            <v>0</v>
          </cell>
          <cell r="AC233">
            <v>74550</v>
          </cell>
          <cell r="AD233">
            <v>79283.924999999988</v>
          </cell>
          <cell r="AF233">
            <v>0</v>
          </cell>
          <cell r="AH233">
            <v>79283.924999999988</v>
          </cell>
          <cell r="AI233">
            <v>0.23709783177495308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103924.10495366712</v>
          </cell>
          <cell r="AP233" t="str">
            <v>I.19</v>
          </cell>
          <cell r="AQ233" t="str">
            <v>CF.5</v>
          </cell>
        </row>
        <row r="234">
          <cell r="B234" t="str">
            <v/>
          </cell>
          <cell r="H234" t="str">
            <v>--</v>
          </cell>
          <cell r="Q234" t="str">
            <v>EXT</v>
          </cell>
          <cell r="R234" t="str">
            <v>Placeholder</v>
          </cell>
          <cell r="W234">
            <v>1</v>
          </cell>
          <cell r="X234" t="str">
            <v>USD</v>
          </cell>
          <cell r="Z234">
            <v>0</v>
          </cell>
          <cell r="AA234">
            <v>0</v>
          </cell>
          <cell r="AC234">
            <v>0</v>
          </cell>
          <cell r="AD234">
            <v>0</v>
          </cell>
          <cell r="AF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P234" t="str">
            <v>X</v>
          </cell>
          <cell r="AQ234" t="str">
            <v/>
          </cell>
        </row>
        <row r="235">
          <cell r="B235" t="str">
            <v/>
          </cell>
          <cell r="H235" t="str">
            <v>--</v>
          </cell>
          <cell r="Q235" t="str">
            <v>EXT</v>
          </cell>
          <cell r="R235" t="str">
            <v>Placeholder</v>
          </cell>
          <cell r="W235">
            <v>1</v>
          </cell>
          <cell r="X235" t="str">
            <v>USD</v>
          </cell>
          <cell r="Z235">
            <v>0</v>
          </cell>
          <cell r="AA235">
            <v>0</v>
          </cell>
          <cell r="AC235">
            <v>0</v>
          </cell>
          <cell r="AD235">
            <v>0</v>
          </cell>
          <cell r="AF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P235" t="str">
            <v>X</v>
          </cell>
          <cell r="AQ235" t="str">
            <v/>
          </cell>
        </row>
        <row r="236">
          <cell r="I236" t="str">
            <v>5.2 Field Panels (PM, PFC, …)</v>
          </cell>
        </row>
        <row r="237">
          <cell r="B237" t="str">
            <v>Low Level Control HW</v>
          </cell>
          <cell r="C237">
            <v>0</v>
          </cell>
          <cell r="D237">
            <v>4</v>
          </cell>
          <cell r="E237" t="str">
            <v>CU</v>
          </cell>
          <cell r="F237" t="str">
            <v>E_</v>
          </cell>
          <cell r="G237" t="str">
            <v>CL</v>
          </cell>
          <cell r="H237" t="str">
            <v>04-CU-E_-CL</v>
          </cell>
          <cell r="I237" t="str">
            <v>Lift Control Board (EL001) IN</v>
          </cell>
          <cell r="L237" t="str">
            <v>Offshore:
GER
(MAT)</v>
          </cell>
          <cell r="M237" t="str">
            <v>StHo</v>
          </cell>
          <cell r="N237">
            <v>44867</v>
          </cell>
          <cell r="O237" t="str">
            <v>EBS_Estimate</v>
          </cell>
          <cell r="P237" t="str">
            <v>Siemens WKC/ESTIM</v>
          </cell>
          <cell r="Q237" t="str">
            <v>OSE</v>
          </cell>
          <cell r="R237" t="str">
            <v>Estimate</v>
          </cell>
          <cell r="T237">
            <v>9</v>
          </cell>
          <cell r="U237" t="str">
            <v>PC</v>
          </cell>
          <cell r="V237">
            <v>10120</v>
          </cell>
          <cell r="W237">
            <v>2</v>
          </cell>
          <cell r="X237" t="str">
            <v>EUR</v>
          </cell>
          <cell r="Z237">
            <v>0</v>
          </cell>
          <cell r="AA237">
            <v>0</v>
          </cell>
          <cell r="AC237">
            <v>91080</v>
          </cell>
          <cell r="AD237">
            <v>96863.579999999987</v>
          </cell>
          <cell r="AF237">
            <v>0</v>
          </cell>
          <cell r="AH237">
            <v>96863.579999999987</v>
          </cell>
          <cell r="AI237">
            <v>0.23709783177495308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126967.23647458083</v>
          </cell>
          <cell r="AP237" t="str">
            <v>I.19</v>
          </cell>
          <cell r="AQ237" t="str">
            <v>CF.5</v>
          </cell>
        </row>
        <row r="238">
          <cell r="B238" t="str">
            <v>Low Level Control HW</v>
          </cell>
          <cell r="C238">
            <v>0</v>
          </cell>
          <cell r="D238">
            <v>4</v>
          </cell>
          <cell r="E238" t="str">
            <v>CU</v>
          </cell>
          <cell r="F238" t="str">
            <v>E_</v>
          </cell>
          <cell r="G238" t="str">
            <v>CL</v>
          </cell>
          <cell r="H238" t="str">
            <v>04-CU-E_-CL</v>
          </cell>
          <cell r="I238" t="str">
            <v>Lift Control Board (EL002) OUT</v>
          </cell>
          <cell r="Q238" t="str">
            <v>EXT</v>
          </cell>
          <cell r="R238" t="str">
            <v>Placeholder</v>
          </cell>
          <cell r="U238" t="str">
            <v>PC</v>
          </cell>
          <cell r="W238">
            <v>1</v>
          </cell>
          <cell r="X238" t="str">
            <v>USD</v>
          </cell>
          <cell r="Z238">
            <v>0</v>
          </cell>
          <cell r="AA238">
            <v>0</v>
          </cell>
          <cell r="AC238">
            <v>0</v>
          </cell>
          <cell r="AD238">
            <v>0</v>
          </cell>
          <cell r="AF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P238" t="str">
            <v>X</v>
          </cell>
          <cell r="AQ238" t="str">
            <v>CF.5</v>
          </cell>
        </row>
        <row r="239">
          <cell r="B239" t="str">
            <v/>
          </cell>
          <cell r="H239" t="str">
            <v>--</v>
          </cell>
          <cell r="Q239" t="str">
            <v>EXT</v>
          </cell>
          <cell r="R239" t="str">
            <v>Placeholder</v>
          </cell>
          <cell r="W239">
            <v>1</v>
          </cell>
          <cell r="X239" t="str">
            <v>USD</v>
          </cell>
          <cell r="Z239">
            <v>0</v>
          </cell>
          <cell r="AA239">
            <v>0</v>
          </cell>
          <cell r="AC239">
            <v>0</v>
          </cell>
          <cell r="AD239">
            <v>0</v>
          </cell>
          <cell r="AF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P239" t="str">
            <v>X</v>
          </cell>
          <cell r="AQ239" t="str">
            <v/>
          </cell>
        </row>
        <row r="240">
          <cell r="B240" t="str">
            <v/>
          </cell>
          <cell r="H240" t="str">
            <v>--</v>
          </cell>
          <cell r="Q240" t="str">
            <v>EXT</v>
          </cell>
          <cell r="R240" t="str">
            <v>Placeholder</v>
          </cell>
          <cell r="W240">
            <v>1</v>
          </cell>
          <cell r="X240" t="str">
            <v>USD</v>
          </cell>
          <cell r="Z240">
            <v>0</v>
          </cell>
          <cell r="AA240">
            <v>0</v>
          </cell>
          <cell r="AC240">
            <v>0</v>
          </cell>
          <cell r="AD240">
            <v>0</v>
          </cell>
          <cell r="AF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P240" t="str">
            <v>X</v>
          </cell>
          <cell r="AQ240" t="str">
            <v/>
          </cell>
        </row>
        <row r="241">
          <cell r="I241" t="str">
            <v>5.3 Field Devices Sensors…</v>
          </cell>
        </row>
        <row r="242">
          <cell r="B242" t="str">
            <v>Low Level Control HW</v>
          </cell>
          <cell r="C242">
            <v>0</v>
          </cell>
          <cell r="D242">
            <v>4</v>
          </cell>
          <cell r="E242" t="str">
            <v>CC</v>
          </cell>
          <cell r="F242" t="str">
            <v>E_</v>
          </cell>
          <cell r="G242" t="str">
            <v>BA</v>
          </cell>
          <cell r="H242" t="str">
            <v>04-CC-E_-BA</v>
          </cell>
          <cell r="I242" t="str">
            <v>Field Devices I/O Devices</v>
          </cell>
          <cell r="Q242" t="str">
            <v>EXT</v>
          </cell>
          <cell r="R242" t="str">
            <v>Placeholder</v>
          </cell>
          <cell r="U242" t="str">
            <v>PC</v>
          </cell>
          <cell r="W242">
            <v>1</v>
          </cell>
          <cell r="X242" t="str">
            <v>USD</v>
          </cell>
          <cell r="Z242">
            <v>0</v>
          </cell>
          <cell r="AA242">
            <v>0</v>
          </cell>
          <cell r="AC242">
            <v>0</v>
          </cell>
          <cell r="AD242">
            <v>0</v>
          </cell>
          <cell r="AF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P242" t="str">
            <v>X</v>
          </cell>
          <cell r="AQ242" t="str">
            <v>CF.5</v>
          </cell>
        </row>
        <row r="243">
          <cell r="B243" t="str">
            <v>Low Level Control HW</v>
          </cell>
          <cell r="C243">
            <v>0</v>
          </cell>
          <cell r="D243">
            <v>4</v>
          </cell>
          <cell r="E243" t="str">
            <v>CC</v>
          </cell>
          <cell r="F243" t="str">
            <v>E_</v>
          </cell>
          <cell r="G243" t="str">
            <v>BG</v>
          </cell>
          <cell r="H243" t="str">
            <v>04-CC-E_-BG</v>
          </cell>
          <cell r="I243" t="str">
            <v>Field Devices Actors, Sensors</v>
          </cell>
          <cell r="L243" t="str">
            <v>Offshore:
GER
(MAT)</v>
          </cell>
          <cell r="M243" t="str">
            <v>StHo</v>
          </cell>
          <cell r="N243">
            <v>44867</v>
          </cell>
          <cell r="O243" t="str">
            <v>EBS_Estimate</v>
          </cell>
          <cell r="Q243" t="str">
            <v>EXT</v>
          </cell>
          <cell r="R243" t="str">
            <v>Estimate</v>
          </cell>
          <cell r="T243">
            <v>5</v>
          </cell>
          <cell r="U243" t="str">
            <v>LS</v>
          </cell>
          <cell r="V243">
            <v>22069</v>
          </cell>
          <cell r="W243">
            <v>2</v>
          </cell>
          <cell r="X243" t="str">
            <v>EUR</v>
          </cell>
          <cell r="Z243">
            <v>0</v>
          </cell>
          <cell r="AA243">
            <v>0</v>
          </cell>
          <cell r="AC243">
            <v>110345</v>
          </cell>
          <cell r="AD243">
            <v>117351.90749999999</v>
          </cell>
          <cell r="AF243">
            <v>0</v>
          </cell>
          <cell r="AH243">
            <v>117351.90749999999</v>
          </cell>
          <cell r="AI243">
            <v>0.23709783177495308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153823.00953873104</v>
          </cell>
          <cell r="AP243" t="str">
            <v>I.19</v>
          </cell>
          <cell r="AQ243" t="str">
            <v>CF.5</v>
          </cell>
        </row>
        <row r="244">
          <cell r="B244" t="str">
            <v>Low Level Control HW</v>
          </cell>
          <cell r="C244">
            <v>0</v>
          </cell>
          <cell r="D244">
            <v>4</v>
          </cell>
          <cell r="E244" t="str">
            <v>CC</v>
          </cell>
          <cell r="F244" t="str">
            <v>E_</v>
          </cell>
          <cell r="G244" t="str">
            <v>BU</v>
          </cell>
          <cell r="H244" t="str">
            <v>04-CC-E_-BU</v>
          </cell>
          <cell r="I244" t="str">
            <v>Field Devices Equipment Brackets &amp; Supports</v>
          </cell>
          <cell r="Q244" t="str">
            <v>EXT</v>
          </cell>
          <cell r="R244" t="str">
            <v>Placeholder</v>
          </cell>
          <cell r="U244" t="str">
            <v>PC</v>
          </cell>
          <cell r="W244">
            <v>1</v>
          </cell>
          <cell r="X244" t="str">
            <v>USD</v>
          </cell>
          <cell r="Z244">
            <v>0</v>
          </cell>
          <cell r="AA244">
            <v>0</v>
          </cell>
          <cell r="AC244">
            <v>0</v>
          </cell>
          <cell r="AD244">
            <v>0</v>
          </cell>
          <cell r="AF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P244" t="str">
            <v>X</v>
          </cell>
          <cell r="AQ244" t="str">
            <v>CF.5</v>
          </cell>
        </row>
        <row r="245">
          <cell r="B245" t="str">
            <v>Low Level Control HW</v>
          </cell>
          <cell r="C245">
            <v>0</v>
          </cell>
          <cell r="D245">
            <v>4</v>
          </cell>
          <cell r="E245" t="str">
            <v>CC</v>
          </cell>
          <cell r="F245" t="str">
            <v>E_</v>
          </cell>
          <cell r="G245" t="str">
            <v>BW</v>
          </cell>
          <cell r="H245" t="str">
            <v>04-CC-E_-BW</v>
          </cell>
          <cell r="I245" t="str">
            <v>Field Devices Premanu. Sensor cable</v>
          </cell>
          <cell r="Q245" t="str">
            <v>EXT</v>
          </cell>
          <cell r="R245" t="str">
            <v>Placeholder</v>
          </cell>
          <cell r="U245" t="str">
            <v>PC</v>
          </cell>
          <cell r="W245">
            <v>1</v>
          </cell>
          <cell r="X245" t="str">
            <v>USD</v>
          </cell>
          <cell r="Z245">
            <v>0</v>
          </cell>
          <cell r="AA245">
            <v>0</v>
          </cell>
          <cell r="AC245">
            <v>0</v>
          </cell>
          <cell r="AD245">
            <v>0</v>
          </cell>
          <cell r="AF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P245" t="str">
            <v>X</v>
          </cell>
          <cell r="AQ245" t="str">
            <v>CF.5</v>
          </cell>
        </row>
        <row r="246">
          <cell r="B246" t="str">
            <v>Low Level Control HW</v>
          </cell>
          <cell r="C246">
            <v>0</v>
          </cell>
          <cell r="D246">
            <v>4</v>
          </cell>
          <cell r="E246" t="str">
            <v>CC</v>
          </cell>
          <cell r="F246" t="str">
            <v>E_</v>
          </cell>
          <cell r="G246" t="str">
            <v>BY</v>
          </cell>
          <cell r="H246" t="str">
            <v>04-CC-E_-BY</v>
          </cell>
          <cell r="I246" t="str">
            <v>Field Devices Barcode Reader (Moby, BPS…)</v>
          </cell>
          <cell r="Q246" t="str">
            <v>EXT</v>
          </cell>
          <cell r="R246" t="str">
            <v>Placeholder</v>
          </cell>
          <cell r="U246" t="str">
            <v>PC</v>
          </cell>
          <cell r="W246">
            <v>1</v>
          </cell>
          <cell r="X246" t="str">
            <v>USD</v>
          </cell>
          <cell r="Z246">
            <v>0</v>
          </cell>
          <cell r="AA246">
            <v>0</v>
          </cell>
          <cell r="AC246">
            <v>0</v>
          </cell>
          <cell r="AD246">
            <v>0</v>
          </cell>
          <cell r="AF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P246" t="str">
            <v>X</v>
          </cell>
          <cell r="AQ246" t="str">
            <v>CF.5</v>
          </cell>
        </row>
        <row r="247">
          <cell r="B247" t="str">
            <v>Low Level Control HW</v>
          </cell>
          <cell r="C247">
            <v>0</v>
          </cell>
          <cell r="D247">
            <v>4</v>
          </cell>
          <cell r="E247" t="str">
            <v>CC</v>
          </cell>
          <cell r="F247" t="str">
            <v>E_</v>
          </cell>
          <cell r="G247" t="str">
            <v>SJ</v>
          </cell>
          <cell r="H247" t="str">
            <v>04-CC-E_-SJ</v>
          </cell>
          <cell r="I247" t="str">
            <v>Field Devices Control Stations (CS)</v>
          </cell>
          <cell r="L247" t="str">
            <v>Offshore:
GER
(MAT)</v>
          </cell>
          <cell r="M247" t="str">
            <v>StHo</v>
          </cell>
          <cell r="N247">
            <v>44867</v>
          </cell>
          <cell r="O247" t="str">
            <v>EBS_Estimate</v>
          </cell>
          <cell r="P247" t="str">
            <v>ESTIM</v>
          </cell>
          <cell r="Q247" t="str">
            <v>OSE</v>
          </cell>
          <cell r="R247" t="str">
            <v>Estimate</v>
          </cell>
          <cell r="T247">
            <v>15</v>
          </cell>
          <cell r="U247" t="str">
            <v>PC</v>
          </cell>
          <cell r="V247">
            <v>77</v>
          </cell>
          <cell r="W247">
            <v>2</v>
          </cell>
          <cell r="X247" t="str">
            <v>EUR</v>
          </cell>
          <cell r="Z247">
            <v>0</v>
          </cell>
          <cell r="AA247">
            <v>0</v>
          </cell>
          <cell r="AC247">
            <v>1155</v>
          </cell>
          <cell r="AD247">
            <v>1228.3425</v>
          </cell>
          <cell r="AF247">
            <v>0</v>
          </cell>
          <cell r="AH247">
            <v>1228.3425</v>
          </cell>
          <cell r="AI247">
            <v>0.23709783177495308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1610.0917668878005</v>
          </cell>
          <cell r="AP247" t="str">
            <v>I.19</v>
          </cell>
          <cell r="AQ247" t="str">
            <v>CF.5</v>
          </cell>
        </row>
        <row r="248">
          <cell r="B248" t="str">
            <v/>
          </cell>
          <cell r="H248" t="str">
            <v>--</v>
          </cell>
          <cell r="Q248" t="str">
            <v>EXT</v>
          </cell>
          <cell r="R248" t="str">
            <v>Placeholder</v>
          </cell>
          <cell r="W248">
            <v>1</v>
          </cell>
          <cell r="X248" t="str">
            <v>USD</v>
          </cell>
          <cell r="Z248">
            <v>0</v>
          </cell>
          <cell r="AA248">
            <v>0</v>
          </cell>
          <cell r="AC248">
            <v>0</v>
          </cell>
          <cell r="AD248">
            <v>0</v>
          </cell>
          <cell r="AF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P248" t="str">
            <v>X</v>
          </cell>
          <cell r="AQ248" t="str">
            <v/>
          </cell>
        </row>
        <row r="249">
          <cell r="B249" t="str">
            <v/>
          </cell>
          <cell r="H249" t="str">
            <v>--</v>
          </cell>
          <cell r="Q249" t="str">
            <v>EXT</v>
          </cell>
          <cell r="R249" t="str">
            <v>Placeholder</v>
          </cell>
          <cell r="W249">
            <v>1</v>
          </cell>
          <cell r="X249" t="str">
            <v>USD</v>
          </cell>
          <cell r="Z249">
            <v>0</v>
          </cell>
          <cell r="AA249">
            <v>0</v>
          </cell>
          <cell r="AC249">
            <v>0</v>
          </cell>
          <cell r="AD249">
            <v>0</v>
          </cell>
          <cell r="AF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P249" t="str">
            <v>X</v>
          </cell>
          <cell r="AQ249" t="str">
            <v/>
          </cell>
        </row>
        <row r="250">
          <cell r="I250" t="str">
            <v>5.4 Cable Supporting System</v>
          </cell>
        </row>
        <row r="251">
          <cell r="B251" t="str">
            <v>Low Level Control HW</v>
          </cell>
          <cell r="C251">
            <v>0</v>
          </cell>
          <cell r="D251">
            <v>4</v>
          </cell>
          <cell r="E251" t="str">
            <v>CL</v>
          </cell>
          <cell r="F251" t="str">
            <v>E_</v>
          </cell>
          <cell r="G251" t="str">
            <v>BU</v>
          </cell>
          <cell r="H251" t="str">
            <v>04-CL-E_-BU</v>
          </cell>
          <cell r="I251" t="str">
            <v>Cable Tray Cable Rack, Cable Trunking, Cable Ladder, Conduit</v>
          </cell>
          <cell r="Q251" t="str">
            <v>EXT</v>
          </cell>
          <cell r="R251" t="str">
            <v>Placeholder</v>
          </cell>
          <cell r="U251" t="str">
            <v>MT</v>
          </cell>
          <cell r="W251">
            <v>1</v>
          </cell>
          <cell r="X251" t="str">
            <v>USD</v>
          </cell>
          <cell r="Z251">
            <v>0</v>
          </cell>
          <cell r="AA251">
            <v>0</v>
          </cell>
          <cell r="AC251">
            <v>0</v>
          </cell>
          <cell r="AD251">
            <v>0</v>
          </cell>
          <cell r="AF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P251" t="str">
            <v>X</v>
          </cell>
          <cell r="AQ251" t="str">
            <v>CF.5</v>
          </cell>
        </row>
        <row r="252">
          <cell r="B252" t="str">
            <v/>
          </cell>
          <cell r="H252" t="str">
            <v>--</v>
          </cell>
          <cell r="Q252" t="str">
            <v>EXT</v>
          </cell>
          <cell r="R252" t="str">
            <v>Placeholder</v>
          </cell>
          <cell r="W252">
            <v>1</v>
          </cell>
          <cell r="X252" t="str">
            <v>USD</v>
          </cell>
          <cell r="Z252">
            <v>0</v>
          </cell>
          <cell r="AA252">
            <v>0</v>
          </cell>
          <cell r="AC252">
            <v>0</v>
          </cell>
          <cell r="AD252">
            <v>0</v>
          </cell>
          <cell r="AF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P252" t="str">
            <v>X</v>
          </cell>
          <cell r="AQ252" t="str">
            <v/>
          </cell>
        </row>
        <row r="253">
          <cell r="B253" t="str">
            <v/>
          </cell>
          <cell r="H253" t="str">
            <v>--</v>
          </cell>
          <cell r="Q253" t="str">
            <v>EXT</v>
          </cell>
          <cell r="R253" t="str">
            <v>Placeholder</v>
          </cell>
          <cell r="W253">
            <v>1</v>
          </cell>
          <cell r="X253" t="str">
            <v>USD</v>
          </cell>
          <cell r="Z253">
            <v>0</v>
          </cell>
          <cell r="AA253">
            <v>0</v>
          </cell>
          <cell r="AC253">
            <v>0</v>
          </cell>
          <cell r="AD253">
            <v>0</v>
          </cell>
          <cell r="AF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P253" t="str">
            <v>X</v>
          </cell>
          <cell r="AQ253" t="str">
            <v/>
          </cell>
        </row>
        <row r="254">
          <cell r="I254" t="str">
            <v>5.5 Wire and Cable</v>
          </cell>
        </row>
        <row r="255">
          <cell r="B255" t="str">
            <v>Low Level Control HW</v>
          </cell>
          <cell r="C255">
            <v>0</v>
          </cell>
          <cell r="D255">
            <v>4</v>
          </cell>
          <cell r="E255" t="str">
            <v>CW</v>
          </cell>
          <cell r="F255" t="str">
            <v>E_</v>
          </cell>
          <cell r="G255" t="str">
            <v>DA</v>
          </cell>
          <cell r="H255" t="str">
            <v>04-CW-E_-DA</v>
          </cell>
          <cell r="I255" t="str">
            <v>Power Feed Rail</v>
          </cell>
          <cell r="Q255" t="str">
            <v>EXT</v>
          </cell>
          <cell r="R255" t="str">
            <v>Placeholder</v>
          </cell>
          <cell r="U255" t="str">
            <v>MT</v>
          </cell>
          <cell r="W255">
            <v>1</v>
          </cell>
          <cell r="X255" t="str">
            <v>USD</v>
          </cell>
          <cell r="Z255">
            <v>0</v>
          </cell>
          <cell r="AA255">
            <v>0</v>
          </cell>
          <cell r="AC255">
            <v>0</v>
          </cell>
          <cell r="AD255">
            <v>0</v>
          </cell>
          <cell r="AF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P255" t="str">
            <v>X</v>
          </cell>
          <cell r="AQ255" t="str">
            <v>CF.5</v>
          </cell>
        </row>
        <row r="256">
          <cell r="B256" t="str">
            <v>Low Level Control HW</v>
          </cell>
          <cell r="C256">
            <v>0</v>
          </cell>
          <cell r="D256">
            <v>4</v>
          </cell>
          <cell r="E256" t="str">
            <v>CW</v>
          </cell>
          <cell r="F256" t="str">
            <v>E_</v>
          </cell>
          <cell r="G256" t="str">
            <v>DB</v>
          </cell>
          <cell r="H256" t="str">
            <v>04-CW-E_-DB</v>
          </cell>
          <cell r="I256" t="str">
            <v>Low Voltage Power Cable</v>
          </cell>
          <cell r="Q256" t="str">
            <v>EXT</v>
          </cell>
          <cell r="R256" t="str">
            <v>Placeholder</v>
          </cell>
          <cell r="U256" t="str">
            <v>MT</v>
          </cell>
          <cell r="W256">
            <v>1</v>
          </cell>
          <cell r="X256" t="str">
            <v>USD</v>
          </cell>
          <cell r="Z256">
            <v>0</v>
          </cell>
          <cell r="AA256">
            <v>0</v>
          </cell>
          <cell r="AC256">
            <v>0</v>
          </cell>
          <cell r="AD256">
            <v>0</v>
          </cell>
          <cell r="AF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P256" t="str">
            <v>X</v>
          </cell>
          <cell r="AQ256" t="str">
            <v>CF.5</v>
          </cell>
        </row>
        <row r="257">
          <cell r="B257" t="str">
            <v>Low Level Control HW</v>
          </cell>
          <cell r="C257">
            <v>0</v>
          </cell>
          <cell r="D257">
            <v>4</v>
          </cell>
          <cell r="E257" t="str">
            <v>CW</v>
          </cell>
          <cell r="F257" t="str">
            <v>E_</v>
          </cell>
          <cell r="G257" t="str">
            <v>EB</v>
          </cell>
          <cell r="H257" t="str">
            <v>04-CW-E_-EB</v>
          </cell>
          <cell r="I257" t="str">
            <v>Earthing Cable</v>
          </cell>
          <cell r="Q257" t="str">
            <v>EXT</v>
          </cell>
          <cell r="R257" t="str">
            <v>Placeholder</v>
          </cell>
          <cell r="U257" t="str">
            <v>MT</v>
          </cell>
          <cell r="W257">
            <v>1</v>
          </cell>
          <cell r="X257" t="str">
            <v>USD</v>
          </cell>
          <cell r="Z257">
            <v>0</v>
          </cell>
          <cell r="AA257">
            <v>0</v>
          </cell>
          <cell r="AC257">
            <v>0</v>
          </cell>
          <cell r="AD257">
            <v>0</v>
          </cell>
          <cell r="AF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P257" t="str">
            <v>X</v>
          </cell>
          <cell r="AQ257" t="str">
            <v>CF.5</v>
          </cell>
        </row>
        <row r="258">
          <cell r="B258" t="str">
            <v>Low Level Control HW</v>
          </cell>
          <cell r="C258">
            <v>0</v>
          </cell>
          <cell r="D258">
            <v>4</v>
          </cell>
          <cell r="E258" t="str">
            <v>CW</v>
          </cell>
          <cell r="F258" t="str">
            <v>E_</v>
          </cell>
          <cell r="G258" t="str">
            <v>GA</v>
          </cell>
          <cell r="H258" t="str">
            <v>04-CW-E_-GA</v>
          </cell>
          <cell r="I258" t="str">
            <v>Signal Cable, CU Control Cable</v>
          </cell>
          <cell r="Q258" t="str">
            <v>EXT</v>
          </cell>
          <cell r="R258" t="str">
            <v>Placeholder</v>
          </cell>
          <cell r="U258" t="str">
            <v>MT</v>
          </cell>
          <cell r="W258">
            <v>1</v>
          </cell>
          <cell r="X258" t="str">
            <v>USD</v>
          </cell>
          <cell r="Z258">
            <v>0</v>
          </cell>
          <cell r="AA258">
            <v>0</v>
          </cell>
          <cell r="AC258">
            <v>0</v>
          </cell>
          <cell r="AD258">
            <v>0</v>
          </cell>
          <cell r="AF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P258" t="str">
            <v>X</v>
          </cell>
          <cell r="AQ258" t="str">
            <v>CF.5</v>
          </cell>
        </row>
        <row r="259">
          <cell r="B259" t="str">
            <v>Low Level Control HW</v>
          </cell>
          <cell r="C259">
            <v>0</v>
          </cell>
          <cell r="D259">
            <v>4</v>
          </cell>
          <cell r="E259" t="str">
            <v>CW</v>
          </cell>
          <cell r="F259" t="str">
            <v>E_</v>
          </cell>
          <cell r="G259" t="str">
            <v>GB</v>
          </cell>
          <cell r="H259" t="str">
            <v>04-CW-E_-GB</v>
          </cell>
          <cell r="I259" t="str">
            <v>Signal Cable, CU Data Cable</v>
          </cell>
          <cell r="Q259" t="str">
            <v>EXT</v>
          </cell>
          <cell r="R259" t="str">
            <v>Placeholder</v>
          </cell>
          <cell r="U259" t="str">
            <v>MT</v>
          </cell>
          <cell r="W259">
            <v>1</v>
          </cell>
          <cell r="X259" t="str">
            <v>USD</v>
          </cell>
          <cell r="Z259">
            <v>0</v>
          </cell>
          <cell r="AA259">
            <v>0</v>
          </cell>
          <cell r="AC259">
            <v>0</v>
          </cell>
          <cell r="AD259">
            <v>0</v>
          </cell>
          <cell r="AF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P259" t="str">
            <v>X</v>
          </cell>
          <cell r="AQ259" t="str">
            <v>CF.5</v>
          </cell>
        </row>
        <row r="260">
          <cell r="B260" t="str">
            <v>Low Level Control HW</v>
          </cell>
          <cell r="C260">
            <v>0</v>
          </cell>
          <cell r="D260">
            <v>4</v>
          </cell>
          <cell r="E260" t="str">
            <v>CW</v>
          </cell>
          <cell r="F260" t="str">
            <v>E_</v>
          </cell>
          <cell r="G260" t="str">
            <v>HA</v>
          </cell>
          <cell r="H260" t="str">
            <v>04-CW-E_-HA</v>
          </cell>
          <cell r="I260" t="str">
            <v>Signal Cable, Optical Fibre Optical Cable</v>
          </cell>
          <cell r="Q260" t="str">
            <v>EXT</v>
          </cell>
          <cell r="R260" t="str">
            <v>Placeholder</v>
          </cell>
          <cell r="U260" t="str">
            <v>MT</v>
          </cell>
          <cell r="W260">
            <v>1</v>
          </cell>
          <cell r="X260" t="str">
            <v>USD</v>
          </cell>
          <cell r="Z260">
            <v>0</v>
          </cell>
          <cell r="AA260">
            <v>0</v>
          </cell>
          <cell r="AC260">
            <v>0</v>
          </cell>
          <cell r="AD260">
            <v>0</v>
          </cell>
          <cell r="AF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P260" t="str">
            <v>X</v>
          </cell>
          <cell r="AQ260" t="str">
            <v>CF.5</v>
          </cell>
        </row>
        <row r="261">
          <cell r="B261" t="str">
            <v/>
          </cell>
          <cell r="H261" t="str">
            <v>--</v>
          </cell>
          <cell r="Q261" t="str">
            <v>EXT</v>
          </cell>
          <cell r="R261" t="str">
            <v>Placeholder</v>
          </cell>
          <cell r="W261">
            <v>1</v>
          </cell>
          <cell r="X261" t="str">
            <v>USD</v>
          </cell>
          <cell r="Z261">
            <v>0</v>
          </cell>
          <cell r="AA261">
            <v>0</v>
          </cell>
          <cell r="AC261">
            <v>0</v>
          </cell>
          <cell r="AD261">
            <v>0</v>
          </cell>
          <cell r="AF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P261" t="str">
            <v>X</v>
          </cell>
          <cell r="AQ261" t="str">
            <v/>
          </cell>
        </row>
        <row r="262">
          <cell r="B262" t="str">
            <v/>
          </cell>
          <cell r="H262" t="str">
            <v>--</v>
          </cell>
          <cell r="Q262" t="str">
            <v>EXT</v>
          </cell>
          <cell r="R262" t="str">
            <v>Placeholder</v>
          </cell>
          <cell r="W262">
            <v>1</v>
          </cell>
          <cell r="X262" t="str">
            <v>USD</v>
          </cell>
          <cell r="Z262">
            <v>0</v>
          </cell>
          <cell r="AA262">
            <v>0</v>
          </cell>
          <cell r="AC262">
            <v>0</v>
          </cell>
          <cell r="AD262">
            <v>0</v>
          </cell>
          <cell r="AF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P262" t="str">
            <v>X</v>
          </cell>
          <cell r="AQ262" t="str">
            <v/>
          </cell>
        </row>
        <row r="263">
          <cell r="I263" t="str">
            <v>5.6 Commissioning Spares</v>
          </cell>
        </row>
        <row r="264">
          <cell r="B264" t="str">
            <v>Low Level Control HW</v>
          </cell>
          <cell r="C264">
            <v>0</v>
          </cell>
          <cell r="D264">
            <v>4</v>
          </cell>
          <cell r="E264" t="str">
            <v>CP</v>
          </cell>
          <cell r="F264" t="str">
            <v>E_</v>
          </cell>
          <cell r="G264" t="str">
            <v>AB</v>
          </cell>
          <cell r="H264" t="str">
            <v>04-CP-E_-AB</v>
          </cell>
          <cell r="I264" t="str">
            <v>Electrical Spare Parts</v>
          </cell>
          <cell r="Q264" t="str">
            <v>EXT</v>
          </cell>
          <cell r="R264" t="str">
            <v>Placeholder</v>
          </cell>
          <cell r="U264" t="str">
            <v>LS</v>
          </cell>
          <cell r="W264">
            <v>1</v>
          </cell>
          <cell r="X264" t="str">
            <v>USD</v>
          </cell>
          <cell r="Z264">
            <v>0</v>
          </cell>
          <cell r="AA264">
            <v>0</v>
          </cell>
          <cell r="AC264">
            <v>0</v>
          </cell>
          <cell r="AD264">
            <v>0</v>
          </cell>
          <cell r="AF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P264" t="str">
            <v>X</v>
          </cell>
          <cell r="AQ264" t="str">
            <v>CF.5</v>
          </cell>
        </row>
        <row r="265">
          <cell r="B265" t="str">
            <v>Low Level Control HW</v>
          </cell>
          <cell r="C265">
            <v>0</v>
          </cell>
          <cell r="D265">
            <v>4</v>
          </cell>
          <cell r="E265" t="str">
            <v>CP</v>
          </cell>
          <cell r="F265" t="str">
            <v>E_</v>
          </cell>
          <cell r="G265" t="str">
            <v>AC</v>
          </cell>
          <cell r="H265" t="str">
            <v>04-CP-E_-AC</v>
          </cell>
          <cell r="I265" t="str">
            <v>Control Spare Parts</v>
          </cell>
          <cell r="J265" t="str">
            <v>=0,02% of Material</v>
          </cell>
          <cell r="L265" t="str">
            <v>Offshore:
GER
(MAT)</v>
          </cell>
          <cell r="Q265" t="str">
            <v>EXT</v>
          </cell>
          <cell r="R265" t="str">
            <v>Estimate</v>
          </cell>
          <cell r="T265">
            <v>1</v>
          </cell>
          <cell r="U265" t="str">
            <v>LS</v>
          </cell>
          <cell r="V265">
            <v>5542.6</v>
          </cell>
          <cell r="W265">
            <v>2</v>
          </cell>
          <cell r="X265" t="str">
            <v>EUR</v>
          </cell>
          <cell r="Z265">
            <v>0</v>
          </cell>
          <cell r="AA265">
            <v>0</v>
          </cell>
          <cell r="AC265">
            <v>5542.6</v>
          </cell>
          <cell r="AD265">
            <v>5894.5550999999996</v>
          </cell>
          <cell r="AF265">
            <v>0</v>
          </cell>
          <cell r="AH265">
            <v>5894.5550999999996</v>
          </cell>
          <cell r="AI265">
            <v>0.23709783177495308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7726.4888546773363</v>
          </cell>
          <cell r="AP265" t="str">
            <v>IV.4.2</v>
          </cell>
          <cell r="AQ265" t="str">
            <v>CF.5</v>
          </cell>
        </row>
        <row r="266">
          <cell r="B266" t="str">
            <v/>
          </cell>
          <cell r="H266" t="str">
            <v>--</v>
          </cell>
          <cell r="Q266" t="str">
            <v>EXT</v>
          </cell>
          <cell r="R266" t="str">
            <v>Placeholder</v>
          </cell>
          <cell r="W266">
            <v>1</v>
          </cell>
          <cell r="X266" t="str">
            <v>USD</v>
          </cell>
          <cell r="Z266">
            <v>0</v>
          </cell>
          <cell r="AA266">
            <v>0</v>
          </cell>
          <cell r="AC266">
            <v>0</v>
          </cell>
          <cell r="AD266">
            <v>0</v>
          </cell>
          <cell r="AF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P266" t="str">
            <v>X</v>
          </cell>
          <cell r="AQ266" t="str">
            <v/>
          </cell>
        </row>
        <row r="267">
          <cell r="B267" t="str">
            <v/>
          </cell>
          <cell r="H267" t="str">
            <v>--</v>
          </cell>
          <cell r="Q267" t="str">
            <v>EXT</v>
          </cell>
          <cell r="R267" t="str">
            <v>Placeholder</v>
          </cell>
          <cell r="W267">
            <v>1</v>
          </cell>
          <cell r="X267" t="str">
            <v>USD</v>
          </cell>
          <cell r="Z267">
            <v>0</v>
          </cell>
          <cell r="AA267">
            <v>0</v>
          </cell>
          <cell r="AC267">
            <v>0</v>
          </cell>
          <cell r="AD267">
            <v>0</v>
          </cell>
          <cell r="AF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P267" t="str">
            <v>X</v>
          </cell>
          <cell r="AQ267" t="str">
            <v/>
          </cell>
        </row>
        <row r="268">
          <cell r="I268" t="str">
            <v>4.9 Inital Spare Part Package / Onsite Spares</v>
          </cell>
        </row>
        <row r="269">
          <cell r="B269" t="str">
            <v>Operation &amp; Maintenance - One-Time Cost</v>
          </cell>
          <cell r="C269" t="str">
            <v>W</v>
          </cell>
          <cell r="D269">
            <v>4</v>
          </cell>
          <cell r="E269" t="str">
            <v>CI</v>
          </cell>
          <cell r="F269" t="str">
            <v>E_</v>
          </cell>
          <cell r="G269" t="str">
            <v>AB</v>
          </cell>
          <cell r="H269" t="str">
            <v>W4-CI-E_-AB</v>
          </cell>
          <cell r="I269" t="str">
            <v>Electrical Spare Parts</v>
          </cell>
          <cell r="Q269" t="str">
            <v>EXT</v>
          </cell>
          <cell r="R269" t="str">
            <v>Placeholder</v>
          </cell>
          <cell r="U269" t="str">
            <v>LS</v>
          </cell>
          <cell r="W269">
            <v>1</v>
          </cell>
          <cell r="X269" t="str">
            <v>USD</v>
          </cell>
          <cell r="Z269">
            <v>0</v>
          </cell>
          <cell r="AA269">
            <v>0</v>
          </cell>
          <cell r="AC269">
            <v>0</v>
          </cell>
          <cell r="AD269">
            <v>0</v>
          </cell>
          <cell r="AF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P269" t="str">
            <v>X</v>
          </cell>
          <cell r="AQ269" t="str">
            <v>CF.15</v>
          </cell>
        </row>
        <row r="270">
          <cell r="B270" t="str">
            <v>Operation &amp; Maintenance - One-Time Cost</v>
          </cell>
          <cell r="C270" t="str">
            <v>W</v>
          </cell>
          <cell r="D270">
            <v>4</v>
          </cell>
          <cell r="E270" t="str">
            <v>CI</v>
          </cell>
          <cell r="F270" t="str">
            <v>E_</v>
          </cell>
          <cell r="G270" t="str">
            <v>AC</v>
          </cell>
          <cell r="H270" t="str">
            <v>W4-CI-E_-AC</v>
          </cell>
          <cell r="I270" t="str">
            <v>Control Spare Parts</v>
          </cell>
          <cell r="J270" t="str">
            <v>=0,02% of Material</v>
          </cell>
          <cell r="L270" t="str">
            <v>Offshore:
GER
(MAT)</v>
          </cell>
          <cell r="Q270" t="str">
            <v>EXT</v>
          </cell>
          <cell r="R270" t="str">
            <v>Estimate</v>
          </cell>
          <cell r="T270">
            <v>1</v>
          </cell>
          <cell r="U270" t="str">
            <v>LS</v>
          </cell>
          <cell r="V270">
            <v>2340.8520000000003</v>
          </cell>
          <cell r="W270">
            <v>2</v>
          </cell>
          <cell r="X270" t="str">
            <v>EUR</v>
          </cell>
          <cell r="Z270">
            <v>0</v>
          </cell>
          <cell r="AA270">
            <v>0</v>
          </cell>
          <cell r="AC270">
            <v>2340.8520000000003</v>
          </cell>
          <cell r="AD270">
            <v>2489.4961020000001</v>
          </cell>
          <cell r="AF270">
            <v>0</v>
          </cell>
          <cell r="AH270">
            <v>2489.4961020000001</v>
          </cell>
          <cell r="AI270">
            <v>0.23709783177495308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3263.1918032059239</v>
          </cell>
          <cell r="AP270" t="str">
            <v>IV.4.2</v>
          </cell>
          <cell r="AQ270" t="str">
            <v>CF.15</v>
          </cell>
        </row>
        <row r="271">
          <cell r="B271" t="str">
            <v/>
          </cell>
          <cell r="H271" t="str">
            <v>--</v>
          </cell>
          <cell r="Q271" t="str">
            <v>EXT</v>
          </cell>
          <cell r="R271" t="str">
            <v>Placeholder</v>
          </cell>
          <cell r="W271">
            <v>1</v>
          </cell>
          <cell r="X271" t="str">
            <v>USD</v>
          </cell>
          <cell r="Z271">
            <v>0</v>
          </cell>
          <cell r="AA271">
            <v>0</v>
          </cell>
          <cell r="AC271">
            <v>0</v>
          </cell>
          <cell r="AD271">
            <v>0</v>
          </cell>
          <cell r="AF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P271" t="str">
            <v>X</v>
          </cell>
          <cell r="AQ271" t="str">
            <v/>
          </cell>
        </row>
        <row r="272">
          <cell r="B272" t="str">
            <v/>
          </cell>
          <cell r="H272" t="str">
            <v>--</v>
          </cell>
          <cell r="Q272" t="str">
            <v>EXT</v>
          </cell>
          <cell r="R272" t="str">
            <v>Placeholder</v>
          </cell>
          <cell r="W272">
            <v>1</v>
          </cell>
          <cell r="X272" t="str">
            <v>USD</v>
          </cell>
          <cell r="Z272">
            <v>0</v>
          </cell>
          <cell r="AA272">
            <v>0</v>
          </cell>
          <cell r="AC272">
            <v>0</v>
          </cell>
          <cell r="AD272">
            <v>0</v>
          </cell>
          <cell r="AF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P272" t="str">
            <v>X</v>
          </cell>
          <cell r="AQ272" t="str">
            <v/>
          </cell>
        </row>
        <row r="273">
          <cell r="B273" t="str">
            <v>Subtotal - 6</v>
          </cell>
          <cell r="I273" t="str">
            <v>6. Emergency Stop System</v>
          </cell>
        </row>
        <row r="274">
          <cell r="I274" t="str">
            <v>6.1 Control Panel</v>
          </cell>
        </row>
        <row r="275">
          <cell r="B275" t="str">
            <v>Low Level Control HW</v>
          </cell>
          <cell r="C275">
            <v>0</v>
          </cell>
          <cell r="D275">
            <v>4</v>
          </cell>
          <cell r="E275" t="str">
            <v>EU</v>
          </cell>
          <cell r="F275" t="str">
            <v>B_</v>
          </cell>
          <cell r="G275" t="str">
            <v>CB</v>
          </cell>
          <cell r="H275" t="str">
            <v>04-EU-B_-CB</v>
          </cell>
          <cell r="I275" t="str">
            <v>Central Control Panel (EP)</v>
          </cell>
          <cell r="J275" t="str">
            <v>221024_LTIA_Ph1_Z-4-CA-002_PLC_Material_Costs_Long Than_Belt_2022-09-30.xlsx</v>
          </cell>
          <cell r="L275" t="str">
            <v>Offshore:
GER
(MAT)</v>
          </cell>
          <cell r="M275" t="str">
            <v>S. Zenk</v>
          </cell>
          <cell r="N275">
            <v>44859</v>
          </cell>
          <cell r="O275" t="str">
            <v>WKC-A28051_03_22</v>
          </cell>
          <cell r="P275" t="str">
            <v>Siemens WKC</v>
          </cell>
          <cell r="Q275" t="str">
            <v>OSE</v>
          </cell>
          <cell r="R275" t="str">
            <v>Binding Quote</v>
          </cell>
          <cell r="T275">
            <v>5</v>
          </cell>
          <cell r="U275" t="str">
            <v>PC</v>
          </cell>
          <cell r="V275">
            <v>22485</v>
          </cell>
          <cell r="W275">
            <v>2</v>
          </cell>
          <cell r="X275" t="str">
            <v>EUR</v>
          </cell>
          <cell r="Y275" t="str">
            <v>German MGK 1</v>
          </cell>
          <cell r="Z275">
            <v>0</v>
          </cell>
          <cell r="AA275">
            <v>0</v>
          </cell>
          <cell r="AC275">
            <v>112425</v>
          </cell>
          <cell r="AD275">
            <v>119563.98749999999</v>
          </cell>
          <cell r="AF275">
            <v>0</v>
          </cell>
          <cell r="AH275">
            <v>119563.98749999999</v>
          </cell>
          <cell r="AI275">
            <v>0.23709783177495308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156722.56873797486</v>
          </cell>
          <cell r="AP275" t="str">
            <v>II</v>
          </cell>
          <cell r="AQ275" t="str">
            <v>CF.5</v>
          </cell>
        </row>
        <row r="276">
          <cell r="B276" t="str">
            <v>Low Level Control HW</v>
          </cell>
          <cell r="C276">
            <v>0</v>
          </cell>
          <cell r="D276">
            <v>4</v>
          </cell>
          <cell r="E276" t="str">
            <v>EU</v>
          </cell>
          <cell r="F276" t="str">
            <v>B_</v>
          </cell>
          <cell r="G276" t="str">
            <v>CH</v>
          </cell>
          <cell r="H276" t="str">
            <v>04-EU-B_-CH</v>
          </cell>
          <cell r="I276" t="str">
            <v>Field Panel (EB)</v>
          </cell>
          <cell r="J276" t="str">
            <v>221024_LTIA_Ph1_Z-4-CA-002_PLC_Material_Costs_Long Than_Belt_2022-09-30.xlsx</v>
          </cell>
          <cell r="L276" t="str">
            <v>Offshore:
GER
(MAT)</v>
          </cell>
          <cell r="M276" t="str">
            <v>S. Zenk</v>
          </cell>
          <cell r="N276">
            <v>44859</v>
          </cell>
          <cell r="O276" t="str">
            <v>WKC-A28051_03_22</v>
          </cell>
          <cell r="P276" t="str">
            <v>Siemens WKC</v>
          </cell>
          <cell r="Q276" t="str">
            <v>OSE</v>
          </cell>
          <cell r="R276" t="str">
            <v>Binding Quote</v>
          </cell>
          <cell r="T276">
            <v>53</v>
          </cell>
          <cell r="U276" t="str">
            <v>PC</v>
          </cell>
          <cell r="V276">
            <v>2288</v>
          </cell>
          <cell r="W276">
            <v>2</v>
          </cell>
          <cell r="X276" t="str">
            <v>EUR</v>
          </cell>
          <cell r="Y276" t="str">
            <v>German MGK 1</v>
          </cell>
          <cell r="Z276">
            <v>0</v>
          </cell>
          <cell r="AA276">
            <v>0</v>
          </cell>
          <cell r="AC276">
            <v>121264</v>
          </cell>
          <cell r="AD276">
            <v>128964.26399999998</v>
          </cell>
          <cell r="AF276">
            <v>0</v>
          </cell>
          <cell r="AH276">
            <v>128964.26399999998</v>
          </cell>
          <cell r="AI276">
            <v>0.23709783177495308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169044.30131591536</v>
          </cell>
          <cell r="AP276" t="str">
            <v>II</v>
          </cell>
          <cell r="AQ276" t="str">
            <v>CF.5</v>
          </cell>
        </row>
        <row r="277">
          <cell r="B277" t="str">
            <v>Low Level Control HW</v>
          </cell>
          <cell r="C277">
            <v>0</v>
          </cell>
          <cell r="D277">
            <v>4</v>
          </cell>
          <cell r="E277" t="str">
            <v>EU</v>
          </cell>
          <cell r="F277" t="str">
            <v>I_</v>
          </cell>
          <cell r="G277" t="str">
            <v>CB</v>
          </cell>
          <cell r="H277" t="str">
            <v>04-EU-I_-CB</v>
          </cell>
          <cell r="I277" t="str">
            <v>Central Control Panel (EP)</v>
          </cell>
          <cell r="J277" t="str">
            <v>221024_LTIA_Ph1_Z-4-CA-003_PLC_Material_Costs_Long Than_Tray_2022-10-06.xlsx</v>
          </cell>
          <cell r="L277" t="str">
            <v>Offshore:
GER
(MAT)</v>
          </cell>
          <cell r="M277" t="str">
            <v>S. Zenk</v>
          </cell>
          <cell r="N277">
            <v>44859</v>
          </cell>
          <cell r="O277" t="str">
            <v>WKC-A28051_03_22</v>
          </cell>
          <cell r="P277" t="str">
            <v>Siemens WKC</v>
          </cell>
          <cell r="Q277" t="str">
            <v>OSE</v>
          </cell>
          <cell r="R277" t="str">
            <v>Binding Quote</v>
          </cell>
          <cell r="T277">
            <v>4</v>
          </cell>
          <cell r="U277" t="str">
            <v>PC</v>
          </cell>
          <cell r="V277">
            <v>22485</v>
          </cell>
          <cell r="W277">
            <v>2</v>
          </cell>
          <cell r="X277" t="str">
            <v>EUR</v>
          </cell>
          <cell r="Y277" t="str">
            <v>German MGK 1</v>
          </cell>
          <cell r="Z277">
            <v>0</v>
          </cell>
          <cell r="AA277">
            <v>0</v>
          </cell>
          <cell r="AC277">
            <v>89940</v>
          </cell>
          <cell r="AD277">
            <v>95651.189999999988</v>
          </cell>
          <cell r="AF277">
            <v>0</v>
          </cell>
          <cell r="AH277">
            <v>95651.189999999988</v>
          </cell>
          <cell r="AI277">
            <v>0.23709783177495308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125378.05499037988</v>
          </cell>
          <cell r="AP277" t="str">
            <v>II</v>
          </cell>
          <cell r="AQ277" t="str">
            <v>CF.5</v>
          </cell>
        </row>
        <row r="278">
          <cell r="B278" t="str">
            <v>Low Level Control HW</v>
          </cell>
          <cell r="C278">
            <v>0</v>
          </cell>
          <cell r="D278">
            <v>4</v>
          </cell>
          <cell r="E278" t="str">
            <v>EU</v>
          </cell>
          <cell r="F278" t="str">
            <v>I_</v>
          </cell>
          <cell r="G278" t="str">
            <v>CH</v>
          </cell>
          <cell r="H278" t="str">
            <v>04-EU-I_-CH</v>
          </cell>
          <cell r="I278" t="str">
            <v>Field Panel (EB)</v>
          </cell>
          <cell r="J278" t="str">
            <v>221024_LTIA_Ph1_Z-4-CA-003_PLC_Material_Costs_Long Than_Tray_2022-10-06.xlsx</v>
          </cell>
          <cell r="L278" t="str">
            <v>Offshore:
GER
(MAT)</v>
          </cell>
          <cell r="M278" t="str">
            <v>S. Zenk</v>
          </cell>
          <cell r="N278">
            <v>44859</v>
          </cell>
          <cell r="O278" t="str">
            <v>WKC-A28051_03_22</v>
          </cell>
          <cell r="P278" t="str">
            <v>Siemens WKC</v>
          </cell>
          <cell r="Q278" t="str">
            <v>OSE</v>
          </cell>
          <cell r="R278" t="str">
            <v>Binding Quote</v>
          </cell>
          <cell r="T278">
            <v>46</v>
          </cell>
          <cell r="U278" t="str">
            <v>PC</v>
          </cell>
          <cell r="V278">
            <v>2288</v>
          </cell>
          <cell r="W278">
            <v>2</v>
          </cell>
          <cell r="X278" t="str">
            <v>EUR</v>
          </cell>
          <cell r="Y278" t="str">
            <v>German MGK 1</v>
          </cell>
          <cell r="Z278">
            <v>0</v>
          </cell>
          <cell r="AA278">
            <v>0</v>
          </cell>
          <cell r="AC278">
            <v>105248</v>
          </cell>
          <cell r="AD278">
            <v>111931.24799999999</v>
          </cell>
          <cell r="AF278">
            <v>0</v>
          </cell>
          <cell r="AH278">
            <v>111931.24799999999</v>
          </cell>
          <cell r="AI278">
            <v>0.23709783177495308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146717.69548173787</v>
          </cell>
          <cell r="AP278" t="str">
            <v>II</v>
          </cell>
          <cell r="AQ278" t="str">
            <v>CF.5</v>
          </cell>
        </row>
        <row r="279">
          <cell r="B279" t="str">
            <v/>
          </cell>
          <cell r="H279" t="str">
            <v>--</v>
          </cell>
          <cell r="Q279" t="str">
            <v>EXT</v>
          </cell>
          <cell r="R279" t="str">
            <v>Placeholder</v>
          </cell>
          <cell r="W279">
            <v>1</v>
          </cell>
          <cell r="X279" t="str">
            <v>USD</v>
          </cell>
          <cell r="Z279">
            <v>0</v>
          </cell>
          <cell r="AA279">
            <v>0</v>
          </cell>
          <cell r="AC279">
            <v>0</v>
          </cell>
          <cell r="AD279">
            <v>0</v>
          </cell>
          <cell r="AF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P279" t="str">
            <v>X</v>
          </cell>
          <cell r="AQ279" t="str">
            <v/>
          </cell>
        </row>
        <row r="280">
          <cell r="B280" t="str">
            <v/>
          </cell>
          <cell r="H280" t="str">
            <v>--</v>
          </cell>
          <cell r="Q280" t="str">
            <v>EXT</v>
          </cell>
          <cell r="R280" t="str">
            <v>Placeholder</v>
          </cell>
          <cell r="W280">
            <v>1</v>
          </cell>
          <cell r="X280" t="str">
            <v>USD</v>
          </cell>
          <cell r="Z280">
            <v>0</v>
          </cell>
          <cell r="AA280">
            <v>0</v>
          </cell>
          <cell r="AC280">
            <v>0</v>
          </cell>
          <cell r="AD280">
            <v>0</v>
          </cell>
          <cell r="AF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P280" t="str">
            <v>X</v>
          </cell>
          <cell r="AQ280" t="str">
            <v/>
          </cell>
        </row>
        <row r="281">
          <cell r="I281" t="str">
            <v>6.2 Field Devices Sensors…</v>
          </cell>
        </row>
        <row r="282">
          <cell r="B282" t="str">
            <v>Low Level Control HW</v>
          </cell>
          <cell r="C282">
            <v>0</v>
          </cell>
          <cell r="D282">
            <v>4</v>
          </cell>
          <cell r="E282" t="str">
            <v>EC</v>
          </cell>
          <cell r="F282" t="str">
            <v>O_</v>
          </cell>
          <cell r="G282" t="str">
            <v>BA</v>
          </cell>
          <cell r="H282" t="str">
            <v>04-EC-O_-BA</v>
          </cell>
          <cell r="I282" t="str">
            <v>Field Devices I/O Devices</v>
          </cell>
          <cell r="Q282" t="str">
            <v>EXT</v>
          </cell>
          <cell r="R282" t="str">
            <v>Placeholder</v>
          </cell>
          <cell r="U282" t="str">
            <v>PC</v>
          </cell>
          <cell r="W282">
            <v>1</v>
          </cell>
          <cell r="X282" t="str">
            <v>USD</v>
          </cell>
          <cell r="Z282">
            <v>0</v>
          </cell>
          <cell r="AA282">
            <v>0</v>
          </cell>
          <cell r="AC282">
            <v>0</v>
          </cell>
          <cell r="AD282">
            <v>0</v>
          </cell>
          <cell r="AF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P282" t="str">
            <v>X</v>
          </cell>
          <cell r="AQ282" t="str">
            <v>CF.5</v>
          </cell>
        </row>
        <row r="283">
          <cell r="B283" t="str">
            <v>Low Level Control HW</v>
          </cell>
          <cell r="C283">
            <v>0</v>
          </cell>
          <cell r="D283">
            <v>4</v>
          </cell>
          <cell r="E283" t="str">
            <v>EC</v>
          </cell>
          <cell r="F283" t="str">
            <v>O_</v>
          </cell>
          <cell r="G283" t="str">
            <v>BG</v>
          </cell>
          <cell r="H283" t="str">
            <v>04-EC-O_-BG</v>
          </cell>
          <cell r="I283" t="str">
            <v>Field Devices Actors, Sensors</v>
          </cell>
          <cell r="Q283" t="str">
            <v>EXT</v>
          </cell>
          <cell r="R283" t="str">
            <v>Placeholder</v>
          </cell>
          <cell r="U283" t="str">
            <v>PC</v>
          </cell>
          <cell r="W283">
            <v>1</v>
          </cell>
          <cell r="X283" t="str">
            <v>USD</v>
          </cell>
          <cell r="Z283">
            <v>0</v>
          </cell>
          <cell r="AA283">
            <v>0</v>
          </cell>
          <cell r="AC283">
            <v>0</v>
          </cell>
          <cell r="AD283">
            <v>0</v>
          </cell>
          <cell r="AF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P283" t="str">
            <v>X</v>
          </cell>
          <cell r="AQ283" t="str">
            <v>CF.5</v>
          </cell>
        </row>
        <row r="284">
          <cell r="B284" t="str">
            <v>Low Level Control HW</v>
          </cell>
          <cell r="C284">
            <v>0</v>
          </cell>
          <cell r="D284">
            <v>4</v>
          </cell>
          <cell r="E284" t="str">
            <v>EC</v>
          </cell>
          <cell r="F284" t="str">
            <v>O_</v>
          </cell>
          <cell r="G284" t="str">
            <v>BU</v>
          </cell>
          <cell r="H284" t="str">
            <v>04-EC-O_-BU</v>
          </cell>
          <cell r="I284" t="str">
            <v>Field Devices Equipment Brackets &amp; Supports</v>
          </cell>
          <cell r="Q284" t="str">
            <v>EXT</v>
          </cell>
          <cell r="R284" t="str">
            <v>Placeholder</v>
          </cell>
          <cell r="U284" t="str">
            <v>PC</v>
          </cell>
          <cell r="W284">
            <v>1</v>
          </cell>
          <cell r="X284" t="str">
            <v>USD</v>
          </cell>
          <cell r="Z284">
            <v>0</v>
          </cell>
          <cell r="AA284">
            <v>0</v>
          </cell>
          <cell r="AC284">
            <v>0</v>
          </cell>
          <cell r="AD284">
            <v>0</v>
          </cell>
          <cell r="AF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P284" t="str">
            <v>X</v>
          </cell>
          <cell r="AQ284" t="str">
            <v>CF.5</v>
          </cell>
        </row>
        <row r="285">
          <cell r="B285" t="str">
            <v>Low Level Control HW</v>
          </cell>
          <cell r="C285">
            <v>0</v>
          </cell>
          <cell r="D285">
            <v>4</v>
          </cell>
          <cell r="E285" t="str">
            <v>EC</v>
          </cell>
          <cell r="F285" t="str">
            <v>O_</v>
          </cell>
          <cell r="G285" t="str">
            <v>BW</v>
          </cell>
          <cell r="H285" t="str">
            <v>04-EC-O_-BW</v>
          </cell>
          <cell r="I285" t="str">
            <v>Field Devices Premanu. Sensor cable</v>
          </cell>
          <cell r="Q285" t="str">
            <v>EXT</v>
          </cell>
          <cell r="R285" t="str">
            <v>Placeholder</v>
          </cell>
          <cell r="U285" t="str">
            <v>PC</v>
          </cell>
          <cell r="W285">
            <v>1</v>
          </cell>
          <cell r="X285" t="str">
            <v>USD</v>
          </cell>
          <cell r="Z285">
            <v>0</v>
          </cell>
          <cell r="AA285">
            <v>0</v>
          </cell>
          <cell r="AC285">
            <v>0</v>
          </cell>
          <cell r="AD285">
            <v>0</v>
          </cell>
          <cell r="AF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P285" t="str">
            <v>X</v>
          </cell>
          <cell r="AQ285" t="str">
            <v>CF.5</v>
          </cell>
        </row>
        <row r="286">
          <cell r="B286" t="str">
            <v>Low Level Control HW</v>
          </cell>
          <cell r="C286">
            <v>0</v>
          </cell>
          <cell r="D286">
            <v>4</v>
          </cell>
          <cell r="E286" t="str">
            <v>EC</v>
          </cell>
          <cell r="F286" t="str">
            <v>B_</v>
          </cell>
          <cell r="G286" t="str">
            <v>SJ</v>
          </cell>
          <cell r="H286" t="str">
            <v>04-EC-B_-SJ</v>
          </cell>
          <cell r="I286" t="str">
            <v>Field Devices Control Stations (CS)</v>
          </cell>
          <cell r="J286" t="str">
            <v>221024_LTIA_Ph1_Z-4-CA-002_PLC_Material_Costs_Long Than_Belt_2022-09-30.xlsx</v>
          </cell>
          <cell r="L286" t="str">
            <v>Offshore:
GER
(MAT)</v>
          </cell>
          <cell r="M286" t="str">
            <v>S. Zenk</v>
          </cell>
          <cell r="N286">
            <v>44859</v>
          </cell>
          <cell r="O286" t="str">
            <v>HAR-20200507</v>
          </cell>
          <cell r="P286" t="str">
            <v>Harting</v>
          </cell>
          <cell r="Q286" t="str">
            <v>EXT</v>
          </cell>
          <cell r="R286" t="str">
            <v>Binding Quote</v>
          </cell>
          <cell r="T286">
            <v>1260.5999999999999</v>
          </cell>
          <cell r="U286" t="str">
            <v>PC</v>
          </cell>
          <cell r="V286">
            <v>73.52</v>
          </cell>
          <cell r="W286">
            <v>2</v>
          </cell>
          <cell r="X286" t="str">
            <v>EUR</v>
          </cell>
          <cell r="Y286" t="str">
            <v>German MGK 1</v>
          </cell>
          <cell r="Z286">
            <v>0</v>
          </cell>
          <cell r="AA286">
            <v>0</v>
          </cell>
          <cell r="AC286">
            <v>92679.311999999991</v>
          </cell>
          <cell r="AD286">
            <v>98564.448311999979</v>
          </cell>
          <cell r="AF286">
            <v>0</v>
          </cell>
          <cell r="AH286">
            <v>98564.448311999979</v>
          </cell>
          <cell r="AI286">
            <v>0.23709783177495308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129196.70754287941</v>
          </cell>
          <cell r="AP286" t="str">
            <v>II</v>
          </cell>
          <cell r="AQ286" t="str">
            <v>CF.5</v>
          </cell>
        </row>
        <row r="287">
          <cell r="B287" t="str">
            <v>Low Level Control HW</v>
          </cell>
          <cell r="C287">
            <v>0</v>
          </cell>
          <cell r="D287">
            <v>4</v>
          </cell>
          <cell r="E287" t="str">
            <v>EC</v>
          </cell>
          <cell r="F287" t="str">
            <v>B_</v>
          </cell>
          <cell r="G287" t="str">
            <v>SJ</v>
          </cell>
          <cell r="H287" t="str">
            <v>04-EC-B_-SJ</v>
          </cell>
          <cell r="I287" t="str">
            <v>Lanyard Switch (incl. E-Stop Acknowledgement)</v>
          </cell>
          <cell r="J287" t="str">
            <v>221024_LTIA_Ph1_Z-4-CA-002_PLC_Material_Costs_Long Than_Belt_2022-09-30.xlsx</v>
          </cell>
          <cell r="L287" t="str">
            <v>Offshore:
GER
(MAT)</v>
          </cell>
          <cell r="M287" t="str">
            <v>S. Zenk</v>
          </cell>
          <cell r="N287">
            <v>44859</v>
          </cell>
          <cell r="Q287" t="str">
            <v>EXT</v>
          </cell>
          <cell r="R287" t="str">
            <v>Estimate</v>
          </cell>
          <cell r="T287">
            <v>55</v>
          </cell>
          <cell r="U287" t="str">
            <v>PC</v>
          </cell>
          <cell r="V287">
            <v>236.92727272727274</v>
          </cell>
          <cell r="W287">
            <v>2</v>
          </cell>
          <cell r="X287" t="str">
            <v>EUR</v>
          </cell>
          <cell r="Y287" t="str">
            <v>German MGK 1</v>
          </cell>
          <cell r="Z287">
            <v>0</v>
          </cell>
          <cell r="AA287">
            <v>0</v>
          </cell>
          <cell r="AC287">
            <v>13031</v>
          </cell>
          <cell r="AD287">
            <v>13858.468499999999</v>
          </cell>
          <cell r="AF287">
            <v>0</v>
          </cell>
          <cell r="AH287">
            <v>13858.468499999999</v>
          </cell>
          <cell r="AI287">
            <v>0.23709783177495308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18165.459579493443</v>
          </cell>
          <cell r="AP287" t="str">
            <v>II</v>
          </cell>
          <cell r="AQ287" t="str">
            <v>CF.5</v>
          </cell>
        </row>
        <row r="288">
          <cell r="B288" t="str">
            <v>Low Level Control HW</v>
          </cell>
          <cell r="C288">
            <v>0</v>
          </cell>
          <cell r="D288">
            <v>4</v>
          </cell>
          <cell r="E288" t="str">
            <v>EC</v>
          </cell>
          <cell r="F288" t="str">
            <v>I_</v>
          </cell>
          <cell r="G288" t="str">
            <v>SJ</v>
          </cell>
          <cell r="H288" t="str">
            <v>04-EC-I_-SJ</v>
          </cell>
          <cell r="I288" t="str">
            <v>Field Devices Control Stations (CS)</v>
          </cell>
          <cell r="J288" t="str">
            <v>221024_LTIA_Ph1_Z-4-CA-003_PLC_Material_Costs_Long Than_Tray_2022-10-06.xlsx</v>
          </cell>
          <cell r="L288" t="str">
            <v>Offshore:
GER
(MAT)</v>
          </cell>
          <cell r="M288" t="str">
            <v>S. Zenk</v>
          </cell>
          <cell r="N288">
            <v>44859</v>
          </cell>
          <cell r="O288" t="str">
            <v>HAR-20200507</v>
          </cell>
          <cell r="P288" t="str">
            <v>Harting</v>
          </cell>
          <cell r="Q288" t="str">
            <v>EXT</v>
          </cell>
          <cell r="R288" t="str">
            <v>Binding Quote</v>
          </cell>
          <cell r="T288">
            <v>884.40000000000009</v>
          </cell>
          <cell r="U288" t="str">
            <v>PC</v>
          </cell>
          <cell r="V288">
            <v>73.52</v>
          </cell>
          <cell r="W288">
            <v>2</v>
          </cell>
          <cell r="X288" t="str">
            <v>EUR</v>
          </cell>
          <cell r="Y288" t="str">
            <v>German MGK 1</v>
          </cell>
          <cell r="Z288">
            <v>0</v>
          </cell>
          <cell r="AA288">
            <v>0</v>
          </cell>
          <cell r="AC288">
            <v>65021.088000000003</v>
          </cell>
          <cell r="AD288">
            <v>69149.927087999997</v>
          </cell>
          <cell r="AF288">
            <v>0</v>
          </cell>
          <cell r="AH288">
            <v>69149.927087999997</v>
          </cell>
          <cell r="AI288">
            <v>0.23709783177495308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90640.622045789758</v>
          </cell>
          <cell r="AP288" t="str">
            <v>II</v>
          </cell>
          <cell r="AQ288" t="str">
            <v>CF.5</v>
          </cell>
        </row>
        <row r="289">
          <cell r="B289" t="str">
            <v>Low Level Control HW</v>
          </cell>
          <cell r="C289">
            <v>0</v>
          </cell>
          <cell r="D289">
            <v>4</v>
          </cell>
          <cell r="E289" t="str">
            <v>EC</v>
          </cell>
          <cell r="F289" t="str">
            <v>I_</v>
          </cell>
          <cell r="G289" t="str">
            <v>SJ</v>
          </cell>
          <cell r="H289" t="str">
            <v>04-EC-I_-SJ</v>
          </cell>
          <cell r="I289" t="str">
            <v>Lanyard Switch (incl. E-Stop Acknowledgement)</v>
          </cell>
          <cell r="J289" t="str">
            <v>221024_LTIA_Ph1_Z-4-CA-003_PLC_Material_Costs_Long Than_Tray_2022-10-06.xlsx</v>
          </cell>
          <cell r="L289" t="str">
            <v>Offshore:
GER
(MAT)</v>
          </cell>
          <cell r="M289" t="str">
            <v>S. Zenk</v>
          </cell>
          <cell r="N289">
            <v>44859</v>
          </cell>
          <cell r="Q289" t="str">
            <v>EXT</v>
          </cell>
          <cell r="R289" t="str">
            <v>Estimate</v>
          </cell>
          <cell r="T289">
            <v>222</v>
          </cell>
          <cell r="U289" t="str">
            <v>PC</v>
          </cell>
          <cell r="V289">
            <v>236.93779279279281</v>
          </cell>
          <cell r="W289">
            <v>2</v>
          </cell>
          <cell r="X289" t="str">
            <v>EUR</v>
          </cell>
          <cell r="Y289" t="str">
            <v>German MGK 1</v>
          </cell>
          <cell r="Z289">
            <v>0</v>
          </cell>
          <cell r="AA289">
            <v>0</v>
          </cell>
          <cell r="AC289">
            <v>52600.19</v>
          </cell>
          <cell r="AD289">
            <v>55940.302064999996</v>
          </cell>
          <cell r="AF289">
            <v>0</v>
          </cell>
          <cell r="AH289">
            <v>55940.302064999996</v>
          </cell>
          <cell r="AI289">
            <v>0.23709783177495308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73325.656152150666</v>
          </cell>
          <cell r="AP289" t="str">
            <v>II</v>
          </cell>
          <cell r="AQ289" t="str">
            <v>CF.5</v>
          </cell>
        </row>
        <row r="290">
          <cell r="B290" t="str">
            <v>Low Level Control HW</v>
          </cell>
          <cell r="C290">
            <v>0</v>
          </cell>
          <cell r="D290">
            <v>4</v>
          </cell>
          <cell r="E290" t="str">
            <v>EC</v>
          </cell>
          <cell r="F290" t="str">
            <v>O_</v>
          </cell>
          <cell r="G290" t="str">
            <v>SP</v>
          </cell>
          <cell r="H290" t="str">
            <v>04-EC-O_-SP</v>
          </cell>
          <cell r="I290" t="str">
            <v>Field Devices: Light Beacons / Tower Lamps (LB)</v>
          </cell>
          <cell r="Q290" t="str">
            <v>EXT</v>
          </cell>
          <cell r="R290" t="str">
            <v>Placeholder</v>
          </cell>
          <cell r="U290" t="str">
            <v>PC</v>
          </cell>
          <cell r="W290">
            <v>1</v>
          </cell>
          <cell r="X290" t="str">
            <v>USD</v>
          </cell>
          <cell r="Z290">
            <v>0</v>
          </cell>
          <cell r="AA290">
            <v>0</v>
          </cell>
          <cell r="AC290">
            <v>0</v>
          </cell>
          <cell r="AD290">
            <v>0</v>
          </cell>
          <cell r="AF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P290" t="str">
            <v>X</v>
          </cell>
          <cell r="AQ290" t="str">
            <v>CF.5</v>
          </cell>
        </row>
        <row r="291">
          <cell r="B291" t="str">
            <v/>
          </cell>
          <cell r="H291" t="str">
            <v>--</v>
          </cell>
          <cell r="Q291" t="str">
            <v>EXT</v>
          </cell>
          <cell r="R291" t="str">
            <v>Placeholder</v>
          </cell>
          <cell r="W291">
            <v>1</v>
          </cell>
          <cell r="X291" t="str">
            <v>USD</v>
          </cell>
          <cell r="Z291">
            <v>0</v>
          </cell>
          <cell r="AA291">
            <v>0</v>
          </cell>
          <cell r="AC291">
            <v>0</v>
          </cell>
          <cell r="AD291">
            <v>0</v>
          </cell>
          <cell r="AF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P291" t="str">
            <v>X</v>
          </cell>
          <cell r="AQ291" t="str">
            <v/>
          </cell>
        </row>
        <row r="292">
          <cell r="I292" t="str">
            <v>6.3 Wire and Cable</v>
          </cell>
        </row>
        <row r="293">
          <cell r="B293" t="str">
            <v>Low Level Control HW</v>
          </cell>
          <cell r="C293">
            <v>0</v>
          </cell>
          <cell r="D293">
            <v>4</v>
          </cell>
          <cell r="E293" t="str">
            <v>EW</v>
          </cell>
          <cell r="F293" t="str">
            <v>O_</v>
          </cell>
          <cell r="G293" t="str">
            <v>GA</v>
          </cell>
          <cell r="H293" t="str">
            <v>04-EW-O_-GA</v>
          </cell>
          <cell r="I293" t="str">
            <v>Signal Cable, CU Control Cable</v>
          </cell>
          <cell r="Q293" t="str">
            <v>EXT</v>
          </cell>
          <cell r="R293" t="str">
            <v>Placeholder</v>
          </cell>
          <cell r="U293" t="str">
            <v>MT</v>
          </cell>
          <cell r="W293">
            <v>1</v>
          </cell>
          <cell r="X293" t="str">
            <v>USD</v>
          </cell>
          <cell r="Z293">
            <v>0</v>
          </cell>
          <cell r="AA293">
            <v>0</v>
          </cell>
          <cell r="AC293">
            <v>0</v>
          </cell>
          <cell r="AD293">
            <v>0</v>
          </cell>
          <cell r="AF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P293" t="str">
            <v>X</v>
          </cell>
          <cell r="AQ293" t="str">
            <v>CF.5</v>
          </cell>
        </row>
        <row r="294">
          <cell r="B294" t="str">
            <v>Low Level Control HW</v>
          </cell>
          <cell r="C294">
            <v>0</v>
          </cell>
          <cell r="D294">
            <v>4</v>
          </cell>
          <cell r="E294" t="str">
            <v>EW</v>
          </cell>
          <cell r="F294" t="str">
            <v>O_</v>
          </cell>
          <cell r="G294" t="str">
            <v>GB</v>
          </cell>
          <cell r="H294" t="str">
            <v>04-EW-O_-GB</v>
          </cell>
          <cell r="I294" t="str">
            <v>Signal Cable, CU Data Cable</v>
          </cell>
          <cell r="Q294" t="str">
            <v>EXT</v>
          </cell>
          <cell r="R294" t="str">
            <v>Placeholder</v>
          </cell>
          <cell r="U294" t="str">
            <v>MT</v>
          </cell>
          <cell r="W294">
            <v>1</v>
          </cell>
          <cell r="X294" t="str">
            <v>USD</v>
          </cell>
          <cell r="Z294">
            <v>0</v>
          </cell>
          <cell r="AA294">
            <v>0</v>
          </cell>
          <cell r="AC294">
            <v>0</v>
          </cell>
          <cell r="AD294">
            <v>0</v>
          </cell>
          <cell r="AF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P294" t="str">
            <v>X</v>
          </cell>
          <cell r="AQ294" t="str">
            <v>CF.5</v>
          </cell>
        </row>
        <row r="295">
          <cell r="B295" t="str">
            <v>Low Level Control HW</v>
          </cell>
          <cell r="C295">
            <v>0</v>
          </cell>
          <cell r="D295">
            <v>4</v>
          </cell>
          <cell r="E295" t="str">
            <v>EW</v>
          </cell>
          <cell r="F295" t="str">
            <v>O_</v>
          </cell>
          <cell r="G295" t="str">
            <v>HA</v>
          </cell>
          <cell r="H295" t="str">
            <v>04-EW-O_-HA</v>
          </cell>
          <cell r="I295" t="str">
            <v>Signal Cable, Optical Fibre Optical Cable</v>
          </cell>
          <cell r="Q295" t="str">
            <v>EXT</v>
          </cell>
          <cell r="R295" t="str">
            <v>Placeholder</v>
          </cell>
          <cell r="U295" t="str">
            <v>MT</v>
          </cell>
          <cell r="W295">
            <v>1</v>
          </cell>
          <cell r="X295" t="str">
            <v>USD</v>
          </cell>
          <cell r="Z295">
            <v>0</v>
          </cell>
          <cell r="AA295">
            <v>0</v>
          </cell>
          <cell r="AC295">
            <v>0</v>
          </cell>
          <cell r="AD295">
            <v>0</v>
          </cell>
          <cell r="AF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P295" t="str">
            <v>X</v>
          </cell>
          <cell r="AQ295" t="str">
            <v>CF.5</v>
          </cell>
        </row>
        <row r="296">
          <cell r="B296" t="str">
            <v/>
          </cell>
          <cell r="H296" t="str">
            <v>--</v>
          </cell>
          <cell r="Q296" t="str">
            <v>EXT</v>
          </cell>
          <cell r="R296" t="str">
            <v>Placeholder</v>
          </cell>
          <cell r="U296" t="str">
            <v>MT</v>
          </cell>
          <cell r="W296">
            <v>1</v>
          </cell>
          <cell r="X296" t="str">
            <v>USD</v>
          </cell>
          <cell r="Z296">
            <v>0</v>
          </cell>
          <cell r="AA296">
            <v>0</v>
          </cell>
          <cell r="AC296">
            <v>0</v>
          </cell>
          <cell r="AD296">
            <v>0</v>
          </cell>
          <cell r="AF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P296" t="str">
            <v>X</v>
          </cell>
          <cell r="AQ296" t="str">
            <v/>
          </cell>
        </row>
        <row r="297">
          <cell r="B297" t="str">
            <v/>
          </cell>
          <cell r="H297" t="str">
            <v>--</v>
          </cell>
          <cell r="Q297" t="str">
            <v>EXT</v>
          </cell>
          <cell r="R297" t="str">
            <v>Placeholder</v>
          </cell>
          <cell r="U297" t="str">
            <v>MT</v>
          </cell>
          <cell r="W297">
            <v>1</v>
          </cell>
          <cell r="X297" t="str">
            <v>USD</v>
          </cell>
          <cell r="Z297">
            <v>0</v>
          </cell>
          <cell r="AA297">
            <v>0</v>
          </cell>
          <cell r="AC297">
            <v>0</v>
          </cell>
          <cell r="AD297">
            <v>0</v>
          </cell>
          <cell r="AF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P297" t="str">
            <v>X</v>
          </cell>
          <cell r="AQ297" t="str">
            <v/>
          </cell>
        </row>
        <row r="298">
          <cell r="B298" t="str">
            <v>Subtotal - 7</v>
          </cell>
          <cell r="I298" t="str">
            <v>7. Sorter</v>
          </cell>
        </row>
        <row r="299">
          <cell r="I299" t="str">
            <v>7.1 Control Panel (LP = Power and PLC Part)</v>
          </cell>
        </row>
        <row r="300">
          <cell r="B300" t="str">
            <v>Low Level Control HW</v>
          </cell>
          <cell r="C300">
            <v>0</v>
          </cell>
          <cell r="D300">
            <v>4</v>
          </cell>
          <cell r="E300" t="str">
            <v>CU</v>
          </cell>
          <cell r="F300" t="str">
            <v>ST</v>
          </cell>
          <cell r="G300" t="str">
            <v>BG</v>
          </cell>
          <cell r="H300" t="str">
            <v>04-CU-ST-BG</v>
          </cell>
          <cell r="I300" t="str">
            <v>Central Control Panel (LP001)</v>
          </cell>
          <cell r="Q300" t="str">
            <v>EXT</v>
          </cell>
          <cell r="R300" t="str">
            <v>Placeholder</v>
          </cell>
          <cell r="U300" t="str">
            <v>PC</v>
          </cell>
          <cell r="W300">
            <v>1</v>
          </cell>
          <cell r="X300" t="str">
            <v>USD</v>
          </cell>
          <cell r="Z300">
            <v>0</v>
          </cell>
          <cell r="AA300">
            <v>0</v>
          </cell>
          <cell r="AC300">
            <v>0</v>
          </cell>
          <cell r="AD300">
            <v>0</v>
          </cell>
          <cell r="AF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P300" t="str">
            <v>X</v>
          </cell>
          <cell r="AQ300" t="str">
            <v>CF.5</v>
          </cell>
        </row>
        <row r="301">
          <cell r="B301" t="str">
            <v/>
          </cell>
          <cell r="H301" t="str">
            <v>--</v>
          </cell>
          <cell r="Q301" t="str">
            <v>EXT</v>
          </cell>
          <cell r="R301" t="str">
            <v>Placeholder</v>
          </cell>
          <cell r="W301">
            <v>1</v>
          </cell>
          <cell r="X301" t="str">
            <v>USD</v>
          </cell>
          <cell r="Z301">
            <v>0</v>
          </cell>
          <cell r="AA301">
            <v>0</v>
          </cell>
          <cell r="AC301">
            <v>0</v>
          </cell>
          <cell r="AD301">
            <v>0</v>
          </cell>
          <cell r="AF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P301" t="str">
            <v>X</v>
          </cell>
          <cell r="AQ301" t="str">
            <v/>
          </cell>
        </row>
        <row r="302">
          <cell r="B302" t="str">
            <v/>
          </cell>
          <cell r="H302" t="str">
            <v>--</v>
          </cell>
          <cell r="Q302" t="str">
            <v>EXT</v>
          </cell>
          <cell r="R302" t="str">
            <v>Placeholder</v>
          </cell>
          <cell r="W302">
            <v>1</v>
          </cell>
          <cell r="X302" t="str">
            <v>USD</v>
          </cell>
          <cell r="Z302">
            <v>0</v>
          </cell>
          <cell r="AA302">
            <v>0</v>
          </cell>
          <cell r="AC302">
            <v>0</v>
          </cell>
          <cell r="AD302">
            <v>0</v>
          </cell>
          <cell r="AF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P302" t="str">
            <v>X</v>
          </cell>
          <cell r="AQ302" t="str">
            <v/>
          </cell>
        </row>
        <row r="303">
          <cell r="I303" t="str">
            <v>7.2 Field Panels (PM, PFC, …)</v>
          </cell>
        </row>
        <row r="304">
          <cell r="B304" t="str">
            <v>Low Level Control HW</v>
          </cell>
          <cell r="C304">
            <v>0</v>
          </cell>
          <cell r="D304">
            <v>4</v>
          </cell>
          <cell r="E304" t="str">
            <v>CU</v>
          </cell>
          <cell r="F304" t="str">
            <v>ST</v>
          </cell>
          <cell r="G304" t="str">
            <v>CC</v>
          </cell>
          <cell r="H304" t="str">
            <v>04-CU-ST-CC</v>
          </cell>
          <cell r="I304" t="str">
            <v>Field Panels: Field Control Panel (PM)</v>
          </cell>
          <cell r="Q304" t="str">
            <v>EXT</v>
          </cell>
          <cell r="R304" t="str">
            <v>Placeholder</v>
          </cell>
          <cell r="U304" t="str">
            <v>PC</v>
          </cell>
          <cell r="W304">
            <v>1</v>
          </cell>
          <cell r="X304" t="str">
            <v>USD</v>
          </cell>
          <cell r="Z304">
            <v>0</v>
          </cell>
          <cell r="AA304">
            <v>0</v>
          </cell>
          <cell r="AC304">
            <v>0</v>
          </cell>
          <cell r="AD304">
            <v>0</v>
          </cell>
          <cell r="AF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P304" t="str">
            <v>X</v>
          </cell>
          <cell r="AQ304" t="str">
            <v>CF.5</v>
          </cell>
        </row>
        <row r="305">
          <cell r="B305" t="str">
            <v>Low Level Control HW</v>
          </cell>
          <cell r="C305">
            <v>0</v>
          </cell>
          <cell r="D305">
            <v>4</v>
          </cell>
          <cell r="E305" t="str">
            <v>CU</v>
          </cell>
          <cell r="F305" t="str">
            <v>ST</v>
          </cell>
          <cell r="G305" t="str">
            <v>CE</v>
          </cell>
          <cell r="H305" t="str">
            <v>04-CU-ST-CE</v>
          </cell>
          <cell r="I305" t="str">
            <v>Field Panels: I/O Box IOB (FB)</v>
          </cell>
          <cell r="Q305" t="str">
            <v>EXT</v>
          </cell>
          <cell r="R305" t="str">
            <v>Placeholder</v>
          </cell>
          <cell r="U305" t="str">
            <v>PC</v>
          </cell>
          <cell r="W305">
            <v>1</v>
          </cell>
          <cell r="X305" t="str">
            <v>USD</v>
          </cell>
          <cell r="Z305">
            <v>0</v>
          </cell>
          <cell r="AA305">
            <v>0</v>
          </cell>
          <cell r="AC305">
            <v>0</v>
          </cell>
          <cell r="AD305">
            <v>0</v>
          </cell>
          <cell r="AF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P305" t="str">
            <v>X</v>
          </cell>
          <cell r="AQ305" t="str">
            <v>CF.5</v>
          </cell>
        </row>
        <row r="306">
          <cell r="B306" t="str">
            <v>Low Level Control HW</v>
          </cell>
          <cell r="C306">
            <v>0</v>
          </cell>
          <cell r="D306">
            <v>4</v>
          </cell>
          <cell r="E306" t="str">
            <v>CU</v>
          </cell>
          <cell r="F306" t="str">
            <v>ST</v>
          </cell>
          <cell r="G306" t="str">
            <v>CE</v>
          </cell>
          <cell r="H306" t="str">
            <v>04-CU-ST-CE</v>
          </cell>
          <cell r="I306" t="str">
            <v>Field Panels: Panel Motor Unit (DC)</v>
          </cell>
          <cell r="Q306" t="str">
            <v>EXT</v>
          </cell>
          <cell r="R306" t="str">
            <v>Placeholder</v>
          </cell>
          <cell r="U306" t="str">
            <v>PC</v>
          </cell>
          <cell r="W306">
            <v>1</v>
          </cell>
          <cell r="X306" t="str">
            <v>USD</v>
          </cell>
          <cell r="Z306">
            <v>0</v>
          </cell>
          <cell r="AA306">
            <v>0</v>
          </cell>
          <cell r="AC306">
            <v>0</v>
          </cell>
          <cell r="AD306">
            <v>0</v>
          </cell>
          <cell r="AF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P306" t="str">
            <v>X</v>
          </cell>
          <cell r="AQ306" t="str">
            <v>CF.5</v>
          </cell>
        </row>
        <row r="307">
          <cell r="B307" t="str">
            <v>Low Level Control HW</v>
          </cell>
          <cell r="C307">
            <v>0</v>
          </cell>
          <cell r="D307">
            <v>4</v>
          </cell>
          <cell r="E307" t="str">
            <v>CU</v>
          </cell>
          <cell r="F307" t="str">
            <v>ST</v>
          </cell>
          <cell r="G307" t="str">
            <v>CE</v>
          </cell>
          <cell r="H307" t="str">
            <v>04-CU-ST-CE</v>
          </cell>
          <cell r="I307" t="str">
            <v>Field Panels: Induction Control Panel (IB)</v>
          </cell>
          <cell r="Q307" t="str">
            <v>EXT</v>
          </cell>
          <cell r="R307" t="str">
            <v>Placeholder</v>
          </cell>
          <cell r="U307" t="str">
            <v>PC</v>
          </cell>
          <cell r="W307">
            <v>1</v>
          </cell>
          <cell r="X307" t="str">
            <v>USD</v>
          </cell>
          <cell r="Z307">
            <v>0</v>
          </cell>
          <cell r="AA307">
            <v>0</v>
          </cell>
          <cell r="AC307">
            <v>0</v>
          </cell>
          <cell r="AD307">
            <v>0</v>
          </cell>
          <cell r="AF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P307" t="str">
            <v>X</v>
          </cell>
          <cell r="AQ307" t="str">
            <v>CF.5</v>
          </cell>
        </row>
        <row r="308">
          <cell r="B308" t="str">
            <v>Low Level Control HW</v>
          </cell>
          <cell r="C308">
            <v>0</v>
          </cell>
          <cell r="D308">
            <v>4</v>
          </cell>
          <cell r="E308" t="str">
            <v>CU</v>
          </cell>
          <cell r="F308" t="str">
            <v>ST</v>
          </cell>
          <cell r="G308" t="str">
            <v>CE</v>
          </cell>
          <cell r="H308" t="str">
            <v>04-CU-ST-CE</v>
          </cell>
          <cell r="I308" t="str">
            <v>Field Panels: Sorter Speed Control (SP)</v>
          </cell>
          <cell r="Q308" t="str">
            <v>EXT</v>
          </cell>
          <cell r="R308" t="str">
            <v>Placeholder</v>
          </cell>
          <cell r="U308" t="str">
            <v>PC</v>
          </cell>
          <cell r="W308">
            <v>1</v>
          </cell>
          <cell r="X308" t="str">
            <v>USD</v>
          </cell>
          <cell r="Z308">
            <v>0</v>
          </cell>
          <cell r="AA308">
            <v>0</v>
          </cell>
          <cell r="AC308">
            <v>0</v>
          </cell>
          <cell r="AD308">
            <v>0</v>
          </cell>
          <cell r="AF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P308" t="str">
            <v>X</v>
          </cell>
          <cell r="AQ308" t="str">
            <v>CF.5</v>
          </cell>
        </row>
        <row r="309">
          <cell r="B309" t="str">
            <v/>
          </cell>
          <cell r="H309" t="str">
            <v>--</v>
          </cell>
          <cell r="Q309" t="str">
            <v>EXT</v>
          </cell>
          <cell r="R309" t="str">
            <v>Placeholder</v>
          </cell>
          <cell r="W309">
            <v>1</v>
          </cell>
          <cell r="X309" t="str">
            <v>USD</v>
          </cell>
          <cell r="Z309">
            <v>0</v>
          </cell>
          <cell r="AA309">
            <v>0</v>
          </cell>
          <cell r="AC309">
            <v>0</v>
          </cell>
          <cell r="AD309">
            <v>0</v>
          </cell>
          <cell r="AF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P309" t="str">
            <v>X</v>
          </cell>
          <cell r="AQ309" t="str">
            <v/>
          </cell>
        </row>
        <row r="310">
          <cell r="B310" t="str">
            <v/>
          </cell>
          <cell r="H310" t="str">
            <v>--</v>
          </cell>
          <cell r="Q310" t="str">
            <v>EXT</v>
          </cell>
          <cell r="R310" t="str">
            <v>Placeholder</v>
          </cell>
          <cell r="W310">
            <v>1</v>
          </cell>
          <cell r="X310" t="str">
            <v>USD</v>
          </cell>
          <cell r="Z310">
            <v>0</v>
          </cell>
          <cell r="AA310">
            <v>0</v>
          </cell>
          <cell r="AC310">
            <v>0</v>
          </cell>
          <cell r="AD310">
            <v>0</v>
          </cell>
          <cell r="AF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P310" t="str">
            <v>X</v>
          </cell>
          <cell r="AQ310" t="str">
            <v/>
          </cell>
        </row>
        <row r="311">
          <cell r="I311" t="str">
            <v>7.3 Field Devices Sensors…</v>
          </cell>
        </row>
        <row r="312">
          <cell r="B312" t="str">
            <v>Low Level Control HW</v>
          </cell>
          <cell r="C312">
            <v>0</v>
          </cell>
          <cell r="D312">
            <v>4</v>
          </cell>
          <cell r="E312" t="str">
            <v>CC</v>
          </cell>
          <cell r="F312" t="str">
            <v>ST</v>
          </cell>
          <cell r="G312" t="str">
            <v>BG</v>
          </cell>
          <cell r="H312" t="str">
            <v>04-CC-ST-BG</v>
          </cell>
          <cell r="I312" t="str">
            <v>Field Devices: Actors, Sensors</v>
          </cell>
          <cell r="Q312" t="str">
            <v>EXT</v>
          </cell>
          <cell r="R312" t="str">
            <v>Placeholder</v>
          </cell>
          <cell r="U312" t="str">
            <v>PC</v>
          </cell>
          <cell r="W312">
            <v>1</v>
          </cell>
          <cell r="X312" t="str">
            <v>USD</v>
          </cell>
          <cell r="Z312">
            <v>0</v>
          </cell>
          <cell r="AA312">
            <v>0</v>
          </cell>
          <cell r="AC312">
            <v>0</v>
          </cell>
          <cell r="AD312">
            <v>0</v>
          </cell>
          <cell r="AF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P312" t="str">
            <v>X</v>
          </cell>
          <cell r="AQ312" t="str">
            <v>CF.5</v>
          </cell>
        </row>
        <row r="313">
          <cell r="B313" t="str">
            <v>Low Level Control HW</v>
          </cell>
          <cell r="C313">
            <v>0</v>
          </cell>
          <cell r="D313">
            <v>4</v>
          </cell>
          <cell r="E313" t="str">
            <v>CC</v>
          </cell>
          <cell r="F313" t="str">
            <v>ST</v>
          </cell>
          <cell r="G313" t="str">
            <v>BA</v>
          </cell>
          <cell r="H313" t="str">
            <v>04-CC-ST-BA</v>
          </cell>
          <cell r="I313" t="str">
            <v>Field Devices: I/O Devices</v>
          </cell>
          <cell r="Q313" t="str">
            <v>EXT</v>
          </cell>
          <cell r="R313" t="str">
            <v>Placeholder</v>
          </cell>
          <cell r="U313" t="str">
            <v>PC</v>
          </cell>
          <cell r="W313">
            <v>1</v>
          </cell>
          <cell r="X313" t="str">
            <v>USD</v>
          </cell>
          <cell r="Z313">
            <v>0</v>
          </cell>
          <cell r="AA313">
            <v>0</v>
          </cell>
          <cell r="AC313">
            <v>0</v>
          </cell>
          <cell r="AD313">
            <v>0</v>
          </cell>
          <cell r="AF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P313" t="str">
            <v>X</v>
          </cell>
          <cell r="AQ313" t="str">
            <v>CF.5</v>
          </cell>
        </row>
        <row r="314">
          <cell r="B314" t="str">
            <v>Low Level Control HW</v>
          </cell>
          <cell r="C314">
            <v>0</v>
          </cell>
          <cell r="D314">
            <v>4</v>
          </cell>
          <cell r="E314" t="str">
            <v>CC</v>
          </cell>
          <cell r="F314" t="str">
            <v>ST</v>
          </cell>
          <cell r="G314" t="str">
            <v>BU</v>
          </cell>
          <cell r="H314" t="str">
            <v>04-CC-ST-BU</v>
          </cell>
          <cell r="I314" t="str">
            <v>Field Devices: Equipment Brackets &amp; Supports</v>
          </cell>
          <cell r="Q314" t="str">
            <v>EXT</v>
          </cell>
          <cell r="R314" t="str">
            <v>Placeholder</v>
          </cell>
          <cell r="U314" t="str">
            <v>PC</v>
          </cell>
          <cell r="W314">
            <v>1</v>
          </cell>
          <cell r="X314" t="str">
            <v>USD</v>
          </cell>
          <cell r="Z314">
            <v>0</v>
          </cell>
          <cell r="AA314">
            <v>0</v>
          </cell>
          <cell r="AC314">
            <v>0</v>
          </cell>
          <cell r="AD314">
            <v>0</v>
          </cell>
          <cell r="AF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P314" t="str">
            <v>X</v>
          </cell>
          <cell r="AQ314" t="str">
            <v>CF.5</v>
          </cell>
        </row>
        <row r="315">
          <cell r="B315" t="str">
            <v>Low Level Control HW</v>
          </cell>
          <cell r="C315">
            <v>0</v>
          </cell>
          <cell r="D315">
            <v>4</v>
          </cell>
          <cell r="E315" t="str">
            <v>CC</v>
          </cell>
          <cell r="F315" t="str">
            <v>ST</v>
          </cell>
          <cell r="G315" t="str">
            <v>BW</v>
          </cell>
          <cell r="H315" t="str">
            <v>04-CC-ST-BW</v>
          </cell>
          <cell r="I315" t="str">
            <v>Field Devices: Premanu. Sensor cable</v>
          </cell>
          <cell r="Q315" t="str">
            <v>EXT</v>
          </cell>
          <cell r="R315" t="str">
            <v>Placeholder</v>
          </cell>
          <cell r="U315" t="str">
            <v>PC</v>
          </cell>
          <cell r="W315">
            <v>1</v>
          </cell>
          <cell r="X315" t="str">
            <v>USD</v>
          </cell>
          <cell r="Z315">
            <v>0</v>
          </cell>
          <cell r="AA315">
            <v>0</v>
          </cell>
          <cell r="AC315">
            <v>0</v>
          </cell>
          <cell r="AD315">
            <v>0</v>
          </cell>
          <cell r="AF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P315" t="str">
            <v>X</v>
          </cell>
          <cell r="AQ315" t="str">
            <v>CF.5</v>
          </cell>
        </row>
        <row r="316">
          <cell r="B316" t="str">
            <v>Low Level Control HW</v>
          </cell>
          <cell r="C316">
            <v>0</v>
          </cell>
          <cell r="D316">
            <v>4</v>
          </cell>
          <cell r="E316" t="str">
            <v>CC</v>
          </cell>
          <cell r="F316" t="str">
            <v>ST</v>
          </cell>
          <cell r="G316" t="str">
            <v>SJ</v>
          </cell>
          <cell r="H316" t="str">
            <v>04-CC-ST-SJ</v>
          </cell>
          <cell r="I316" t="str">
            <v>Field Devices: Control Stations (CS)</v>
          </cell>
          <cell r="Q316" t="str">
            <v>EXT</v>
          </cell>
          <cell r="R316" t="str">
            <v>Placeholder</v>
          </cell>
          <cell r="U316" t="str">
            <v>PC</v>
          </cell>
          <cell r="W316">
            <v>1</v>
          </cell>
          <cell r="X316" t="str">
            <v>USD</v>
          </cell>
          <cell r="Z316">
            <v>0</v>
          </cell>
          <cell r="AA316">
            <v>0</v>
          </cell>
          <cell r="AC316">
            <v>0</v>
          </cell>
          <cell r="AD316">
            <v>0</v>
          </cell>
          <cell r="AF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P316" t="str">
            <v>X</v>
          </cell>
          <cell r="AQ316" t="str">
            <v>CF.5</v>
          </cell>
        </row>
        <row r="317">
          <cell r="B317" t="str">
            <v>Low Level Control HW</v>
          </cell>
          <cell r="C317">
            <v>0</v>
          </cell>
          <cell r="D317">
            <v>4</v>
          </cell>
          <cell r="E317" t="str">
            <v>CC</v>
          </cell>
          <cell r="F317" t="str">
            <v>ST</v>
          </cell>
          <cell r="G317" t="str">
            <v>SP</v>
          </cell>
          <cell r="H317" t="str">
            <v>04-CC-ST-SP</v>
          </cell>
          <cell r="I317" t="str">
            <v>Field Devices: Light Beacons / Tower Lamps (LB)</v>
          </cell>
          <cell r="Q317" t="str">
            <v>EXT</v>
          </cell>
          <cell r="R317" t="str">
            <v>Placeholder</v>
          </cell>
          <cell r="U317" t="str">
            <v>PC</v>
          </cell>
          <cell r="W317">
            <v>1</v>
          </cell>
          <cell r="X317" t="str">
            <v>USD</v>
          </cell>
          <cell r="Z317">
            <v>0</v>
          </cell>
          <cell r="AA317">
            <v>0</v>
          </cell>
          <cell r="AC317">
            <v>0</v>
          </cell>
          <cell r="AD317">
            <v>0</v>
          </cell>
          <cell r="AF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P317" t="str">
            <v>X</v>
          </cell>
          <cell r="AQ317" t="str">
            <v>CF.5</v>
          </cell>
        </row>
        <row r="318">
          <cell r="B318" t="str">
            <v/>
          </cell>
          <cell r="H318" t="str">
            <v>--</v>
          </cell>
          <cell r="Q318" t="str">
            <v>EXT</v>
          </cell>
          <cell r="R318" t="str">
            <v>Placeholder</v>
          </cell>
          <cell r="W318">
            <v>1</v>
          </cell>
          <cell r="X318" t="str">
            <v>USD</v>
          </cell>
          <cell r="Z318">
            <v>0</v>
          </cell>
          <cell r="AA318">
            <v>0</v>
          </cell>
          <cell r="AC318">
            <v>0</v>
          </cell>
          <cell r="AD318">
            <v>0</v>
          </cell>
          <cell r="AF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P318" t="str">
            <v>X</v>
          </cell>
          <cell r="AQ318" t="str">
            <v/>
          </cell>
        </row>
        <row r="319">
          <cell r="B319" t="str">
            <v/>
          </cell>
          <cell r="H319" t="str">
            <v>--</v>
          </cell>
          <cell r="Q319" t="str">
            <v>EXT</v>
          </cell>
          <cell r="R319" t="str">
            <v>Placeholder</v>
          </cell>
          <cell r="W319">
            <v>1</v>
          </cell>
          <cell r="X319" t="str">
            <v>USD</v>
          </cell>
          <cell r="Z319">
            <v>0</v>
          </cell>
          <cell r="AA319">
            <v>0</v>
          </cell>
          <cell r="AC319">
            <v>0</v>
          </cell>
          <cell r="AD319">
            <v>0</v>
          </cell>
          <cell r="AF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P319" t="str">
            <v>X</v>
          </cell>
          <cell r="AQ319" t="str">
            <v/>
          </cell>
        </row>
        <row r="320">
          <cell r="I320" t="str">
            <v>7.4 Cable Supporting System</v>
          </cell>
        </row>
        <row r="321">
          <cell r="B321" t="str">
            <v>Low Level Control HW</v>
          </cell>
          <cell r="C321">
            <v>0</v>
          </cell>
          <cell r="D321">
            <v>4</v>
          </cell>
          <cell r="E321" t="str">
            <v>CL</v>
          </cell>
          <cell r="F321" t="str">
            <v>ST</v>
          </cell>
          <cell r="G321" t="str">
            <v>BU</v>
          </cell>
          <cell r="H321" t="str">
            <v>04-CL-ST-BU</v>
          </cell>
          <cell r="I321" t="str">
            <v>Cable Tray Cable Rack, Cable Trunking, Cable Ladder, Conduit</v>
          </cell>
          <cell r="Q321" t="str">
            <v>EXT</v>
          </cell>
          <cell r="R321" t="str">
            <v>Placeholder</v>
          </cell>
          <cell r="U321" t="str">
            <v>MT</v>
          </cell>
          <cell r="W321">
            <v>1</v>
          </cell>
          <cell r="X321" t="str">
            <v>USD</v>
          </cell>
          <cell r="Z321">
            <v>0</v>
          </cell>
          <cell r="AA321">
            <v>0</v>
          </cell>
          <cell r="AC321">
            <v>0</v>
          </cell>
          <cell r="AD321">
            <v>0</v>
          </cell>
          <cell r="AF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P321" t="str">
            <v>X</v>
          </cell>
          <cell r="AQ321" t="str">
            <v>CF.5</v>
          </cell>
        </row>
        <row r="322">
          <cell r="B322" t="str">
            <v/>
          </cell>
          <cell r="H322" t="str">
            <v>--</v>
          </cell>
          <cell r="Q322" t="str">
            <v>EXT</v>
          </cell>
          <cell r="R322" t="str">
            <v>Placeholder</v>
          </cell>
          <cell r="W322">
            <v>1</v>
          </cell>
          <cell r="X322" t="str">
            <v>USD</v>
          </cell>
          <cell r="Z322">
            <v>0</v>
          </cell>
          <cell r="AA322">
            <v>0</v>
          </cell>
          <cell r="AC322">
            <v>0</v>
          </cell>
          <cell r="AD322">
            <v>0</v>
          </cell>
          <cell r="AF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P322" t="str">
            <v>X</v>
          </cell>
          <cell r="AQ322" t="str">
            <v/>
          </cell>
        </row>
        <row r="323">
          <cell r="B323" t="str">
            <v/>
          </cell>
          <cell r="H323" t="str">
            <v>--</v>
          </cell>
          <cell r="Q323" t="str">
            <v>EXT</v>
          </cell>
          <cell r="R323" t="str">
            <v>Placeholder</v>
          </cell>
          <cell r="W323">
            <v>1</v>
          </cell>
          <cell r="X323" t="str">
            <v>USD</v>
          </cell>
          <cell r="Z323">
            <v>0</v>
          </cell>
          <cell r="AA323">
            <v>0</v>
          </cell>
          <cell r="AC323">
            <v>0</v>
          </cell>
          <cell r="AD323">
            <v>0</v>
          </cell>
          <cell r="AF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P323" t="str">
            <v>X</v>
          </cell>
          <cell r="AQ323" t="str">
            <v/>
          </cell>
        </row>
        <row r="324">
          <cell r="I324" t="str">
            <v>7.5 Wire and Cable</v>
          </cell>
        </row>
        <row r="325">
          <cell r="B325" t="str">
            <v>Low Level Control HW</v>
          </cell>
          <cell r="C325">
            <v>0</v>
          </cell>
          <cell r="D325">
            <v>4</v>
          </cell>
          <cell r="E325" t="str">
            <v>CW</v>
          </cell>
          <cell r="F325" t="str">
            <v>ST</v>
          </cell>
          <cell r="G325" t="str">
            <v>DB</v>
          </cell>
          <cell r="H325" t="str">
            <v>04-CW-ST-DB</v>
          </cell>
          <cell r="I325" t="str">
            <v>Low Voltage Power Cable</v>
          </cell>
          <cell r="Q325" t="str">
            <v>EXT</v>
          </cell>
          <cell r="R325" t="str">
            <v>Placeholder</v>
          </cell>
          <cell r="U325" t="str">
            <v>MT</v>
          </cell>
          <cell r="W325">
            <v>1</v>
          </cell>
          <cell r="X325" t="str">
            <v>USD</v>
          </cell>
          <cell r="Z325">
            <v>0</v>
          </cell>
          <cell r="AA325">
            <v>0</v>
          </cell>
          <cell r="AC325">
            <v>0</v>
          </cell>
          <cell r="AD325">
            <v>0</v>
          </cell>
          <cell r="AF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P325" t="str">
            <v>X</v>
          </cell>
          <cell r="AQ325" t="str">
            <v>CF.5</v>
          </cell>
        </row>
        <row r="326">
          <cell r="B326" t="str">
            <v>Low Level Control HW</v>
          </cell>
          <cell r="C326">
            <v>0</v>
          </cell>
          <cell r="D326">
            <v>4</v>
          </cell>
          <cell r="E326" t="str">
            <v>CW</v>
          </cell>
          <cell r="F326" t="str">
            <v>ST</v>
          </cell>
          <cell r="G326" t="str">
            <v>EB</v>
          </cell>
          <cell r="H326" t="str">
            <v>04-CW-ST-EB</v>
          </cell>
          <cell r="I326" t="str">
            <v>Earthing Cable</v>
          </cell>
          <cell r="Q326" t="str">
            <v>EXT</v>
          </cell>
          <cell r="R326" t="str">
            <v>Placeholder</v>
          </cell>
          <cell r="U326" t="str">
            <v>MT</v>
          </cell>
          <cell r="W326">
            <v>1</v>
          </cell>
          <cell r="X326" t="str">
            <v>USD</v>
          </cell>
          <cell r="Z326">
            <v>0</v>
          </cell>
          <cell r="AA326">
            <v>0</v>
          </cell>
          <cell r="AC326">
            <v>0</v>
          </cell>
          <cell r="AD326">
            <v>0</v>
          </cell>
          <cell r="AF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P326" t="str">
            <v>X</v>
          </cell>
          <cell r="AQ326" t="str">
            <v>CF.5</v>
          </cell>
        </row>
        <row r="327">
          <cell r="B327" t="str">
            <v>Low Level Control HW</v>
          </cell>
          <cell r="C327">
            <v>0</v>
          </cell>
          <cell r="D327">
            <v>4</v>
          </cell>
          <cell r="E327" t="str">
            <v>CW</v>
          </cell>
          <cell r="F327" t="str">
            <v>ST</v>
          </cell>
          <cell r="G327" t="str">
            <v>GA</v>
          </cell>
          <cell r="H327" t="str">
            <v>04-CW-ST-GA</v>
          </cell>
          <cell r="I327" t="str">
            <v>Signal Cable, CU Control Cable</v>
          </cell>
          <cell r="Q327" t="str">
            <v>EXT</v>
          </cell>
          <cell r="R327" t="str">
            <v>Placeholder</v>
          </cell>
          <cell r="U327" t="str">
            <v>MT</v>
          </cell>
          <cell r="W327">
            <v>1</v>
          </cell>
          <cell r="X327" t="str">
            <v>USD</v>
          </cell>
          <cell r="Z327">
            <v>0</v>
          </cell>
          <cell r="AA327">
            <v>0</v>
          </cell>
          <cell r="AC327">
            <v>0</v>
          </cell>
          <cell r="AD327">
            <v>0</v>
          </cell>
          <cell r="AF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P327" t="str">
            <v>X</v>
          </cell>
          <cell r="AQ327" t="str">
            <v>CF.5</v>
          </cell>
        </row>
        <row r="328">
          <cell r="B328" t="str">
            <v>Low Level Control HW</v>
          </cell>
          <cell r="C328">
            <v>0</v>
          </cell>
          <cell r="D328">
            <v>4</v>
          </cell>
          <cell r="E328" t="str">
            <v>CW</v>
          </cell>
          <cell r="F328" t="str">
            <v>ST</v>
          </cell>
          <cell r="G328" t="str">
            <v>GB</v>
          </cell>
          <cell r="H328" t="str">
            <v>04-CW-ST-GB</v>
          </cell>
          <cell r="I328" t="str">
            <v>Signal Cable, CU Data Cable</v>
          </cell>
          <cell r="Q328" t="str">
            <v>EXT</v>
          </cell>
          <cell r="R328" t="str">
            <v>Placeholder</v>
          </cell>
          <cell r="U328" t="str">
            <v>MT</v>
          </cell>
          <cell r="W328">
            <v>1</v>
          </cell>
          <cell r="X328" t="str">
            <v>USD</v>
          </cell>
          <cell r="Z328">
            <v>0</v>
          </cell>
          <cell r="AA328">
            <v>0</v>
          </cell>
          <cell r="AC328">
            <v>0</v>
          </cell>
          <cell r="AD328">
            <v>0</v>
          </cell>
          <cell r="AF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P328" t="str">
            <v>X</v>
          </cell>
          <cell r="AQ328" t="str">
            <v>CF.5</v>
          </cell>
        </row>
        <row r="329">
          <cell r="B329" t="str">
            <v>Low Level Control HW</v>
          </cell>
          <cell r="C329">
            <v>0</v>
          </cell>
          <cell r="D329">
            <v>4</v>
          </cell>
          <cell r="E329" t="str">
            <v>CW</v>
          </cell>
          <cell r="F329" t="str">
            <v>ST</v>
          </cell>
          <cell r="G329" t="str">
            <v>HA</v>
          </cell>
          <cell r="H329" t="str">
            <v>04-CW-ST-HA</v>
          </cell>
          <cell r="I329" t="str">
            <v>Signal Cable, Optical Fibre Optical Cable</v>
          </cell>
          <cell r="Q329" t="str">
            <v>EXT</v>
          </cell>
          <cell r="R329" t="str">
            <v>Placeholder</v>
          </cell>
          <cell r="U329" t="str">
            <v>MT</v>
          </cell>
          <cell r="W329">
            <v>1</v>
          </cell>
          <cell r="X329" t="str">
            <v>USD</v>
          </cell>
          <cell r="Z329">
            <v>0</v>
          </cell>
          <cell r="AA329">
            <v>0</v>
          </cell>
          <cell r="AC329">
            <v>0</v>
          </cell>
          <cell r="AD329">
            <v>0</v>
          </cell>
          <cell r="AF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P329" t="str">
            <v>X</v>
          </cell>
          <cell r="AQ329" t="str">
            <v>CF.5</v>
          </cell>
        </row>
        <row r="330">
          <cell r="B330" t="str">
            <v/>
          </cell>
          <cell r="H330" t="str">
            <v>--</v>
          </cell>
          <cell r="Q330" t="str">
            <v>EXT</v>
          </cell>
          <cell r="R330" t="str">
            <v>Placeholder</v>
          </cell>
          <cell r="W330">
            <v>1</v>
          </cell>
          <cell r="X330" t="str">
            <v>USD</v>
          </cell>
          <cell r="Z330">
            <v>0</v>
          </cell>
          <cell r="AA330">
            <v>0</v>
          </cell>
          <cell r="AC330">
            <v>0</v>
          </cell>
          <cell r="AD330">
            <v>0</v>
          </cell>
          <cell r="AF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P330" t="str">
            <v>X</v>
          </cell>
          <cell r="AQ330" t="str">
            <v/>
          </cell>
        </row>
        <row r="331">
          <cell r="B331" t="str">
            <v/>
          </cell>
          <cell r="H331" t="str">
            <v>--</v>
          </cell>
          <cell r="Q331" t="str">
            <v>EXT</v>
          </cell>
          <cell r="R331" t="str">
            <v>Placeholder</v>
          </cell>
          <cell r="W331">
            <v>1</v>
          </cell>
          <cell r="X331" t="str">
            <v>USD</v>
          </cell>
          <cell r="Z331">
            <v>0</v>
          </cell>
          <cell r="AA331">
            <v>0</v>
          </cell>
          <cell r="AC331">
            <v>0</v>
          </cell>
          <cell r="AD331">
            <v>0</v>
          </cell>
          <cell r="AF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P331" t="str">
            <v>X</v>
          </cell>
          <cell r="AQ331" t="str">
            <v/>
          </cell>
        </row>
        <row r="332">
          <cell r="I332" t="str">
            <v>7.8 Commissioning Spares</v>
          </cell>
        </row>
        <row r="333">
          <cell r="B333" t="str">
            <v>Low Level Control HW</v>
          </cell>
          <cell r="C333">
            <v>0</v>
          </cell>
          <cell r="D333">
            <v>4</v>
          </cell>
          <cell r="E333" t="str">
            <v>CP</v>
          </cell>
          <cell r="F333" t="str">
            <v>ST</v>
          </cell>
          <cell r="G333" t="str">
            <v>AB</v>
          </cell>
          <cell r="H333" t="str">
            <v>04-CP-ST-AB</v>
          </cell>
          <cell r="I333" t="str">
            <v>Electrical Spare Parts</v>
          </cell>
          <cell r="Q333" t="str">
            <v>EXT</v>
          </cell>
          <cell r="R333" t="str">
            <v>Placeholder</v>
          </cell>
          <cell r="U333" t="str">
            <v>LS</v>
          </cell>
          <cell r="W333">
            <v>1</v>
          </cell>
          <cell r="X333" t="str">
            <v>USD</v>
          </cell>
          <cell r="Z333">
            <v>0</v>
          </cell>
          <cell r="AA333">
            <v>0</v>
          </cell>
          <cell r="AC333">
            <v>0</v>
          </cell>
          <cell r="AD333">
            <v>0</v>
          </cell>
          <cell r="AF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P333" t="str">
            <v>X</v>
          </cell>
          <cell r="AQ333" t="str">
            <v>CF.5</v>
          </cell>
        </row>
        <row r="334">
          <cell r="B334" t="str">
            <v>Low Level Control HW</v>
          </cell>
          <cell r="C334">
            <v>0</v>
          </cell>
          <cell r="D334">
            <v>4</v>
          </cell>
          <cell r="E334" t="str">
            <v>CP</v>
          </cell>
          <cell r="F334" t="str">
            <v>ST</v>
          </cell>
          <cell r="G334" t="str">
            <v>AC</v>
          </cell>
          <cell r="H334" t="str">
            <v>04-CP-ST-AC</v>
          </cell>
          <cell r="I334" t="str">
            <v>Control Spare Parts</v>
          </cell>
          <cell r="Q334" t="str">
            <v>EXT</v>
          </cell>
          <cell r="R334" t="str">
            <v>Placeholder</v>
          </cell>
          <cell r="U334" t="str">
            <v>LS</v>
          </cell>
          <cell r="W334">
            <v>1</v>
          </cell>
          <cell r="X334" t="str">
            <v>USD</v>
          </cell>
          <cell r="Z334">
            <v>0</v>
          </cell>
          <cell r="AA334">
            <v>0</v>
          </cell>
          <cell r="AC334">
            <v>0</v>
          </cell>
          <cell r="AD334">
            <v>0</v>
          </cell>
          <cell r="AF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P334" t="str">
            <v>X</v>
          </cell>
          <cell r="AQ334" t="str">
            <v>CF.5</v>
          </cell>
        </row>
        <row r="335">
          <cell r="B335" t="str">
            <v/>
          </cell>
          <cell r="H335" t="str">
            <v>--</v>
          </cell>
          <cell r="Q335" t="str">
            <v>EXT</v>
          </cell>
          <cell r="R335" t="str">
            <v>Placeholder</v>
          </cell>
          <cell r="W335">
            <v>1</v>
          </cell>
          <cell r="X335" t="str">
            <v>USD</v>
          </cell>
          <cell r="Z335">
            <v>0</v>
          </cell>
          <cell r="AA335">
            <v>0</v>
          </cell>
          <cell r="AC335">
            <v>0</v>
          </cell>
          <cell r="AD335">
            <v>0</v>
          </cell>
          <cell r="AF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P335" t="str">
            <v>X</v>
          </cell>
          <cell r="AQ335" t="str">
            <v/>
          </cell>
        </row>
        <row r="336">
          <cell r="B336" t="str">
            <v/>
          </cell>
          <cell r="H336" t="str">
            <v>--</v>
          </cell>
          <cell r="Q336" t="str">
            <v>EXT</v>
          </cell>
          <cell r="R336" t="str">
            <v>Placeholder</v>
          </cell>
          <cell r="W336">
            <v>1</v>
          </cell>
          <cell r="X336" t="str">
            <v>USD</v>
          </cell>
          <cell r="Z336">
            <v>0</v>
          </cell>
          <cell r="AA336">
            <v>0</v>
          </cell>
          <cell r="AC336">
            <v>0</v>
          </cell>
          <cell r="AD336">
            <v>0</v>
          </cell>
          <cell r="AF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P336" t="str">
            <v>X</v>
          </cell>
          <cell r="AQ336" t="str">
            <v/>
          </cell>
        </row>
        <row r="337">
          <cell r="B337" t="str">
            <v>Subtotal - 8</v>
          </cell>
          <cell r="I337" t="str">
            <v>8. Vision and Recognition</v>
          </cell>
        </row>
        <row r="338">
          <cell r="I338" t="str">
            <v>8.1 ATR Laser Scanner</v>
          </cell>
        </row>
        <row r="339">
          <cell r="B339" t="str">
            <v>Low Level Control HW</v>
          </cell>
          <cell r="C339">
            <v>0</v>
          </cell>
          <cell r="D339">
            <v>4</v>
          </cell>
          <cell r="E339" t="str">
            <v>CC</v>
          </cell>
          <cell r="F339" t="str">
            <v>VR</v>
          </cell>
          <cell r="G339" t="str">
            <v>01</v>
          </cell>
          <cell r="H339" t="str">
            <v>04-CC-VR-01</v>
          </cell>
          <cell r="I339" t="str">
            <v>ATR270: LCT750/8 (T &amp; L code 270°)</v>
          </cell>
          <cell r="Q339" t="str">
            <v>EXT</v>
          </cell>
          <cell r="R339" t="str">
            <v>Placeholder</v>
          </cell>
          <cell r="U339" t="str">
            <v>PC</v>
          </cell>
          <cell r="W339">
            <v>1</v>
          </cell>
          <cell r="X339" t="str">
            <v>USD</v>
          </cell>
          <cell r="Z339">
            <v>0</v>
          </cell>
          <cell r="AA339">
            <v>0</v>
          </cell>
          <cell r="AC339">
            <v>0</v>
          </cell>
          <cell r="AD339">
            <v>0</v>
          </cell>
          <cell r="AF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P339" t="str">
            <v>X</v>
          </cell>
          <cell r="AQ339" t="str">
            <v>CF.5</v>
          </cell>
        </row>
        <row r="340">
          <cell r="B340" t="str">
            <v>Low Level Control HW</v>
          </cell>
          <cell r="C340">
            <v>0</v>
          </cell>
          <cell r="D340">
            <v>4</v>
          </cell>
          <cell r="E340" t="str">
            <v>CC</v>
          </cell>
          <cell r="F340" t="str">
            <v>VR</v>
          </cell>
          <cell r="G340" t="str">
            <v>02</v>
          </cell>
          <cell r="H340" t="str">
            <v>04-CC-VR-02</v>
          </cell>
          <cell r="I340" t="str">
            <v>ATR360: LCB750/10 (T &amp; L code 360°)</v>
          </cell>
          <cell r="L340" t="str">
            <v>Offshore:
GER
(MAT)</v>
          </cell>
          <cell r="M340" t="str">
            <v>StHo</v>
          </cell>
          <cell r="N340">
            <v>44867</v>
          </cell>
          <cell r="P340" t="str">
            <v>SICK</v>
          </cell>
          <cell r="Q340" t="str">
            <v>EXT</v>
          </cell>
          <cell r="R340" t="str">
            <v>Estimate</v>
          </cell>
          <cell r="T340">
            <v>8</v>
          </cell>
          <cell r="U340" t="str">
            <v>PC</v>
          </cell>
          <cell r="V340">
            <v>19960</v>
          </cell>
          <cell r="W340">
            <v>2</v>
          </cell>
          <cell r="X340" t="str">
            <v>EUR</v>
          </cell>
          <cell r="Y340" t="str">
            <v>German MGK 1</v>
          </cell>
          <cell r="Z340">
            <v>0</v>
          </cell>
          <cell r="AA340">
            <v>0</v>
          </cell>
          <cell r="AC340">
            <v>159680</v>
          </cell>
          <cell r="AD340">
            <v>169819.68</v>
          </cell>
          <cell r="AF340">
            <v>0</v>
          </cell>
          <cell r="AH340">
            <v>169819.68</v>
          </cell>
          <cell r="AI340">
            <v>0.23709783177495308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222596.92929579568</v>
          </cell>
          <cell r="AP340" t="str">
            <v>I.1.C</v>
          </cell>
          <cell r="AQ340" t="str">
            <v>CF.5</v>
          </cell>
        </row>
        <row r="341">
          <cell r="B341" t="str">
            <v>Low Level Control HW</v>
          </cell>
          <cell r="C341">
            <v>0</v>
          </cell>
          <cell r="D341">
            <v>4</v>
          </cell>
          <cell r="E341" t="str">
            <v>CC</v>
          </cell>
          <cell r="F341" t="str">
            <v>VR</v>
          </cell>
          <cell r="G341" t="str">
            <v>02</v>
          </cell>
          <cell r="H341" t="str">
            <v>04-CC-VR-02</v>
          </cell>
          <cell r="I341" t="str">
            <v>ATR360: LCB750/12 (T &amp; L code 360°)</v>
          </cell>
          <cell r="L341" t="str">
            <v>Offshore:
GER
(MAT)</v>
          </cell>
          <cell r="M341" t="str">
            <v>StHo</v>
          </cell>
          <cell r="N341">
            <v>44867</v>
          </cell>
          <cell r="P341" t="str">
            <v>SICK</v>
          </cell>
          <cell r="Q341" t="str">
            <v>EXT</v>
          </cell>
          <cell r="R341" t="str">
            <v>Estimate</v>
          </cell>
          <cell r="T341">
            <v>2</v>
          </cell>
          <cell r="U341" t="str">
            <v>PC</v>
          </cell>
          <cell r="V341">
            <v>19960</v>
          </cell>
          <cell r="W341">
            <v>2</v>
          </cell>
          <cell r="X341" t="str">
            <v>EUR</v>
          </cell>
          <cell r="Y341" t="str">
            <v>German MGK 1</v>
          </cell>
          <cell r="Z341">
            <v>0</v>
          </cell>
          <cell r="AA341">
            <v>0</v>
          </cell>
          <cell r="AC341">
            <v>39920</v>
          </cell>
          <cell r="AD341">
            <v>42454.92</v>
          </cell>
          <cell r="AF341">
            <v>0</v>
          </cell>
          <cell r="AH341">
            <v>42454.92</v>
          </cell>
          <cell r="AI341">
            <v>0.23709783177495308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55649.23232394892</v>
          </cell>
          <cell r="AP341" t="str">
            <v>I.2</v>
          </cell>
          <cell r="AQ341" t="str">
            <v>CF.5</v>
          </cell>
        </row>
        <row r="342">
          <cell r="B342" t="str">
            <v>Low Level Control HW</v>
          </cell>
          <cell r="C342">
            <v>0</v>
          </cell>
          <cell r="D342">
            <v>4</v>
          </cell>
          <cell r="E342" t="str">
            <v>CC</v>
          </cell>
          <cell r="F342" t="str">
            <v>VR</v>
          </cell>
          <cell r="G342" t="str">
            <v>02</v>
          </cell>
          <cell r="H342" t="str">
            <v>04-CC-VR-02</v>
          </cell>
          <cell r="I342" t="str">
            <v>ATR360: LCB750/14 (T &amp; L code 360°)</v>
          </cell>
          <cell r="L342" t="str">
            <v>Offshore:
GER
(MAT)</v>
          </cell>
          <cell r="M342" t="str">
            <v>StHo</v>
          </cell>
          <cell r="N342">
            <v>44867</v>
          </cell>
          <cell r="P342" t="str">
            <v>SICK</v>
          </cell>
          <cell r="Q342" t="str">
            <v>EXT</v>
          </cell>
          <cell r="R342" t="str">
            <v>Estimate</v>
          </cell>
          <cell r="T342">
            <v>2</v>
          </cell>
          <cell r="U342" t="str">
            <v>PC</v>
          </cell>
          <cell r="V342">
            <v>19960</v>
          </cell>
          <cell r="W342">
            <v>2</v>
          </cell>
          <cell r="X342" t="str">
            <v>EUR</v>
          </cell>
          <cell r="Y342" t="str">
            <v>German MGK 1</v>
          </cell>
          <cell r="Z342">
            <v>0</v>
          </cell>
          <cell r="AA342">
            <v>0</v>
          </cell>
          <cell r="AC342">
            <v>39920</v>
          </cell>
          <cell r="AD342">
            <v>42454.92</v>
          </cell>
          <cell r="AF342">
            <v>0</v>
          </cell>
          <cell r="AH342">
            <v>42454.92</v>
          </cell>
          <cell r="AI342">
            <v>0.23709783177495308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55649.23232394892</v>
          </cell>
          <cell r="AP342" t="str">
            <v>I.5</v>
          </cell>
          <cell r="AQ342" t="str">
            <v>CF.5</v>
          </cell>
        </row>
        <row r="343">
          <cell r="B343" t="str">
            <v>Low Level Control HW</v>
          </cell>
          <cell r="C343">
            <v>0</v>
          </cell>
          <cell r="D343">
            <v>4</v>
          </cell>
          <cell r="E343" t="str">
            <v>CC</v>
          </cell>
          <cell r="F343" t="str">
            <v>VR</v>
          </cell>
          <cell r="G343" t="str">
            <v>02</v>
          </cell>
          <cell r="H343" t="str">
            <v>04-CC-VR-02</v>
          </cell>
          <cell r="I343" t="str">
            <v>ATR360: LCB750/14 (T &amp; L code 360°)</v>
          </cell>
          <cell r="J343" t="str">
            <v>for XRAYS not pat of 41000 BoQ</v>
          </cell>
          <cell r="L343" t="str">
            <v>Offshore:
GER
(MAT)</v>
          </cell>
          <cell r="M343" t="str">
            <v>StHo</v>
          </cell>
          <cell r="N343">
            <v>44867</v>
          </cell>
          <cell r="P343" t="str">
            <v>SICK</v>
          </cell>
          <cell r="Q343" t="str">
            <v>EXT</v>
          </cell>
          <cell r="R343" t="str">
            <v>Estimate</v>
          </cell>
          <cell r="T343">
            <v>24</v>
          </cell>
          <cell r="U343" t="str">
            <v>PC</v>
          </cell>
          <cell r="V343">
            <v>0</v>
          </cell>
          <cell r="W343">
            <v>2</v>
          </cell>
          <cell r="X343" t="str">
            <v>EUR</v>
          </cell>
          <cell r="Y343" t="str">
            <v>German MGK 1</v>
          </cell>
          <cell r="Z343">
            <v>0</v>
          </cell>
          <cell r="AA343">
            <v>0</v>
          </cell>
          <cell r="AC343">
            <v>0</v>
          </cell>
          <cell r="AD343">
            <v>0</v>
          </cell>
          <cell r="AF343">
            <v>0</v>
          </cell>
          <cell r="AH343">
            <v>0</v>
          </cell>
          <cell r="AI343">
            <v>0.23709783177495308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P343" t="str">
            <v>X</v>
          </cell>
          <cell r="AQ343" t="str">
            <v>CF.5</v>
          </cell>
        </row>
        <row r="344">
          <cell r="B344" t="str">
            <v>Low Level Control HW</v>
          </cell>
          <cell r="C344">
            <v>0</v>
          </cell>
          <cell r="D344">
            <v>4</v>
          </cell>
          <cell r="E344" t="str">
            <v>CC</v>
          </cell>
          <cell r="F344" t="str">
            <v>VR</v>
          </cell>
          <cell r="G344" t="str">
            <v>03</v>
          </cell>
          <cell r="H344" t="str">
            <v>04-CC-VR-03</v>
          </cell>
          <cell r="I344" t="str">
            <v>ATR90: UCB2 (T &amp; L code, 90°)</v>
          </cell>
          <cell r="Q344" t="str">
            <v>EXT</v>
          </cell>
          <cell r="R344" t="str">
            <v>Placeholder</v>
          </cell>
          <cell r="U344" t="str">
            <v>PC</v>
          </cell>
          <cell r="W344">
            <v>1</v>
          </cell>
          <cell r="X344" t="str">
            <v>USD</v>
          </cell>
          <cell r="Z344">
            <v>0</v>
          </cell>
          <cell r="AA344">
            <v>0</v>
          </cell>
          <cell r="AC344">
            <v>0</v>
          </cell>
          <cell r="AD344">
            <v>0</v>
          </cell>
          <cell r="AF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P344" t="str">
            <v>X</v>
          </cell>
          <cell r="AQ344" t="str">
            <v>CF.5</v>
          </cell>
        </row>
        <row r="345">
          <cell r="B345" t="str">
            <v>Low Level Control HW</v>
          </cell>
          <cell r="C345">
            <v>0</v>
          </cell>
          <cell r="D345">
            <v>4</v>
          </cell>
          <cell r="E345" t="str">
            <v>CC</v>
          </cell>
          <cell r="F345" t="str">
            <v>VR</v>
          </cell>
          <cell r="G345" t="str">
            <v>11</v>
          </cell>
          <cell r="H345" t="str">
            <v>04-CC-VR-11</v>
          </cell>
          <cell r="I345" t="str">
            <v>ATR270: Datalogic 270°</v>
          </cell>
          <cell r="Q345" t="str">
            <v>EXT</v>
          </cell>
          <cell r="R345" t="str">
            <v>Placeholder</v>
          </cell>
          <cell r="U345" t="str">
            <v>PC</v>
          </cell>
          <cell r="W345">
            <v>1</v>
          </cell>
          <cell r="X345" t="str">
            <v>USD</v>
          </cell>
          <cell r="Z345">
            <v>0</v>
          </cell>
          <cell r="AA345">
            <v>0</v>
          </cell>
          <cell r="AC345">
            <v>0</v>
          </cell>
          <cell r="AD345">
            <v>0</v>
          </cell>
          <cell r="AF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P345" t="str">
            <v>X</v>
          </cell>
          <cell r="AQ345" t="str">
            <v>CF.5</v>
          </cell>
        </row>
        <row r="346">
          <cell r="B346" t="str">
            <v>Low Level Control HW</v>
          </cell>
          <cell r="C346">
            <v>0</v>
          </cell>
          <cell r="D346">
            <v>4</v>
          </cell>
          <cell r="E346" t="str">
            <v>CC</v>
          </cell>
          <cell r="F346" t="str">
            <v>VR</v>
          </cell>
          <cell r="G346" t="str">
            <v>12</v>
          </cell>
          <cell r="H346" t="str">
            <v>04-CC-VR-12</v>
          </cell>
          <cell r="I346" t="str">
            <v>ATR360: Datalogic 360°</v>
          </cell>
          <cell r="Q346" t="str">
            <v>EXT</v>
          </cell>
          <cell r="R346" t="str">
            <v>Placeholder</v>
          </cell>
          <cell r="U346" t="str">
            <v>PC</v>
          </cell>
          <cell r="W346">
            <v>1</v>
          </cell>
          <cell r="X346" t="str">
            <v>USD</v>
          </cell>
          <cell r="Z346">
            <v>0</v>
          </cell>
          <cell r="AA346">
            <v>0</v>
          </cell>
          <cell r="AC346">
            <v>0</v>
          </cell>
          <cell r="AD346">
            <v>0</v>
          </cell>
          <cell r="AF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P346" t="str">
            <v>X</v>
          </cell>
          <cell r="AQ346" t="str">
            <v>CF.5</v>
          </cell>
        </row>
        <row r="347">
          <cell r="B347" t="str">
            <v/>
          </cell>
          <cell r="H347" t="str">
            <v>--</v>
          </cell>
          <cell r="Q347" t="str">
            <v>EXT</v>
          </cell>
          <cell r="R347" t="str">
            <v>Placeholder</v>
          </cell>
          <cell r="W347">
            <v>1</v>
          </cell>
          <cell r="X347" t="str">
            <v>USD</v>
          </cell>
          <cell r="Z347">
            <v>0</v>
          </cell>
          <cell r="AA347">
            <v>0</v>
          </cell>
          <cell r="AC347">
            <v>0</v>
          </cell>
          <cell r="AD347">
            <v>0</v>
          </cell>
          <cell r="AF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P347" t="str">
            <v>X</v>
          </cell>
          <cell r="AQ347" t="str">
            <v/>
          </cell>
        </row>
        <row r="348">
          <cell r="B348" t="str">
            <v/>
          </cell>
          <cell r="H348" t="str">
            <v>--</v>
          </cell>
          <cell r="Q348" t="str">
            <v>EXT</v>
          </cell>
          <cell r="R348" t="str">
            <v>Placeholder</v>
          </cell>
          <cell r="W348">
            <v>1</v>
          </cell>
          <cell r="X348" t="str">
            <v>USD</v>
          </cell>
          <cell r="Z348">
            <v>0</v>
          </cell>
          <cell r="AA348">
            <v>0</v>
          </cell>
          <cell r="AC348">
            <v>0</v>
          </cell>
          <cell r="AD348">
            <v>0</v>
          </cell>
          <cell r="AF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P348" t="str">
            <v>X</v>
          </cell>
          <cell r="AQ348" t="str">
            <v/>
          </cell>
        </row>
        <row r="349">
          <cell r="I349" t="str">
            <v>8.2 RFID Systems</v>
          </cell>
        </row>
        <row r="350">
          <cell r="B350" t="str">
            <v>Low Level Control HW</v>
          </cell>
          <cell r="C350">
            <v>0</v>
          </cell>
          <cell r="D350">
            <v>4</v>
          </cell>
          <cell r="E350" t="str">
            <v>CC</v>
          </cell>
          <cell r="F350" t="str">
            <v>VR</v>
          </cell>
          <cell r="G350" t="str">
            <v>08</v>
          </cell>
          <cell r="H350" t="str">
            <v>04-CC-VR-08</v>
          </cell>
          <cell r="I350" t="str">
            <v>RFID: Add-on RFMS pro w/o MSC800</v>
          </cell>
          <cell r="Q350" t="str">
            <v>EXT</v>
          </cell>
          <cell r="R350" t="str">
            <v>Placeholder</v>
          </cell>
          <cell r="U350" t="str">
            <v>PC</v>
          </cell>
          <cell r="W350">
            <v>1</v>
          </cell>
          <cell r="X350" t="str">
            <v>USD</v>
          </cell>
          <cell r="Z350">
            <v>0</v>
          </cell>
          <cell r="AA350">
            <v>0</v>
          </cell>
          <cell r="AC350">
            <v>0</v>
          </cell>
          <cell r="AD350">
            <v>0</v>
          </cell>
          <cell r="AF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P350" t="str">
            <v>X</v>
          </cell>
          <cell r="AQ350" t="str">
            <v>CF.5</v>
          </cell>
        </row>
        <row r="351">
          <cell r="B351" t="str">
            <v>Low Level Control HW</v>
          </cell>
          <cell r="C351">
            <v>0</v>
          </cell>
          <cell r="D351">
            <v>4</v>
          </cell>
          <cell r="E351" t="str">
            <v>CC</v>
          </cell>
          <cell r="F351" t="str">
            <v>VR</v>
          </cell>
          <cell r="G351" t="str">
            <v>09</v>
          </cell>
          <cell r="H351" t="str">
            <v>04-CC-VR-09</v>
          </cell>
          <cell r="I351" t="str">
            <v>RFID: RFMS pro (Standalone System)</v>
          </cell>
          <cell r="Q351" t="str">
            <v>EXT</v>
          </cell>
          <cell r="R351" t="str">
            <v>Placeholder</v>
          </cell>
          <cell r="U351" t="str">
            <v>PC</v>
          </cell>
          <cell r="W351">
            <v>1</v>
          </cell>
          <cell r="X351" t="str">
            <v>USD</v>
          </cell>
          <cell r="Z351">
            <v>0</v>
          </cell>
          <cell r="AA351">
            <v>0</v>
          </cell>
          <cell r="AC351">
            <v>0</v>
          </cell>
          <cell r="AD351">
            <v>0</v>
          </cell>
          <cell r="AF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P351" t="str">
            <v>X</v>
          </cell>
          <cell r="AQ351" t="str">
            <v>CF.5</v>
          </cell>
        </row>
        <row r="352">
          <cell r="B352" t="str">
            <v/>
          </cell>
          <cell r="H352" t="str">
            <v>--</v>
          </cell>
          <cell r="Q352" t="str">
            <v>EXT</v>
          </cell>
          <cell r="R352" t="str">
            <v>Placeholder</v>
          </cell>
          <cell r="W352">
            <v>1</v>
          </cell>
          <cell r="X352" t="str">
            <v>USD</v>
          </cell>
          <cell r="Z352">
            <v>0</v>
          </cell>
          <cell r="AA352">
            <v>0</v>
          </cell>
          <cell r="AC352">
            <v>0</v>
          </cell>
          <cell r="AD352">
            <v>0</v>
          </cell>
          <cell r="AF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P352" t="str">
            <v>X</v>
          </cell>
          <cell r="AQ352" t="str">
            <v/>
          </cell>
        </row>
        <row r="353">
          <cell r="B353" t="str">
            <v/>
          </cell>
          <cell r="H353" t="str">
            <v>--</v>
          </cell>
          <cell r="Q353" t="str">
            <v>EXT</v>
          </cell>
          <cell r="R353" t="str">
            <v>Placeholder</v>
          </cell>
          <cell r="W353">
            <v>1</v>
          </cell>
          <cell r="X353" t="str">
            <v>USD</v>
          </cell>
          <cell r="Z353">
            <v>0</v>
          </cell>
          <cell r="AA353">
            <v>0</v>
          </cell>
          <cell r="AC353">
            <v>0</v>
          </cell>
          <cell r="AD353">
            <v>0</v>
          </cell>
          <cell r="AF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P353" t="str">
            <v>X</v>
          </cell>
          <cell r="AQ353" t="str">
            <v/>
          </cell>
        </row>
        <row r="354">
          <cell r="I354" t="str">
            <v>8.4 Vision System</v>
          </cell>
        </row>
        <row r="355">
          <cell r="B355" t="str">
            <v>Low Level Control HW</v>
          </cell>
          <cell r="C355">
            <v>0</v>
          </cell>
          <cell r="D355">
            <v>4</v>
          </cell>
          <cell r="E355" t="str">
            <v>CC</v>
          </cell>
          <cell r="F355" t="str">
            <v>VR</v>
          </cell>
          <cell r="G355" t="str">
            <v>05</v>
          </cell>
          <cell r="H355" t="str">
            <v>04-CC-VR-05</v>
          </cell>
          <cell r="I355" t="str">
            <v>VisionSystem: Add-on ATR 270° adding 6 x Matrix cameras Lector 654</v>
          </cell>
          <cell r="Q355" t="str">
            <v>EXT</v>
          </cell>
          <cell r="R355" t="str">
            <v>Placeholder</v>
          </cell>
          <cell r="U355" t="str">
            <v>PC</v>
          </cell>
          <cell r="W355">
            <v>1</v>
          </cell>
          <cell r="X355" t="str">
            <v>USD</v>
          </cell>
          <cell r="Z355">
            <v>0</v>
          </cell>
          <cell r="AA355">
            <v>0</v>
          </cell>
          <cell r="AC355">
            <v>0</v>
          </cell>
          <cell r="AD355">
            <v>0</v>
          </cell>
          <cell r="AF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P355" t="str">
            <v>X</v>
          </cell>
          <cell r="AQ355" t="str">
            <v>CF.5</v>
          </cell>
        </row>
        <row r="356">
          <cell r="B356" t="str">
            <v>Low Level Control HW</v>
          </cell>
          <cell r="C356">
            <v>0</v>
          </cell>
          <cell r="D356">
            <v>4</v>
          </cell>
          <cell r="E356" t="str">
            <v>CC</v>
          </cell>
          <cell r="F356" t="str">
            <v>VR</v>
          </cell>
          <cell r="G356" t="str">
            <v>05</v>
          </cell>
          <cell r="H356" t="str">
            <v>04-CC-VR-05</v>
          </cell>
          <cell r="I356" t="str">
            <v>VisionSystem: Add-on ATR 360° adding 8 x Matrix cameras Lector 654</v>
          </cell>
          <cell r="Q356" t="str">
            <v>EXT</v>
          </cell>
          <cell r="R356" t="str">
            <v>Placeholder</v>
          </cell>
          <cell r="U356" t="str">
            <v>PC</v>
          </cell>
          <cell r="W356">
            <v>1</v>
          </cell>
          <cell r="X356" t="str">
            <v>USD</v>
          </cell>
          <cell r="Z356">
            <v>0</v>
          </cell>
          <cell r="AA356">
            <v>0</v>
          </cell>
          <cell r="AC356">
            <v>0</v>
          </cell>
          <cell r="AD356">
            <v>0</v>
          </cell>
          <cell r="AF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P356" t="str">
            <v>X</v>
          </cell>
          <cell r="AQ356" t="str">
            <v>CF.5</v>
          </cell>
        </row>
        <row r="357">
          <cell r="B357" t="str">
            <v>Low Level Control HW</v>
          </cell>
          <cell r="C357">
            <v>0</v>
          </cell>
          <cell r="D357">
            <v>4</v>
          </cell>
          <cell r="E357" t="str">
            <v>CC</v>
          </cell>
          <cell r="F357" t="str">
            <v>VR</v>
          </cell>
          <cell r="G357" t="str">
            <v>05</v>
          </cell>
          <cell r="H357" t="str">
            <v>04-CC-VR-05</v>
          </cell>
          <cell r="I357" t="str">
            <v>VisionSystem: Vario Vision ATR1000</v>
          </cell>
          <cell r="Q357" t="str">
            <v>EXT</v>
          </cell>
          <cell r="R357" t="str">
            <v>Placeholder</v>
          </cell>
          <cell r="U357" t="str">
            <v>PC</v>
          </cell>
          <cell r="W357">
            <v>1</v>
          </cell>
          <cell r="X357" t="str">
            <v>USD</v>
          </cell>
          <cell r="Z357">
            <v>0</v>
          </cell>
          <cell r="AA357">
            <v>0</v>
          </cell>
          <cell r="AC357">
            <v>0</v>
          </cell>
          <cell r="AD357">
            <v>0</v>
          </cell>
          <cell r="AF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P357" t="str">
            <v>X</v>
          </cell>
          <cell r="AQ357" t="str">
            <v>CF.5</v>
          </cell>
        </row>
        <row r="358">
          <cell r="B358" t="str">
            <v>Low Level Control HW</v>
          </cell>
          <cell r="C358">
            <v>0</v>
          </cell>
          <cell r="D358">
            <v>4</v>
          </cell>
          <cell r="E358" t="str">
            <v>CC</v>
          </cell>
          <cell r="F358" t="str">
            <v>VR</v>
          </cell>
          <cell r="G358" t="str">
            <v>06</v>
          </cell>
          <cell r="H358" t="str">
            <v>04-CC-VR-06</v>
          </cell>
          <cell r="I358" t="str">
            <v>Baggage Vision Basic</v>
          </cell>
          <cell r="Q358" t="str">
            <v>EXT</v>
          </cell>
          <cell r="R358" t="str">
            <v>Placeholder</v>
          </cell>
          <cell r="U358" t="str">
            <v>PC</v>
          </cell>
          <cell r="W358">
            <v>1</v>
          </cell>
          <cell r="X358" t="str">
            <v>USD</v>
          </cell>
          <cell r="Z358">
            <v>0</v>
          </cell>
          <cell r="AA358">
            <v>0</v>
          </cell>
          <cell r="AC358">
            <v>0</v>
          </cell>
          <cell r="AD358">
            <v>0</v>
          </cell>
          <cell r="AF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P358" t="str">
            <v>X</v>
          </cell>
          <cell r="AQ358" t="str">
            <v>CF.5</v>
          </cell>
        </row>
        <row r="359">
          <cell r="B359" t="str">
            <v>Low Level Control HW</v>
          </cell>
          <cell r="C359">
            <v>0</v>
          </cell>
          <cell r="D359">
            <v>4</v>
          </cell>
          <cell r="E359" t="str">
            <v>CC</v>
          </cell>
          <cell r="F359" t="str">
            <v>VR</v>
          </cell>
          <cell r="G359" t="str">
            <v>06</v>
          </cell>
          <cell r="H359" t="str">
            <v>04-CC-VR-06</v>
          </cell>
          <cell r="I359" t="str">
            <v>Baggage Vision Premium</v>
          </cell>
          <cell r="Q359" t="str">
            <v>EXT</v>
          </cell>
          <cell r="R359" t="str">
            <v>Placeholder</v>
          </cell>
          <cell r="U359" t="str">
            <v>PC</v>
          </cell>
          <cell r="W359">
            <v>1</v>
          </cell>
          <cell r="X359" t="str">
            <v>USD</v>
          </cell>
          <cell r="Z359">
            <v>0</v>
          </cell>
          <cell r="AA359">
            <v>0</v>
          </cell>
          <cell r="AC359">
            <v>0</v>
          </cell>
          <cell r="AD359">
            <v>0</v>
          </cell>
          <cell r="AF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P359" t="str">
            <v>X</v>
          </cell>
          <cell r="AQ359" t="str">
            <v>CF.5</v>
          </cell>
        </row>
        <row r="360">
          <cell r="B360" t="str">
            <v>Low Level Control HW</v>
          </cell>
          <cell r="C360">
            <v>0</v>
          </cell>
          <cell r="D360">
            <v>4</v>
          </cell>
          <cell r="E360" t="str">
            <v>CC</v>
          </cell>
          <cell r="F360" t="str">
            <v>VR</v>
          </cell>
          <cell r="G360" t="str">
            <v>06</v>
          </cell>
          <cell r="H360" t="str">
            <v>04-CC-VR-06</v>
          </cell>
          <cell r="I360" t="str">
            <v>Vario Vision BVI1000</v>
          </cell>
          <cell r="Q360" t="str">
            <v>EXT</v>
          </cell>
          <cell r="R360" t="str">
            <v>Placeholder</v>
          </cell>
          <cell r="U360" t="str">
            <v>PC</v>
          </cell>
          <cell r="W360">
            <v>1</v>
          </cell>
          <cell r="X360" t="str">
            <v>USD</v>
          </cell>
          <cell r="Z360">
            <v>0</v>
          </cell>
          <cell r="AA360">
            <v>0</v>
          </cell>
          <cell r="AC360">
            <v>0</v>
          </cell>
          <cell r="AD360">
            <v>0</v>
          </cell>
          <cell r="AF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P360" t="str">
            <v>X</v>
          </cell>
          <cell r="AQ360" t="str">
            <v>CF.5</v>
          </cell>
        </row>
        <row r="361">
          <cell r="B361" t="str">
            <v/>
          </cell>
          <cell r="H361" t="str">
            <v>--</v>
          </cell>
          <cell r="Q361" t="str">
            <v>EXT</v>
          </cell>
          <cell r="R361" t="str">
            <v>Placeholder</v>
          </cell>
          <cell r="W361">
            <v>1</v>
          </cell>
          <cell r="X361" t="str">
            <v>USD</v>
          </cell>
          <cell r="Z361">
            <v>0</v>
          </cell>
          <cell r="AA361">
            <v>0</v>
          </cell>
          <cell r="AC361">
            <v>0</v>
          </cell>
          <cell r="AD361">
            <v>0</v>
          </cell>
          <cell r="AF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P361" t="str">
            <v>X</v>
          </cell>
          <cell r="AQ361" t="str">
            <v/>
          </cell>
        </row>
        <row r="362">
          <cell r="B362" t="str">
            <v/>
          </cell>
          <cell r="H362" t="str">
            <v>--</v>
          </cell>
          <cell r="Q362" t="str">
            <v>EXT</v>
          </cell>
          <cell r="R362" t="str">
            <v>Placeholder</v>
          </cell>
          <cell r="W362">
            <v>1</v>
          </cell>
          <cell r="X362" t="str">
            <v>USD</v>
          </cell>
          <cell r="Z362">
            <v>0</v>
          </cell>
          <cell r="AA362">
            <v>0</v>
          </cell>
          <cell r="AC362">
            <v>0</v>
          </cell>
          <cell r="AD362">
            <v>0</v>
          </cell>
          <cell r="AF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P362" t="str">
            <v>X</v>
          </cell>
          <cell r="AQ362" t="str">
            <v/>
          </cell>
        </row>
        <row r="363">
          <cell r="I363" t="str">
            <v>8.5 Services</v>
          </cell>
        </row>
        <row r="364">
          <cell r="B364" t="str">
            <v>Low Level Control HW</v>
          </cell>
          <cell r="C364">
            <v>0</v>
          </cell>
          <cell r="D364">
            <v>4</v>
          </cell>
          <cell r="E364" t="str">
            <v>CC</v>
          </cell>
          <cell r="F364" t="str">
            <v>VR</v>
          </cell>
          <cell r="G364">
            <v>90</v>
          </cell>
          <cell r="H364" t="str">
            <v>04-CC-VR-90</v>
          </cell>
          <cell r="I364" t="str">
            <v>Support per Project for standard system Includes techn. clarification, coordination, documentation</v>
          </cell>
          <cell r="Q364" t="str">
            <v>EXT</v>
          </cell>
          <cell r="R364" t="str">
            <v>Placeholder</v>
          </cell>
          <cell r="U364" t="str">
            <v>PC</v>
          </cell>
          <cell r="W364">
            <v>1</v>
          </cell>
          <cell r="X364" t="str">
            <v>USD</v>
          </cell>
          <cell r="Z364">
            <v>0</v>
          </cell>
          <cell r="AA364">
            <v>0</v>
          </cell>
          <cell r="AC364">
            <v>0</v>
          </cell>
          <cell r="AD364">
            <v>0</v>
          </cell>
          <cell r="AF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P364" t="str">
            <v>X</v>
          </cell>
          <cell r="AQ364" t="str">
            <v>CF.5</v>
          </cell>
        </row>
        <row r="365">
          <cell r="B365" t="str">
            <v>Low Level Control HW</v>
          </cell>
          <cell r="C365">
            <v>0</v>
          </cell>
          <cell r="D365">
            <v>4</v>
          </cell>
          <cell r="E365" t="str">
            <v>CC</v>
          </cell>
          <cell r="F365" t="str">
            <v>VR</v>
          </cell>
          <cell r="G365" t="str">
            <v>91</v>
          </cell>
          <cell r="H365" t="str">
            <v>04-CC-VR-91</v>
          </cell>
          <cell r="I365" t="str">
            <v>Diagnostic Software Vizualisation Platform / Package Analytics</v>
          </cell>
          <cell r="Q365" t="str">
            <v>EXT</v>
          </cell>
          <cell r="R365" t="str">
            <v>Placeholder</v>
          </cell>
          <cell r="U365" t="str">
            <v>PC</v>
          </cell>
          <cell r="W365">
            <v>1</v>
          </cell>
          <cell r="X365" t="str">
            <v>USD</v>
          </cell>
          <cell r="Z365">
            <v>0</v>
          </cell>
          <cell r="AA365">
            <v>0</v>
          </cell>
          <cell r="AC365">
            <v>0</v>
          </cell>
          <cell r="AD365">
            <v>0</v>
          </cell>
          <cell r="AF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P365" t="str">
            <v>X</v>
          </cell>
          <cell r="AQ365" t="str">
            <v>CF.5</v>
          </cell>
        </row>
        <row r="366">
          <cell r="B366" t="str">
            <v>Low Level Control HW</v>
          </cell>
          <cell r="C366">
            <v>0</v>
          </cell>
          <cell r="D366">
            <v>4</v>
          </cell>
          <cell r="E366" t="str">
            <v>CC</v>
          </cell>
          <cell r="F366" t="str">
            <v>VR</v>
          </cell>
          <cell r="G366" t="str">
            <v>92</v>
          </cell>
          <cell r="H366" t="str">
            <v>04-CC-VR-92</v>
          </cell>
          <cell r="I366" t="str">
            <v xml:space="preserve">Remote Diagnostic Tool </v>
          </cell>
          <cell r="Q366" t="str">
            <v>EXT</v>
          </cell>
          <cell r="R366" t="str">
            <v>Placeholder</v>
          </cell>
          <cell r="U366" t="str">
            <v>PC</v>
          </cell>
          <cell r="W366">
            <v>1</v>
          </cell>
          <cell r="X366" t="str">
            <v>USD</v>
          </cell>
          <cell r="Z366">
            <v>0</v>
          </cell>
          <cell r="AA366">
            <v>0</v>
          </cell>
          <cell r="AC366">
            <v>0</v>
          </cell>
          <cell r="AD366">
            <v>0</v>
          </cell>
          <cell r="AF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P366" t="str">
            <v>X</v>
          </cell>
          <cell r="AQ366" t="str">
            <v>CF.5</v>
          </cell>
        </row>
        <row r="367">
          <cell r="B367" t="str">
            <v>Low Level Control HW</v>
          </cell>
          <cell r="C367">
            <v>0</v>
          </cell>
          <cell r="D367">
            <v>4</v>
          </cell>
          <cell r="E367" t="str">
            <v>CC</v>
          </cell>
          <cell r="F367" t="str">
            <v>VR</v>
          </cell>
          <cell r="G367" t="str">
            <v>93</v>
          </cell>
          <cell r="H367" t="str">
            <v>04-CC-VR-93</v>
          </cell>
          <cell r="I367" t="str">
            <v xml:space="preserve">Working Hour for Onsite Works </v>
          </cell>
          <cell r="Q367" t="str">
            <v>EXT</v>
          </cell>
          <cell r="R367" t="str">
            <v>Placeholder</v>
          </cell>
          <cell r="U367" t="str">
            <v>PC</v>
          </cell>
          <cell r="W367">
            <v>1</v>
          </cell>
          <cell r="X367" t="str">
            <v>USD</v>
          </cell>
          <cell r="Z367">
            <v>0</v>
          </cell>
          <cell r="AA367">
            <v>0</v>
          </cell>
          <cell r="AC367">
            <v>0</v>
          </cell>
          <cell r="AD367">
            <v>0</v>
          </cell>
          <cell r="AF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P367" t="str">
            <v>X</v>
          </cell>
          <cell r="AQ367" t="str">
            <v>CF.5</v>
          </cell>
        </row>
        <row r="368">
          <cell r="B368" t="str">
            <v>Low Level Control HW</v>
          </cell>
          <cell r="C368">
            <v>0</v>
          </cell>
          <cell r="D368">
            <v>4</v>
          </cell>
          <cell r="E368" t="str">
            <v>CC</v>
          </cell>
          <cell r="F368" t="str">
            <v>VR</v>
          </cell>
          <cell r="G368" t="str">
            <v>94</v>
          </cell>
          <cell r="H368" t="str">
            <v>04-CC-VR-94</v>
          </cell>
          <cell r="I368" t="str">
            <v xml:space="preserve">Training of Maintenance Personal </v>
          </cell>
          <cell r="Q368" t="str">
            <v>EXT</v>
          </cell>
          <cell r="R368" t="str">
            <v>Placeholder</v>
          </cell>
          <cell r="U368" t="str">
            <v>PC</v>
          </cell>
          <cell r="W368">
            <v>1</v>
          </cell>
          <cell r="X368" t="str">
            <v>USD</v>
          </cell>
          <cell r="Z368">
            <v>0</v>
          </cell>
          <cell r="AA368">
            <v>0</v>
          </cell>
          <cell r="AC368">
            <v>0</v>
          </cell>
          <cell r="AD368">
            <v>0</v>
          </cell>
          <cell r="AF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P368" t="str">
            <v>X</v>
          </cell>
          <cell r="AQ368" t="str">
            <v>CF.5</v>
          </cell>
        </row>
        <row r="369">
          <cell r="B369" t="str">
            <v>Low Level Control HW</v>
          </cell>
          <cell r="C369">
            <v>0</v>
          </cell>
          <cell r="D369">
            <v>4</v>
          </cell>
          <cell r="E369" t="str">
            <v>CC</v>
          </cell>
          <cell r="F369" t="str">
            <v>VR</v>
          </cell>
          <cell r="G369" t="str">
            <v>95</v>
          </cell>
          <cell r="H369" t="str">
            <v>04-CC-VR-95</v>
          </cell>
          <cell r="I369" t="str">
            <v xml:space="preserve">Maintenance and Service per System per Year (w/o travel costs) </v>
          </cell>
          <cell r="Q369" t="str">
            <v>EXT</v>
          </cell>
          <cell r="R369" t="str">
            <v>Placeholder</v>
          </cell>
          <cell r="U369" t="str">
            <v>PC</v>
          </cell>
          <cell r="W369">
            <v>1</v>
          </cell>
          <cell r="X369" t="str">
            <v>USD</v>
          </cell>
          <cell r="Z369">
            <v>0</v>
          </cell>
          <cell r="AA369">
            <v>0</v>
          </cell>
          <cell r="AC369">
            <v>0</v>
          </cell>
          <cell r="AD369">
            <v>0</v>
          </cell>
          <cell r="AF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P369" t="str">
            <v>X</v>
          </cell>
          <cell r="AQ369" t="str">
            <v>CF.5</v>
          </cell>
        </row>
        <row r="370">
          <cell r="B370" t="str">
            <v/>
          </cell>
          <cell r="H370" t="str">
            <v>--</v>
          </cell>
          <cell r="Q370" t="str">
            <v>EXT</v>
          </cell>
          <cell r="R370" t="str">
            <v>Placeholder</v>
          </cell>
          <cell r="W370">
            <v>1</v>
          </cell>
          <cell r="X370" t="str">
            <v>USD</v>
          </cell>
          <cell r="Z370">
            <v>0</v>
          </cell>
          <cell r="AA370">
            <v>0</v>
          </cell>
          <cell r="AC370">
            <v>0</v>
          </cell>
          <cell r="AD370">
            <v>0</v>
          </cell>
          <cell r="AF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P370" t="str">
            <v>X</v>
          </cell>
          <cell r="AQ370" t="str">
            <v/>
          </cell>
        </row>
        <row r="371">
          <cell r="B371" t="str">
            <v/>
          </cell>
          <cell r="H371" t="str">
            <v>--</v>
          </cell>
          <cell r="Q371" t="str">
            <v>EXT</v>
          </cell>
          <cell r="R371" t="str">
            <v>Placeholder</v>
          </cell>
          <cell r="W371">
            <v>1</v>
          </cell>
          <cell r="X371" t="str">
            <v>USD</v>
          </cell>
          <cell r="Z371">
            <v>0</v>
          </cell>
          <cell r="AA371">
            <v>0</v>
          </cell>
          <cell r="AC371">
            <v>0</v>
          </cell>
          <cell r="AD371">
            <v>0</v>
          </cell>
          <cell r="AF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P371" t="str">
            <v>X</v>
          </cell>
          <cell r="AQ371" t="str">
            <v/>
          </cell>
        </row>
        <row r="372">
          <cell r="I372" t="str">
            <v>8.6 Commissioning Spares</v>
          </cell>
        </row>
        <row r="373">
          <cell r="B373" t="str">
            <v>Low Level Control HW</v>
          </cell>
          <cell r="C373">
            <v>0</v>
          </cell>
          <cell r="D373">
            <v>4</v>
          </cell>
          <cell r="E373" t="str">
            <v>CP</v>
          </cell>
          <cell r="F373" t="str">
            <v>VR</v>
          </cell>
          <cell r="G373" t="str">
            <v>AC</v>
          </cell>
          <cell r="H373" t="str">
            <v>04-CP-VR-AC</v>
          </cell>
          <cell r="I373" t="str">
            <v>Electrical Spare Parts</v>
          </cell>
          <cell r="Q373" t="str">
            <v>EXT</v>
          </cell>
          <cell r="R373" t="str">
            <v>Placeholder</v>
          </cell>
          <cell r="U373" t="str">
            <v>PC</v>
          </cell>
          <cell r="W373">
            <v>1</v>
          </cell>
          <cell r="X373" t="str">
            <v>USD</v>
          </cell>
          <cell r="Z373">
            <v>0</v>
          </cell>
          <cell r="AA373">
            <v>0</v>
          </cell>
          <cell r="AC373">
            <v>0</v>
          </cell>
          <cell r="AD373">
            <v>0</v>
          </cell>
          <cell r="AF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P373" t="str">
            <v>X</v>
          </cell>
          <cell r="AQ373" t="str">
            <v>CF.5</v>
          </cell>
        </row>
        <row r="374">
          <cell r="B374" t="str">
            <v>Low Level Control HW</v>
          </cell>
          <cell r="C374">
            <v>0</v>
          </cell>
          <cell r="D374">
            <v>4</v>
          </cell>
          <cell r="E374" t="str">
            <v>CP</v>
          </cell>
          <cell r="F374" t="str">
            <v>VR</v>
          </cell>
          <cell r="G374" t="str">
            <v>AB</v>
          </cell>
          <cell r="H374" t="str">
            <v>04-CP-VR-AB</v>
          </cell>
          <cell r="I374" t="str">
            <v>Control Spare Parts</v>
          </cell>
          <cell r="Q374" t="str">
            <v>EXT</v>
          </cell>
          <cell r="R374" t="str">
            <v>Placeholder</v>
          </cell>
          <cell r="U374" t="str">
            <v>PC</v>
          </cell>
          <cell r="W374">
            <v>1</v>
          </cell>
          <cell r="X374" t="str">
            <v>USD</v>
          </cell>
          <cell r="Z374">
            <v>0</v>
          </cell>
          <cell r="AA374">
            <v>0</v>
          </cell>
          <cell r="AC374">
            <v>0</v>
          </cell>
          <cell r="AD374">
            <v>0</v>
          </cell>
          <cell r="AF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P374" t="str">
            <v>X</v>
          </cell>
          <cell r="AQ374" t="str">
            <v>CF.5</v>
          </cell>
        </row>
        <row r="375">
          <cell r="B375" t="str">
            <v/>
          </cell>
          <cell r="H375" t="str">
            <v>--</v>
          </cell>
          <cell r="Q375" t="str">
            <v>EXT</v>
          </cell>
          <cell r="R375" t="str">
            <v>Placeholder</v>
          </cell>
          <cell r="W375">
            <v>1</v>
          </cell>
          <cell r="X375" t="str">
            <v>USD</v>
          </cell>
          <cell r="Z375">
            <v>0</v>
          </cell>
          <cell r="AA375">
            <v>0</v>
          </cell>
          <cell r="AC375">
            <v>0</v>
          </cell>
          <cell r="AD375">
            <v>0</v>
          </cell>
          <cell r="AF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P375" t="str">
            <v>X</v>
          </cell>
          <cell r="AQ375" t="str">
            <v/>
          </cell>
        </row>
        <row r="376">
          <cell r="B376" t="str">
            <v/>
          </cell>
          <cell r="H376" t="str">
            <v>--</v>
          </cell>
          <cell r="Q376" t="str">
            <v>EXT</v>
          </cell>
          <cell r="R376" t="str">
            <v>Placeholder</v>
          </cell>
          <cell r="W376">
            <v>1</v>
          </cell>
          <cell r="X376" t="str">
            <v>USD</v>
          </cell>
          <cell r="Z376">
            <v>0</v>
          </cell>
          <cell r="AA376">
            <v>0</v>
          </cell>
          <cell r="AC376">
            <v>0</v>
          </cell>
          <cell r="AD376">
            <v>0</v>
          </cell>
          <cell r="AF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P376" t="str">
            <v>X</v>
          </cell>
          <cell r="AQ376" t="str">
            <v/>
          </cell>
        </row>
        <row r="377">
          <cell r="I377" t="str">
            <v>8.7 Inital Spare Part Package / Onsite Spares</v>
          </cell>
        </row>
        <row r="378">
          <cell r="B378" t="str">
            <v>Operation &amp; Maintenance - One-Time Cost</v>
          </cell>
          <cell r="C378" t="str">
            <v>W</v>
          </cell>
          <cell r="D378">
            <v>4</v>
          </cell>
          <cell r="E378" t="str">
            <v>CI</v>
          </cell>
          <cell r="F378" t="str">
            <v>VR</v>
          </cell>
          <cell r="G378" t="str">
            <v>AC</v>
          </cell>
          <cell r="H378" t="str">
            <v>W4-CI-VR-AC</v>
          </cell>
          <cell r="I378" t="str">
            <v>Electrical Spare Parts</v>
          </cell>
          <cell r="Q378" t="str">
            <v>EXT</v>
          </cell>
          <cell r="R378" t="str">
            <v>Placeholder</v>
          </cell>
          <cell r="U378" t="str">
            <v>PC</v>
          </cell>
          <cell r="W378">
            <v>1</v>
          </cell>
          <cell r="X378" t="str">
            <v>USD</v>
          </cell>
          <cell r="Z378">
            <v>0</v>
          </cell>
          <cell r="AA378">
            <v>0</v>
          </cell>
          <cell r="AC378">
            <v>0</v>
          </cell>
          <cell r="AD378">
            <v>0</v>
          </cell>
          <cell r="AF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P378" t="str">
            <v>X</v>
          </cell>
          <cell r="AQ378" t="str">
            <v>CF.15</v>
          </cell>
        </row>
        <row r="379">
          <cell r="B379" t="str">
            <v>Operation &amp; Maintenance - One-Time Cost</v>
          </cell>
          <cell r="C379" t="str">
            <v>W</v>
          </cell>
          <cell r="D379">
            <v>4</v>
          </cell>
          <cell r="E379" t="str">
            <v>CI</v>
          </cell>
          <cell r="F379" t="str">
            <v>VR</v>
          </cell>
          <cell r="G379" t="str">
            <v>AB</v>
          </cell>
          <cell r="H379" t="str">
            <v>W4-CI-VR-AB</v>
          </cell>
          <cell r="I379" t="str">
            <v>Control Spare Parts</v>
          </cell>
          <cell r="Q379" t="str">
            <v>EXT</v>
          </cell>
          <cell r="R379" t="str">
            <v>Placeholder</v>
          </cell>
          <cell r="U379" t="str">
            <v>PC</v>
          </cell>
          <cell r="W379">
            <v>1</v>
          </cell>
          <cell r="X379" t="str">
            <v>USD</v>
          </cell>
          <cell r="Z379">
            <v>0</v>
          </cell>
          <cell r="AA379">
            <v>0</v>
          </cell>
          <cell r="AC379">
            <v>0</v>
          </cell>
          <cell r="AD379">
            <v>0</v>
          </cell>
          <cell r="AF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P379" t="str">
            <v>X</v>
          </cell>
          <cell r="AQ379" t="str">
            <v>CF.15</v>
          </cell>
        </row>
        <row r="380">
          <cell r="B380" t="str">
            <v/>
          </cell>
          <cell r="H380" t="str">
            <v>--</v>
          </cell>
          <cell r="Q380" t="str">
            <v>EXT</v>
          </cell>
          <cell r="R380" t="str">
            <v>Placeholder</v>
          </cell>
          <cell r="W380">
            <v>1</v>
          </cell>
          <cell r="X380" t="str">
            <v>USD</v>
          </cell>
          <cell r="Z380">
            <v>0</v>
          </cell>
          <cell r="AA380">
            <v>0</v>
          </cell>
          <cell r="AC380">
            <v>0</v>
          </cell>
          <cell r="AD380">
            <v>0</v>
          </cell>
          <cell r="AF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P380" t="str">
            <v>X</v>
          </cell>
          <cell r="AQ380" t="str">
            <v/>
          </cell>
        </row>
        <row r="381">
          <cell r="B381" t="str">
            <v/>
          </cell>
          <cell r="H381" t="str">
            <v>--</v>
          </cell>
          <cell r="Q381" t="str">
            <v>EXT</v>
          </cell>
          <cell r="R381" t="str">
            <v>Placeholder</v>
          </cell>
          <cell r="W381">
            <v>1</v>
          </cell>
          <cell r="X381" t="str">
            <v>USD</v>
          </cell>
          <cell r="Z381">
            <v>0</v>
          </cell>
          <cell r="AA381">
            <v>0</v>
          </cell>
          <cell r="AC381">
            <v>0</v>
          </cell>
          <cell r="AD381">
            <v>0</v>
          </cell>
          <cell r="AF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P381" t="str">
            <v>X</v>
          </cell>
          <cell r="AQ381" t="str">
            <v/>
          </cell>
        </row>
        <row r="382">
          <cell r="B382" t="str">
            <v>Subtotal - 9</v>
          </cell>
          <cell r="I382" t="str">
            <v>9. Power Distribution System</v>
          </cell>
        </row>
        <row r="383">
          <cell r="I383" t="str">
            <v>9.1 Board and Panels</v>
          </cell>
        </row>
        <row r="384">
          <cell r="B384" t="str">
            <v>Low Level Control HW</v>
          </cell>
          <cell r="C384">
            <v>0</v>
          </cell>
          <cell r="D384">
            <v>4</v>
          </cell>
          <cell r="E384" t="str">
            <v>PU</v>
          </cell>
          <cell r="F384" t="str">
            <v>O_</v>
          </cell>
          <cell r="G384" t="str">
            <v>CA</v>
          </cell>
          <cell r="H384" t="str">
            <v>04-PU-O_-CA</v>
          </cell>
          <cell r="I384" t="str">
            <v>Power Distribution Panel (PDP)</v>
          </cell>
          <cell r="Q384" t="str">
            <v>EXT</v>
          </cell>
          <cell r="R384" t="str">
            <v>Placeholder</v>
          </cell>
          <cell r="U384" t="str">
            <v>PC</v>
          </cell>
          <cell r="W384">
            <v>1</v>
          </cell>
          <cell r="X384" t="str">
            <v>USD</v>
          </cell>
          <cell r="Z384">
            <v>0</v>
          </cell>
          <cell r="AA384">
            <v>0</v>
          </cell>
          <cell r="AC384">
            <v>0</v>
          </cell>
          <cell r="AD384">
            <v>0</v>
          </cell>
          <cell r="AF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P384" t="str">
            <v>X</v>
          </cell>
          <cell r="AQ384" t="str">
            <v>CF.5</v>
          </cell>
        </row>
        <row r="385">
          <cell r="B385" t="str">
            <v/>
          </cell>
          <cell r="H385" t="str">
            <v>--</v>
          </cell>
          <cell r="Q385" t="str">
            <v>EXT</v>
          </cell>
          <cell r="R385" t="str">
            <v>Placeholder</v>
          </cell>
          <cell r="W385">
            <v>1</v>
          </cell>
          <cell r="X385" t="str">
            <v>USD</v>
          </cell>
          <cell r="Z385">
            <v>0</v>
          </cell>
          <cell r="AA385">
            <v>0</v>
          </cell>
          <cell r="AC385">
            <v>0</v>
          </cell>
          <cell r="AD385">
            <v>0</v>
          </cell>
          <cell r="AF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P385" t="str">
            <v>X</v>
          </cell>
          <cell r="AQ385" t="str">
            <v/>
          </cell>
        </row>
        <row r="386">
          <cell r="B386" t="str">
            <v/>
          </cell>
          <cell r="H386" t="str">
            <v>--</v>
          </cell>
          <cell r="Q386" t="str">
            <v>EXT</v>
          </cell>
          <cell r="R386" t="str">
            <v>Placeholder</v>
          </cell>
          <cell r="W386">
            <v>1</v>
          </cell>
          <cell r="X386" t="str">
            <v>USD</v>
          </cell>
          <cell r="Z386">
            <v>0</v>
          </cell>
          <cell r="AA386">
            <v>0</v>
          </cell>
          <cell r="AC386">
            <v>0</v>
          </cell>
          <cell r="AD386">
            <v>0</v>
          </cell>
          <cell r="AF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P386" t="str">
            <v>X</v>
          </cell>
          <cell r="AQ386" t="str">
            <v/>
          </cell>
        </row>
        <row r="387">
          <cell r="I387" t="str">
            <v>9.2 Cable Supporting System</v>
          </cell>
        </row>
        <row r="388">
          <cell r="B388" t="str">
            <v>Low Level Control HW</v>
          </cell>
          <cell r="C388">
            <v>0</v>
          </cell>
          <cell r="D388">
            <v>4</v>
          </cell>
          <cell r="E388" t="str">
            <v>PL</v>
          </cell>
          <cell r="F388" t="str">
            <v>O_</v>
          </cell>
          <cell r="G388" t="str">
            <v>BU</v>
          </cell>
          <cell r="H388" t="str">
            <v>04-PL-O_-BU</v>
          </cell>
          <cell r="I388" t="str">
            <v>Cable Tray Cable Rack, Cable Trunking, Cable Ladder, Conduit</v>
          </cell>
          <cell r="Q388" t="str">
            <v>EXT</v>
          </cell>
          <cell r="R388" t="str">
            <v>Placeholder</v>
          </cell>
          <cell r="U388" t="str">
            <v>MT</v>
          </cell>
          <cell r="W388">
            <v>1</v>
          </cell>
          <cell r="X388" t="str">
            <v>USD</v>
          </cell>
          <cell r="Z388">
            <v>0</v>
          </cell>
          <cell r="AA388">
            <v>0</v>
          </cell>
          <cell r="AC388">
            <v>0</v>
          </cell>
          <cell r="AD388">
            <v>0</v>
          </cell>
          <cell r="AF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P388" t="str">
            <v>X</v>
          </cell>
          <cell r="AQ388" t="str">
            <v>CF.5</v>
          </cell>
        </row>
        <row r="389">
          <cell r="B389" t="str">
            <v/>
          </cell>
          <cell r="H389" t="str">
            <v>--</v>
          </cell>
          <cell r="Q389" t="str">
            <v>EXT</v>
          </cell>
          <cell r="R389" t="str">
            <v>Placeholder</v>
          </cell>
          <cell r="W389">
            <v>1</v>
          </cell>
          <cell r="X389" t="str">
            <v>USD</v>
          </cell>
          <cell r="Z389">
            <v>0</v>
          </cell>
          <cell r="AA389">
            <v>0</v>
          </cell>
          <cell r="AC389">
            <v>0</v>
          </cell>
          <cell r="AD389">
            <v>0</v>
          </cell>
          <cell r="AF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P389" t="str">
            <v>X</v>
          </cell>
          <cell r="AQ389" t="str">
            <v/>
          </cell>
        </row>
        <row r="390">
          <cell r="B390" t="str">
            <v/>
          </cell>
          <cell r="H390" t="str">
            <v>--</v>
          </cell>
          <cell r="Q390" t="str">
            <v>EXT</v>
          </cell>
          <cell r="R390" t="str">
            <v>Placeholder</v>
          </cell>
          <cell r="W390">
            <v>1</v>
          </cell>
          <cell r="X390" t="str">
            <v>USD</v>
          </cell>
          <cell r="Z390">
            <v>0</v>
          </cell>
          <cell r="AA390">
            <v>0</v>
          </cell>
          <cell r="AC390">
            <v>0</v>
          </cell>
          <cell r="AD390">
            <v>0</v>
          </cell>
          <cell r="AF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P390" t="str">
            <v>X</v>
          </cell>
          <cell r="AQ390" t="str">
            <v/>
          </cell>
        </row>
        <row r="391">
          <cell r="I391" t="str">
            <v>9.3 Wire and Cable</v>
          </cell>
        </row>
        <row r="392">
          <cell r="B392" t="str">
            <v>Low Level Control HW</v>
          </cell>
          <cell r="C392">
            <v>0</v>
          </cell>
          <cell r="D392">
            <v>4</v>
          </cell>
          <cell r="E392" t="str">
            <v>PW</v>
          </cell>
          <cell r="F392" t="str">
            <v>O_</v>
          </cell>
          <cell r="G392" t="str">
            <v>DB</v>
          </cell>
          <cell r="H392" t="str">
            <v>04-PW-O_-DB</v>
          </cell>
          <cell r="I392" t="str">
            <v>Low Voltage Power Cable</v>
          </cell>
          <cell r="Q392" t="str">
            <v>EXT</v>
          </cell>
          <cell r="R392" t="str">
            <v>Placeholder</v>
          </cell>
          <cell r="U392" t="str">
            <v>MT</v>
          </cell>
          <cell r="W392">
            <v>1</v>
          </cell>
          <cell r="X392" t="str">
            <v>USD</v>
          </cell>
          <cell r="Z392">
            <v>0</v>
          </cell>
          <cell r="AA392">
            <v>0</v>
          </cell>
          <cell r="AC392">
            <v>0</v>
          </cell>
          <cell r="AD392">
            <v>0</v>
          </cell>
          <cell r="AF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P392" t="str">
            <v>X</v>
          </cell>
          <cell r="AQ392" t="str">
            <v>CF.5</v>
          </cell>
        </row>
        <row r="393">
          <cell r="B393" t="str">
            <v>Low Level Control HW</v>
          </cell>
          <cell r="C393">
            <v>0</v>
          </cell>
          <cell r="D393">
            <v>4</v>
          </cell>
          <cell r="E393" t="str">
            <v>PW</v>
          </cell>
          <cell r="F393" t="str">
            <v>O_</v>
          </cell>
          <cell r="G393" t="str">
            <v>EB</v>
          </cell>
          <cell r="H393" t="str">
            <v>04-PW-O_-EB</v>
          </cell>
          <cell r="I393" t="str">
            <v>Earthing Cable</v>
          </cell>
          <cell r="Q393" t="str">
            <v>EXT</v>
          </cell>
          <cell r="R393" t="str">
            <v>Placeholder</v>
          </cell>
          <cell r="U393" t="str">
            <v>MT</v>
          </cell>
          <cell r="W393">
            <v>1</v>
          </cell>
          <cell r="X393" t="str">
            <v>USD</v>
          </cell>
          <cell r="Z393">
            <v>0</v>
          </cell>
          <cell r="AA393">
            <v>0</v>
          </cell>
          <cell r="AC393">
            <v>0</v>
          </cell>
          <cell r="AD393">
            <v>0</v>
          </cell>
          <cell r="AF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P393" t="str">
            <v>X</v>
          </cell>
          <cell r="AQ393" t="str">
            <v>CF.5</v>
          </cell>
        </row>
        <row r="394">
          <cell r="B394" t="str">
            <v>Low Level Control HW</v>
          </cell>
          <cell r="C394">
            <v>0</v>
          </cell>
          <cell r="D394">
            <v>4</v>
          </cell>
          <cell r="E394" t="str">
            <v>PW</v>
          </cell>
          <cell r="F394" t="str">
            <v>O_</v>
          </cell>
          <cell r="G394" t="str">
            <v>HA</v>
          </cell>
          <cell r="H394" t="str">
            <v>04-PW-O_-HA</v>
          </cell>
          <cell r="I394" t="str">
            <v>Signal Cable, Optical Fibre Optical Cable</v>
          </cell>
          <cell r="Q394" t="str">
            <v>EXT</v>
          </cell>
          <cell r="R394" t="str">
            <v>Placeholder</v>
          </cell>
          <cell r="U394" t="str">
            <v>MT</v>
          </cell>
          <cell r="W394">
            <v>1</v>
          </cell>
          <cell r="X394" t="str">
            <v>USD</v>
          </cell>
          <cell r="Z394">
            <v>0</v>
          </cell>
          <cell r="AA394">
            <v>0</v>
          </cell>
          <cell r="AC394">
            <v>0</v>
          </cell>
          <cell r="AD394">
            <v>0</v>
          </cell>
          <cell r="AF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P394" t="str">
            <v>X</v>
          </cell>
          <cell r="AQ394" t="str">
            <v>CF.5</v>
          </cell>
        </row>
        <row r="395">
          <cell r="B395" t="str">
            <v/>
          </cell>
          <cell r="H395" t="str">
            <v>--</v>
          </cell>
          <cell r="Q395" t="str">
            <v>EXT</v>
          </cell>
          <cell r="R395" t="str">
            <v>Placeholder</v>
          </cell>
          <cell r="W395">
            <v>1</v>
          </cell>
          <cell r="X395" t="str">
            <v>USD</v>
          </cell>
          <cell r="Z395">
            <v>0</v>
          </cell>
          <cell r="AA395">
            <v>0</v>
          </cell>
          <cell r="AC395">
            <v>0</v>
          </cell>
          <cell r="AD395">
            <v>0</v>
          </cell>
          <cell r="AF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P395" t="str">
            <v>X</v>
          </cell>
          <cell r="AQ395" t="str">
            <v/>
          </cell>
        </row>
        <row r="396">
          <cell r="B396" t="str">
            <v/>
          </cell>
          <cell r="H396" t="str">
            <v>--</v>
          </cell>
          <cell r="Q396" t="str">
            <v>EXT</v>
          </cell>
          <cell r="R396" t="str">
            <v>Placeholder</v>
          </cell>
          <cell r="W396">
            <v>1</v>
          </cell>
          <cell r="X396" t="str">
            <v>USD</v>
          </cell>
          <cell r="Z396">
            <v>0</v>
          </cell>
          <cell r="AA396">
            <v>0</v>
          </cell>
          <cell r="AC396">
            <v>0</v>
          </cell>
          <cell r="AD396">
            <v>0</v>
          </cell>
          <cell r="AF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P396" t="str">
            <v>X</v>
          </cell>
          <cell r="AQ396" t="str">
            <v/>
          </cell>
        </row>
        <row r="397">
          <cell r="B397" t="str">
            <v>Subtotal - 10</v>
          </cell>
          <cell r="I397" t="str">
            <v>10. MHS Lighting</v>
          </cell>
        </row>
        <row r="398">
          <cell r="I398" t="str">
            <v>10.1 Board and Panels</v>
          </cell>
        </row>
        <row r="399">
          <cell r="B399" t="str">
            <v>Low Level Control HW</v>
          </cell>
          <cell r="C399">
            <v>0</v>
          </cell>
          <cell r="D399">
            <v>4</v>
          </cell>
          <cell r="E399" t="str">
            <v>LU</v>
          </cell>
          <cell r="F399" t="str">
            <v>O_</v>
          </cell>
          <cell r="G399" t="str">
            <v>CB</v>
          </cell>
          <cell r="H399" t="str">
            <v>04-LU-O_-CB</v>
          </cell>
          <cell r="I399" t="str">
            <v xml:space="preserve">Control Panel Lighting </v>
          </cell>
          <cell r="Q399" t="str">
            <v>EXT</v>
          </cell>
          <cell r="R399" t="str">
            <v>Placeholder</v>
          </cell>
          <cell r="U399" t="str">
            <v>PC</v>
          </cell>
          <cell r="W399">
            <v>1</v>
          </cell>
          <cell r="X399" t="str">
            <v>USD</v>
          </cell>
          <cell r="Z399">
            <v>0</v>
          </cell>
          <cell r="AA399">
            <v>0</v>
          </cell>
          <cell r="AC399">
            <v>0</v>
          </cell>
          <cell r="AD399">
            <v>0</v>
          </cell>
          <cell r="AF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P399" t="str">
            <v>X</v>
          </cell>
          <cell r="AQ399" t="str">
            <v>CF.5</v>
          </cell>
        </row>
        <row r="400">
          <cell r="B400" t="str">
            <v>Low Level Control HW</v>
          </cell>
          <cell r="C400">
            <v>0</v>
          </cell>
          <cell r="D400">
            <v>4</v>
          </cell>
          <cell r="E400" t="str">
            <v>LU</v>
          </cell>
          <cell r="F400" t="str">
            <v>O_</v>
          </cell>
          <cell r="G400" t="str">
            <v>CE</v>
          </cell>
          <cell r="H400" t="str">
            <v>04-LU-O_-CE</v>
          </cell>
          <cell r="I400" t="str">
            <v>Field Control Panel Lighting</v>
          </cell>
          <cell r="Q400" t="str">
            <v>EXT</v>
          </cell>
          <cell r="R400" t="str">
            <v>Placeholder</v>
          </cell>
          <cell r="U400" t="str">
            <v>PC</v>
          </cell>
          <cell r="W400">
            <v>1</v>
          </cell>
          <cell r="X400" t="str">
            <v>USD</v>
          </cell>
          <cell r="Z400">
            <v>0</v>
          </cell>
          <cell r="AA400">
            <v>0</v>
          </cell>
          <cell r="AC400">
            <v>0</v>
          </cell>
          <cell r="AD400">
            <v>0</v>
          </cell>
          <cell r="AF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P400" t="str">
            <v>X</v>
          </cell>
          <cell r="AQ400" t="str">
            <v>CF.5</v>
          </cell>
        </row>
        <row r="401">
          <cell r="B401" t="str">
            <v/>
          </cell>
          <cell r="H401" t="str">
            <v>--</v>
          </cell>
          <cell r="Q401" t="str">
            <v>EXT</v>
          </cell>
          <cell r="R401" t="str">
            <v>Placeholder</v>
          </cell>
          <cell r="W401">
            <v>1</v>
          </cell>
          <cell r="X401" t="str">
            <v>USD</v>
          </cell>
          <cell r="Z401">
            <v>0</v>
          </cell>
          <cell r="AA401">
            <v>0</v>
          </cell>
          <cell r="AC401">
            <v>0</v>
          </cell>
          <cell r="AD401">
            <v>0</v>
          </cell>
          <cell r="AF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P401" t="str">
            <v>X</v>
          </cell>
          <cell r="AQ401" t="str">
            <v/>
          </cell>
        </row>
        <row r="402">
          <cell r="B402" t="str">
            <v/>
          </cell>
          <cell r="H402" t="str">
            <v>--</v>
          </cell>
          <cell r="Q402" t="str">
            <v>EXT</v>
          </cell>
          <cell r="R402" t="str">
            <v>Placeholder</v>
          </cell>
          <cell r="W402">
            <v>1</v>
          </cell>
          <cell r="X402" t="str">
            <v>USD</v>
          </cell>
          <cell r="Z402">
            <v>0</v>
          </cell>
          <cell r="AA402">
            <v>0</v>
          </cell>
          <cell r="AC402">
            <v>0</v>
          </cell>
          <cell r="AD402">
            <v>0</v>
          </cell>
          <cell r="AF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P402" t="str">
            <v>X</v>
          </cell>
          <cell r="AQ402" t="str">
            <v/>
          </cell>
        </row>
        <row r="403">
          <cell r="I403" t="str">
            <v>10.2 Field Devices</v>
          </cell>
        </row>
        <row r="404">
          <cell r="B404" t="str">
            <v>Low Level Control HW</v>
          </cell>
          <cell r="C404">
            <v>0</v>
          </cell>
          <cell r="D404">
            <v>4</v>
          </cell>
          <cell r="E404" t="str">
            <v>LC</v>
          </cell>
          <cell r="F404" t="str">
            <v>O_</v>
          </cell>
          <cell r="G404" t="str">
            <v>AB</v>
          </cell>
          <cell r="H404" t="str">
            <v>04-LC-O_-AB</v>
          </cell>
          <cell r="I404" t="str">
            <v>Light fixture, Luminaire</v>
          </cell>
          <cell r="Q404" t="str">
            <v>EXT</v>
          </cell>
          <cell r="R404" t="str">
            <v>Placeholder</v>
          </cell>
          <cell r="U404" t="str">
            <v>PC</v>
          </cell>
          <cell r="W404">
            <v>1</v>
          </cell>
          <cell r="X404" t="str">
            <v>USD</v>
          </cell>
          <cell r="Z404">
            <v>0</v>
          </cell>
          <cell r="AA404">
            <v>0</v>
          </cell>
          <cell r="AC404">
            <v>0</v>
          </cell>
          <cell r="AD404">
            <v>0</v>
          </cell>
          <cell r="AF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P404" t="str">
            <v>X</v>
          </cell>
          <cell r="AQ404" t="str">
            <v>CF.5</v>
          </cell>
        </row>
        <row r="405">
          <cell r="B405" t="str">
            <v/>
          </cell>
          <cell r="H405" t="str">
            <v>--</v>
          </cell>
          <cell r="Q405" t="str">
            <v>EXT</v>
          </cell>
          <cell r="R405" t="str">
            <v>Placeholder</v>
          </cell>
          <cell r="W405">
            <v>1</v>
          </cell>
          <cell r="X405" t="str">
            <v>USD</v>
          </cell>
          <cell r="Z405">
            <v>0</v>
          </cell>
          <cell r="AA405">
            <v>0</v>
          </cell>
          <cell r="AC405">
            <v>0</v>
          </cell>
          <cell r="AD405">
            <v>0</v>
          </cell>
          <cell r="AF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P405" t="str">
            <v>X</v>
          </cell>
          <cell r="AQ405" t="str">
            <v/>
          </cell>
        </row>
        <row r="406">
          <cell r="B406" t="str">
            <v/>
          </cell>
          <cell r="H406" t="str">
            <v>--</v>
          </cell>
          <cell r="Q406" t="str">
            <v>EXT</v>
          </cell>
          <cell r="R406" t="str">
            <v>Placeholder</v>
          </cell>
          <cell r="W406">
            <v>1</v>
          </cell>
          <cell r="X406" t="str">
            <v>USD</v>
          </cell>
          <cell r="Z406">
            <v>0</v>
          </cell>
          <cell r="AA406">
            <v>0</v>
          </cell>
          <cell r="AC406">
            <v>0</v>
          </cell>
          <cell r="AD406">
            <v>0</v>
          </cell>
          <cell r="AF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P406" t="str">
            <v>X</v>
          </cell>
          <cell r="AQ406" t="str">
            <v/>
          </cell>
        </row>
        <row r="407">
          <cell r="I407" t="str">
            <v>10.3 Cable Supporting System</v>
          </cell>
        </row>
        <row r="408">
          <cell r="B408" t="str">
            <v>Low Level Control HW</v>
          </cell>
          <cell r="C408">
            <v>0</v>
          </cell>
          <cell r="D408">
            <v>4</v>
          </cell>
          <cell r="E408" t="str">
            <v>LL</v>
          </cell>
          <cell r="F408" t="str">
            <v>O_</v>
          </cell>
          <cell r="G408" t="str">
            <v>BU</v>
          </cell>
          <cell r="H408" t="str">
            <v>04-LL-O_-BU</v>
          </cell>
          <cell r="I408" t="str">
            <v>Cable Tray Cable Rack, Cable Trunking, Cable Ladder, Conduit</v>
          </cell>
          <cell r="Q408" t="str">
            <v>EXT</v>
          </cell>
          <cell r="R408" t="str">
            <v>Placeholder</v>
          </cell>
          <cell r="U408" t="str">
            <v>MT</v>
          </cell>
          <cell r="W408">
            <v>1</v>
          </cell>
          <cell r="X408" t="str">
            <v>USD</v>
          </cell>
          <cell r="Z408">
            <v>0</v>
          </cell>
          <cell r="AA408">
            <v>0</v>
          </cell>
          <cell r="AC408">
            <v>0</v>
          </cell>
          <cell r="AD408">
            <v>0</v>
          </cell>
          <cell r="AF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P408" t="str">
            <v>X</v>
          </cell>
          <cell r="AQ408" t="str">
            <v>CF.5</v>
          </cell>
        </row>
        <row r="409">
          <cell r="B409" t="str">
            <v/>
          </cell>
          <cell r="H409" t="str">
            <v>--</v>
          </cell>
          <cell r="Q409" t="str">
            <v>EXT</v>
          </cell>
          <cell r="R409" t="str">
            <v>Placeholder</v>
          </cell>
          <cell r="W409">
            <v>1</v>
          </cell>
          <cell r="X409" t="str">
            <v>USD</v>
          </cell>
          <cell r="Z409">
            <v>0</v>
          </cell>
          <cell r="AA409">
            <v>0</v>
          </cell>
          <cell r="AC409">
            <v>0</v>
          </cell>
          <cell r="AD409">
            <v>0</v>
          </cell>
          <cell r="AF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P409" t="str">
            <v>X</v>
          </cell>
          <cell r="AQ409" t="str">
            <v/>
          </cell>
        </row>
        <row r="410">
          <cell r="B410" t="str">
            <v/>
          </cell>
          <cell r="H410" t="str">
            <v>--</v>
          </cell>
          <cell r="Q410" t="str">
            <v>EXT</v>
          </cell>
          <cell r="R410" t="str">
            <v>Placeholder</v>
          </cell>
          <cell r="W410">
            <v>1</v>
          </cell>
          <cell r="X410" t="str">
            <v>USD</v>
          </cell>
          <cell r="Z410">
            <v>0</v>
          </cell>
          <cell r="AA410">
            <v>0</v>
          </cell>
          <cell r="AC410">
            <v>0</v>
          </cell>
          <cell r="AD410">
            <v>0</v>
          </cell>
          <cell r="AF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P410" t="str">
            <v>X</v>
          </cell>
          <cell r="AQ410" t="str">
            <v/>
          </cell>
        </row>
        <row r="411">
          <cell r="I411" t="str">
            <v>10.4 Wire and Cable</v>
          </cell>
        </row>
        <row r="412">
          <cell r="B412" t="str">
            <v>Low Level Control HW</v>
          </cell>
          <cell r="C412">
            <v>0</v>
          </cell>
          <cell r="D412">
            <v>4</v>
          </cell>
          <cell r="E412" t="str">
            <v>LW</v>
          </cell>
          <cell r="F412" t="str">
            <v>O_</v>
          </cell>
          <cell r="G412" t="str">
            <v>DB</v>
          </cell>
          <cell r="H412" t="str">
            <v>04-LW-O_-DB</v>
          </cell>
          <cell r="I412" t="str">
            <v>Low Voltage Power Cable</v>
          </cell>
          <cell r="Q412" t="str">
            <v>EXT</v>
          </cell>
          <cell r="R412" t="str">
            <v>Placeholder</v>
          </cell>
          <cell r="U412" t="str">
            <v>MT</v>
          </cell>
          <cell r="W412">
            <v>1</v>
          </cell>
          <cell r="X412" t="str">
            <v>USD</v>
          </cell>
          <cell r="Z412">
            <v>0</v>
          </cell>
          <cell r="AA412">
            <v>0</v>
          </cell>
          <cell r="AC412">
            <v>0</v>
          </cell>
          <cell r="AD412">
            <v>0</v>
          </cell>
          <cell r="AF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P412" t="str">
            <v>X</v>
          </cell>
          <cell r="AQ412" t="str">
            <v>CF.5</v>
          </cell>
        </row>
        <row r="413">
          <cell r="B413" t="str">
            <v>Low Level Control HW</v>
          </cell>
          <cell r="C413">
            <v>0</v>
          </cell>
          <cell r="D413">
            <v>4</v>
          </cell>
          <cell r="E413" t="str">
            <v>LW</v>
          </cell>
          <cell r="F413" t="str">
            <v>O_</v>
          </cell>
          <cell r="G413" t="str">
            <v>EB</v>
          </cell>
          <cell r="H413" t="str">
            <v>04-LW-O_-EB</v>
          </cell>
          <cell r="I413" t="str">
            <v>Earthing Cable</v>
          </cell>
          <cell r="Q413" t="str">
            <v>EXT</v>
          </cell>
          <cell r="R413" t="str">
            <v>Placeholder</v>
          </cell>
          <cell r="U413" t="str">
            <v>MT</v>
          </cell>
          <cell r="W413">
            <v>1</v>
          </cell>
          <cell r="X413" t="str">
            <v>USD</v>
          </cell>
          <cell r="Z413">
            <v>0</v>
          </cell>
          <cell r="AA413">
            <v>0</v>
          </cell>
          <cell r="AC413">
            <v>0</v>
          </cell>
          <cell r="AD413">
            <v>0</v>
          </cell>
          <cell r="AF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P413" t="str">
            <v>X</v>
          </cell>
          <cell r="AQ413" t="str">
            <v>CF.5</v>
          </cell>
        </row>
        <row r="414">
          <cell r="B414" t="str">
            <v>Low Level Control HW</v>
          </cell>
          <cell r="C414">
            <v>0</v>
          </cell>
          <cell r="D414">
            <v>4</v>
          </cell>
          <cell r="E414" t="str">
            <v>LW</v>
          </cell>
          <cell r="F414" t="str">
            <v>O_</v>
          </cell>
          <cell r="G414" t="str">
            <v>HA</v>
          </cell>
          <cell r="H414" t="str">
            <v>04-LW-O_-HA</v>
          </cell>
          <cell r="I414" t="str">
            <v>Signal Cable, Optical Fibre Optical Cable</v>
          </cell>
          <cell r="Q414" t="str">
            <v>EXT</v>
          </cell>
          <cell r="R414" t="str">
            <v>Placeholder</v>
          </cell>
          <cell r="U414" t="str">
            <v>MT</v>
          </cell>
          <cell r="W414">
            <v>1</v>
          </cell>
          <cell r="X414" t="str">
            <v>USD</v>
          </cell>
          <cell r="Z414">
            <v>0</v>
          </cell>
          <cell r="AA414">
            <v>0</v>
          </cell>
          <cell r="AC414">
            <v>0</v>
          </cell>
          <cell r="AD414">
            <v>0</v>
          </cell>
          <cell r="AF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P414" t="str">
            <v>X</v>
          </cell>
          <cell r="AQ414" t="str">
            <v>CF.5</v>
          </cell>
        </row>
        <row r="415">
          <cell r="B415" t="str">
            <v/>
          </cell>
          <cell r="H415" t="str">
            <v>--</v>
          </cell>
          <cell r="Q415" t="str">
            <v>EXT</v>
          </cell>
          <cell r="R415" t="str">
            <v>Placeholder</v>
          </cell>
          <cell r="W415">
            <v>1</v>
          </cell>
          <cell r="X415" t="str">
            <v>USD</v>
          </cell>
          <cell r="Z415">
            <v>0</v>
          </cell>
          <cell r="AA415">
            <v>0</v>
          </cell>
          <cell r="AC415">
            <v>0</v>
          </cell>
          <cell r="AD415">
            <v>0</v>
          </cell>
          <cell r="AF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P415" t="str">
            <v>X</v>
          </cell>
          <cell r="AQ415" t="str">
            <v/>
          </cell>
        </row>
        <row r="416">
          <cell r="B416" t="str">
            <v/>
          </cell>
          <cell r="H416" t="str">
            <v>--</v>
          </cell>
          <cell r="Q416" t="str">
            <v>EXT</v>
          </cell>
          <cell r="R416" t="str">
            <v>Placeholder</v>
          </cell>
          <cell r="W416">
            <v>1</v>
          </cell>
          <cell r="X416" t="str">
            <v>USD</v>
          </cell>
          <cell r="Z416">
            <v>0</v>
          </cell>
          <cell r="AA416">
            <v>0</v>
          </cell>
          <cell r="AC416">
            <v>0</v>
          </cell>
          <cell r="AD416">
            <v>0</v>
          </cell>
          <cell r="AF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P416" t="str">
            <v>X</v>
          </cell>
          <cell r="AQ416" t="str">
            <v/>
          </cell>
        </row>
        <row r="417">
          <cell r="I417" t="str">
            <v>8.6 Commissioning Spares</v>
          </cell>
        </row>
        <row r="418">
          <cell r="B418" t="str">
            <v>Low Level Control HW</v>
          </cell>
          <cell r="C418">
            <v>0</v>
          </cell>
          <cell r="D418">
            <v>4</v>
          </cell>
          <cell r="E418" t="str">
            <v>LP</v>
          </cell>
          <cell r="F418" t="str">
            <v>O_</v>
          </cell>
          <cell r="G418" t="str">
            <v>AC</v>
          </cell>
          <cell r="H418" t="str">
            <v>04-LP-O_-AC</v>
          </cell>
          <cell r="I418" t="str">
            <v>Electrical Spare Parts</v>
          </cell>
          <cell r="Q418" t="str">
            <v>EXT</v>
          </cell>
          <cell r="R418" t="str">
            <v>Placeholder</v>
          </cell>
          <cell r="U418" t="str">
            <v>PC</v>
          </cell>
          <cell r="W418">
            <v>1</v>
          </cell>
          <cell r="X418" t="str">
            <v>USD</v>
          </cell>
          <cell r="Z418">
            <v>0</v>
          </cell>
          <cell r="AA418">
            <v>0</v>
          </cell>
          <cell r="AC418">
            <v>0</v>
          </cell>
          <cell r="AD418">
            <v>0</v>
          </cell>
          <cell r="AF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P418" t="str">
            <v>X</v>
          </cell>
          <cell r="AQ418" t="str">
            <v>CF.5</v>
          </cell>
        </row>
        <row r="419">
          <cell r="B419" t="str">
            <v>Low Level Control HW</v>
          </cell>
          <cell r="C419">
            <v>0</v>
          </cell>
          <cell r="D419">
            <v>4</v>
          </cell>
          <cell r="E419" t="str">
            <v>LP</v>
          </cell>
          <cell r="F419" t="str">
            <v>O_</v>
          </cell>
          <cell r="G419" t="str">
            <v>AB</v>
          </cell>
          <cell r="H419" t="str">
            <v>04-LP-O_-AB</v>
          </cell>
          <cell r="I419" t="str">
            <v>Control Spare Parts</v>
          </cell>
          <cell r="Q419" t="str">
            <v>EXT</v>
          </cell>
          <cell r="R419" t="str">
            <v>Placeholder</v>
          </cell>
          <cell r="U419" t="str">
            <v>PC</v>
          </cell>
          <cell r="W419">
            <v>1</v>
          </cell>
          <cell r="X419" t="str">
            <v>USD</v>
          </cell>
          <cell r="Z419">
            <v>0</v>
          </cell>
          <cell r="AA419">
            <v>0</v>
          </cell>
          <cell r="AC419">
            <v>0</v>
          </cell>
          <cell r="AD419">
            <v>0</v>
          </cell>
          <cell r="AF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P419" t="str">
            <v>X</v>
          </cell>
          <cell r="AQ419" t="str">
            <v>CF.5</v>
          </cell>
        </row>
        <row r="420">
          <cell r="B420" t="str">
            <v/>
          </cell>
          <cell r="H420" t="str">
            <v>--</v>
          </cell>
          <cell r="Q420" t="str">
            <v>EXT</v>
          </cell>
          <cell r="R420" t="str">
            <v>Placeholder</v>
          </cell>
          <cell r="W420">
            <v>1</v>
          </cell>
          <cell r="X420" t="str">
            <v>USD</v>
          </cell>
          <cell r="Z420">
            <v>0</v>
          </cell>
          <cell r="AA420">
            <v>0</v>
          </cell>
          <cell r="AC420">
            <v>0</v>
          </cell>
          <cell r="AD420">
            <v>0</v>
          </cell>
          <cell r="AF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P420" t="str">
            <v>X</v>
          </cell>
          <cell r="AQ420" t="str">
            <v/>
          </cell>
        </row>
        <row r="421">
          <cell r="B421" t="str">
            <v/>
          </cell>
          <cell r="H421" t="str">
            <v>--</v>
          </cell>
          <cell r="Q421" t="str">
            <v>EXT</v>
          </cell>
          <cell r="R421" t="str">
            <v>Placeholder</v>
          </cell>
          <cell r="W421">
            <v>1</v>
          </cell>
          <cell r="X421" t="str">
            <v>USD</v>
          </cell>
          <cell r="Z421">
            <v>0</v>
          </cell>
          <cell r="AA421">
            <v>0</v>
          </cell>
          <cell r="AC421">
            <v>0</v>
          </cell>
          <cell r="AD421">
            <v>0</v>
          </cell>
          <cell r="AF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P421" t="str">
            <v>X</v>
          </cell>
          <cell r="AQ421" t="str">
            <v/>
          </cell>
        </row>
        <row r="422">
          <cell r="I422" t="str">
            <v>8.7 Inital Spare Part Package / Onsite Spares</v>
          </cell>
        </row>
        <row r="423">
          <cell r="B423" t="str">
            <v>Operation &amp; Maintenance - One-Time Cost</v>
          </cell>
          <cell r="C423" t="str">
            <v>W</v>
          </cell>
          <cell r="D423">
            <v>4</v>
          </cell>
          <cell r="E423" t="str">
            <v>LI</v>
          </cell>
          <cell r="F423" t="str">
            <v>O_</v>
          </cell>
          <cell r="G423" t="str">
            <v>AC</v>
          </cell>
          <cell r="H423" t="str">
            <v>W4-LI-O_-AC</v>
          </cell>
          <cell r="I423" t="str">
            <v>Electrical Spare Parts</v>
          </cell>
          <cell r="Q423" t="str">
            <v>EXT</v>
          </cell>
          <cell r="R423" t="str">
            <v>Placeholder</v>
          </cell>
          <cell r="U423" t="str">
            <v>PC</v>
          </cell>
          <cell r="W423">
            <v>1</v>
          </cell>
          <cell r="X423" t="str">
            <v>USD</v>
          </cell>
          <cell r="Z423">
            <v>0</v>
          </cell>
          <cell r="AA423">
            <v>0</v>
          </cell>
          <cell r="AC423">
            <v>0</v>
          </cell>
          <cell r="AD423">
            <v>0</v>
          </cell>
          <cell r="AF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P423" t="str">
            <v>X</v>
          </cell>
          <cell r="AQ423" t="str">
            <v>CF.15</v>
          </cell>
        </row>
        <row r="424">
          <cell r="B424" t="str">
            <v>Operation &amp; Maintenance - One-Time Cost</v>
          </cell>
          <cell r="C424" t="str">
            <v>W</v>
          </cell>
          <cell r="D424">
            <v>4</v>
          </cell>
          <cell r="E424" t="str">
            <v>LI</v>
          </cell>
          <cell r="F424" t="str">
            <v>O_</v>
          </cell>
          <cell r="G424" t="str">
            <v>AB</v>
          </cell>
          <cell r="H424" t="str">
            <v>W4-LI-O_-AB</v>
          </cell>
          <cell r="I424" t="str">
            <v>Control Spare Parts</v>
          </cell>
          <cell r="Q424" t="str">
            <v>EXT</v>
          </cell>
          <cell r="R424" t="str">
            <v>Placeholder</v>
          </cell>
          <cell r="U424" t="str">
            <v>PC</v>
          </cell>
          <cell r="W424">
            <v>1</v>
          </cell>
          <cell r="X424" t="str">
            <v>USD</v>
          </cell>
          <cell r="Z424">
            <v>0</v>
          </cell>
          <cell r="AA424">
            <v>0</v>
          </cell>
          <cell r="AC424">
            <v>0</v>
          </cell>
          <cell r="AD424">
            <v>0</v>
          </cell>
          <cell r="AF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P424" t="str">
            <v>X</v>
          </cell>
          <cell r="AQ424" t="str">
            <v>CF.15</v>
          </cell>
        </row>
        <row r="425">
          <cell r="B425" t="str">
            <v/>
          </cell>
          <cell r="H425" t="str">
            <v>--</v>
          </cell>
          <cell r="Q425" t="str">
            <v>EXT</v>
          </cell>
          <cell r="R425" t="str">
            <v>Placeholder</v>
          </cell>
          <cell r="W425">
            <v>1</v>
          </cell>
          <cell r="X425" t="str">
            <v>USD</v>
          </cell>
          <cell r="Z425">
            <v>0</v>
          </cell>
          <cell r="AA425">
            <v>0</v>
          </cell>
          <cell r="AC425">
            <v>0</v>
          </cell>
          <cell r="AD425">
            <v>0</v>
          </cell>
          <cell r="AF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P425" t="str">
            <v>X</v>
          </cell>
          <cell r="AQ425" t="str">
            <v/>
          </cell>
        </row>
        <row r="426">
          <cell r="B426" t="str">
            <v/>
          </cell>
          <cell r="H426" t="str">
            <v>--</v>
          </cell>
          <cell r="Q426" t="str">
            <v>EXT</v>
          </cell>
          <cell r="R426" t="str">
            <v>Placeholder</v>
          </cell>
          <cell r="W426">
            <v>1</v>
          </cell>
          <cell r="X426" t="str">
            <v>USD</v>
          </cell>
          <cell r="Z426">
            <v>0</v>
          </cell>
          <cell r="AA426">
            <v>0</v>
          </cell>
          <cell r="AC426">
            <v>0</v>
          </cell>
          <cell r="AD426">
            <v>0</v>
          </cell>
          <cell r="AF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P426" t="str">
            <v>X</v>
          </cell>
          <cell r="AQ426" t="str">
            <v/>
          </cell>
        </row>
        <row r="427">
          <cell r="B427" t="str">
            <v>Subtotal - 11</v>
          </cell>
          <cell r="I427" t="str">
            <v>11. Cargo Pallet Handling (LSP)</v>
          </cell>
        </row>
        <row r="428">
          <cell r="I428" t="str">
            <v>11.1 Control Panel (LP = Power and PLC Part)</v>
          </cell>
        </row>
        <row r="429">
          <cell r="B429" t="str">
            <v>Low Level Control HW</v>
          </cell>
          <cell r="C429">
            <v>0</v>
          </cell>
          <cell r="D429">
            <v>4</v>
          </cell>
          <cell r="E429" t="str">
            <v>CU</v>
          </cell>
          <cell r="F429" t="str">
            <v>AL</v>
          </cell>
          <cell r="G429" t="str">
            <v>BG</v>
          </cell>
          <cell r="H429" t="str">
            <v>04-CU-AL-BG</v>
          </cell>
          <cell r="I429" t="str">
            <v>Central Control Panel (LP001)</v>
          </cell>
          <cell r="Q429" t="str">
            <v>EXT</v>
          </cell>
          <cell r="R429" t="str">
            <v>Placeholder</v>
          </cell>
          <cell r="U429" t="str">
            <v>PC</v>
          </cell>
          <cell r="W429">
            <v>1</v>
          </cell>
          <cell r="X429" t="str">
            <v>USD</v>
          </cell>
          <cell r="Z429">
            <v>0</v>
          </cell>
          <cell r="AA429">
            <v>0</v>
          </cell>
          <cell r="AC429">
            <v>0</v>
          </cell>
          <cell r="AD429">
            <v>0</v>
          </cell>
          <cell r="AF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P429" t="str">
            <v>X</v>
          </cell>
          <cell r="AQ429" t="str">
            <v>CF.5</v>
          </cell>
        </row>
        <row r="430">
          <cell r="B430" t="str">
            <v/>
          </cell>
          <cell r="H430" t="str">
            <v>--</v>
          </cell>
          <cell r="Q430" t="str">
            <v>EXT</v>
          </cell>
          <cell r="R430" t="str">
            <v>Placeholder</v>
          </cell>
          <cell r="W430">
            <v>1</v>
          </cell>
          <cell r="X430" t="str">
            <v>USD</v>
          </cell>
          <cell r="Z430">
            <v>0</v>
          </cell>
          <cell r="AA430">
            <v>0</v>
          </cell>
          <cell r="AC430">
            <v>0</v>
          </cell>
          <cell r="AD430">
            <v>0</v>
          </cell>
          <cell r="AF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P430" t="str">
            <v>X</v>
          </cell>
          <cell r="AQ430" t="str">
            <v/>
          </cell>
        </row>
        <row r="431">
          <cell r="B431" t="str">
            <v/>
          </cell>
          <cell r="H431" t="str">
            <v>--</v>
          </cell>
          <cell r="Q431" t="str">
            <v>EXT</v>
          </cell>
          <cell r="R431" t="str">
            <v>Placeholder</v>
          </cell>
          <cell r="W431">
            <v>1</v>
          </cell>
          <cell r="X431" t="str">
            <v>USD</v>
          </cell>
          <cell r="Z431">
            <v>0</v>
          </cell>
          <cell r="AA431">
            <v>0</v>
          </cell>
          <cell r="AC431">
            <v>0</v>
          </cell>
          <cell r="AD431">
            <v>0</v>
          </cell>
          <cell r="AF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P431" t="str">
            <v>X</v>
          </cell>
          <cell r="AQ431" t="str">
            <v/>
          </cell>
        </row>
        <row r="432">
          <cell r="I432" t="str">
            <v>11.2 Field Panels (PM, PFC, …)</v>
          </cell>
        </row>
        <row r="433">
          <cell r="B433" t="str">
            <v>Low Level Control HW</v>
          </cell>
          <cell r="C433">
            <v>0</v>
          </cell>
          <cell r="D433">
            <v>4</v>
          </cell>
          <cell r="E433" t="str">
            <v>CU</v>
          </cell>
          <cell r="F433" t="str">
            <v>AL</v>
          </cell>
          <cell r="G433" t="str">
            <v>CC</v>
          </cell>
          <cell r="H433" t="str">
            <v>04-CU-AL-CC</v>
          </cell>
          <cell r="I433" t="str">
            <v>Field Panels: Field Control Panel (PM)</v>
          </cell>
          <cell r="Q433" t="str">
            <v>EXT</v>
          </cell>
          <cell r="R433" t="str">
            <v>Placeholder</v>
          </cell>
          <cell r="U433" t="str">
            <v>PC</v>
          </cell>
          <cell r="W433">
            <v>1</v>
          </cell>
          <cell r="X433" t="str">
            <v>USD</v>
          </cell>
          <cell r="Z433">
            <v>0</v>
          </cell>
          <cell r="AA433">
            <v>0</v>
          </cell>
          <cell r="AC433">
            <v>0</v>
          </cell>
          <cell r="AD433">
            <v>0</v>
          </cell>
          <cell r="AF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P433" t="str">
            <v>X</v>
          </cell>
          <cell r="AQ433" t="str">
            <v>CF.5</v>
          </cell>
        </row>
        <row r="434">
          <cell r="B434" t="str">
            <v>Low Level Control HW</v>
          </cell>
          <cell r="C434">
            <v>0</v>
          </cell>
          <cell r="D434">
            <v>4</v>
          </cell>
          <cell r="E434" t="str">
            <v>CU</v>
          </cell>
          <cell r="F434" t="str">
            <v>AL</v>
          </cell>
          <cell r="G434" t="str">
            <v>CE</v>
          </cell>
          <cell r="H434" t="str">
            <v>04-CU-AL-CE</v>
          </cell>
          <cell r="I434" t="str">
            <v>Field Panels: I/O Box IOB (FB)</v>
          </cell>
          <cell r="Q434" t="str">
            <v>EXT</v>
          </cell>
          <cell r="R434" t="str">
            <v>Placeholder</v>
          </cell>
          <cell r="U434" t="str">
            <v>PC</v>
          </cell>
          <cell r="W434">
            <v>1</v>
          </cell>
          <cell r="X434" t="str">
            <v>USD</v>
          </cell>
          <cell r="Z434">
            <v>0</v>
          </cell>
          <cell r="AA434">
            <v>0</v>
          </cell>
          <cell r="AC434">
            <v>0</v>
          </cell>
          <cell r="AD434">
            <v>0</v>
          </cell>
          <cell r="AF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P434" t="str">
            <v>X</v>
          </cell>
          <cell r="AQ434" t="str">
            <v>CF.5</v>
          </cell>
        </row>
        <row r="435">
          <cell r="B435" t="str">
            <v>Low Level Control HW</v>
          </cell>
          <cell r="C435">
            <v>0</v>
          </cell>
          <cell r="D435">
            <v>4</v>
          </cell>
          <cell r="E435" t="str">
            <v>CU</v>
          </cell>
          <cell r="F435" t="str">
            <v>AL</v>
          </cell>
          <cell r="G435" t="str">
            <v>CE</v>
          </cell>
          <cell r="H435" t="str">
            <v>04-CU-AL-CE</v>
          </cell>
          <cell r="I435" t="str">
            <v>Field Panels: Panel Motor Unit (DC)</v>
          </cell>
          <cell r="Q435" t="str">
            <v>EXT</v>
          </cell>
          <cell r="R435" t="str">
            <v>Placeholder</v>
          </cell>
          <cell r="U435" t="str">
            <v>PC</v>
          </cell>
          <cell r="W435">
            <v>1</v>
          </cell>
          <cell r="X435" t="str">
            <v>USD</v>
          </cell>
          <cell r="Z435">
            <v>0</v>
          </cell>
          <cell r="AA435">
            <v>0</v>
          </cell>
          <cell r="AC435">
            <v>0</v>
          </cell>
          <cell r="AD435">
            <v>0</v>
          </cell>
          <cell r="AF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P435" t="str">
            <v>X</v>
          </cell>
          <cell r="AQ435" t="str">
            <v>CF.5</v>
          </cell>
        </row>
        <row r="436">
          <cell r="B436" t="str">
            <v/>
          </cell>
          <cell r="H436" t="str">
            <v>--</v>
          </cell>
          <cell r="Q436" t="str">
            <v>EXT</v>
          </cell>
          <cell r="R436" t="str">
            <v>Placeholder</v>
          </cell>
          <cell r="W436">
            <v>1</v>
          </cell>
          <cell r="X436" t="str">
            <v>USD</v>
          </cell>
          <cell r="Z436">
            <v>0</v>
          </cell>
          <cell r="AA436">
            <v>0</v>
          </cell>
          <cell r="AC436">
            <v>0</v>
          </cell>
          <cell r="AD436">
            <v>0</v>
          </cell>
          <cell r="AF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P436" t="str">
            <v>X</v>
          </cell>
          <cell r="AQ436" t="str">
            <v/>
          </cell>
        </row>
        <row r="437">
          <cell r="B437" t="str">
            <v/>
          </cell>
          <cell r="H437" t="str">
            <v>--</v>
          </cell>
          <cell r="Q437" t="str">
            <v>EXT</v>
          </cell>
          <cell r="R437" t="str">
            <v>Placeholder</v>
          </cell>
          <cell r="W437">
            <v>1</v>
          </cell>
          <cell r="X437" t="str">
            <v>USD</v>
          </cell>
          <cell r="Z437">
            <v>0</v>
          </cell>
          <cell r="AA437">
            <v>0</v>
          </cell>
          <cell r="AC437">
            <v>0</v>
          </cell>
          <cell r="AD437">
            <v>0</v>
          </cell>
          <cell r="AF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P437" t="str">
            <v>X</v>
          </cell>
          <cell r="AQ437" t="str">
            <v/>
          </cell>
        </row>
        <row r="438">
          <cell r="I438" t="str">
            <v>11.3 Field Devices Sensors…</v>
          </cell>
        </row>
        <row r="439">
          <cell r="B439" t="str">
            <v>Low Level Control HW</v>
          </cell>
          <cell r="C439">
            <v>0</v>
          </cell>
          <cell r="D439">
            <v>4</v>
          </cell>
          <cell r="E439" t="str">
            <v>CC</v>
          </cell>
          <cell r="F439" t="str">
            <v>AL</v>
          </cell>
          <cell r="G439" t="str">
            <v>BG</v>
          </cell>
          <cell r="H439" t="str">
            <v>04-CC-AL-BG</v>
          </cell>
          <cell r="I439" t="str">
            <v>Field Devices: Actors, Sensors</v>
          </cell>
          <cell r="Q439" t="str">
            <v>EXT</v>
          </cell>
          <cell r="R439" t="str">
            <v>Placeholder</v>
          </cell>
          <cell r="U439" t="str">
            <v>PC</v>
          </cell>
          <cell r="W439">
            <v>1</v>
          </cell>
          <cell r="X439" t="str">
            <v>USD</v>
          </cell>
          <cell r="Z439">
            <v>0</v>
          </cell>
          <cell r="AA439">
            <v>0</v>
          </cell>
          <cell r="AC439">
            <v>0</v>
          </cell>
          <cell r="AD439">
            <v>0</v>
          </cell>
          <cell r="AF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P439" t="str">
            <v>X</v>
          </cell>
          <cell r="AQ439" t="str">
            <v>CF.5</v>
          </cell>
        </row>
        <row r="440">
          <cell r="B440" t="str">
            <v>Low Level Control HW</v>
          </cell>
          <cell r="C440">
            <v>0</v>
          </cell>
          <cell r="D440">
            <v>4</v>
          </cell>
          <cell r="E440" t="str">
            <v>CC</v>
          </cell>
          <cell r="F440" t="str">
            <v>AL</v>
          </cell>
          <cell r="G440" t="str">
            <v>BA</v>
          </cell>
          <cell r="H440" t="str">
            <v>04-CC-AL-BA</v>
          </cell>
          <cell r="I440" t="str">
            <v>Field Devices: I/O Devices</v>
          </cell>
          <cell r="Q440" t="str">
            <v>EXT</v>
          </cell>
          <cell r="R440" t="str">
            <v>Placeholder</v>
          </cell>
          <cell r="U440" t="str">
            <v>PC</v>
          </cell>
          <cell r="W440">
            <v>1</v>
          </cell>
          <cell r="X440" t="str">
            <v>USD</v>
          </cell>
          <cell r="Z440">
            <v>0</v>
          </cell>
          <cell r="AA440">
            <v>0</v>
          </cell>
          <cell r="AC440">
            <v>0</v>
          </cell>
          <cell r="AD440">
            <v>0</v>
          </cell>
          <cell r="AF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P440" t="str">
            <v>X</v>
          </cell>
          <cell r="AQ440" t="str">
            <v>CF.5</v>
          </cell>
        </row>
        <row r="441">
          <cell r="B441" t="str">
            <v>Low Level Control HW</v>
          </cell>
          <cell r="C441">
            <v>0</v>
          </cell>
          <cell r="D441">
            <v>4</v>
          </cell>
          <cell r="E441" t="str">
            <v>CC</v>
          </cell>
          <cell r="F441" t="str">
            <v>AL</v>
          </cell>
          <cell r="G441" t="str">
            <v>BU</v>
          </cell>
          <cell r="H441" t="str">
            <v>04-CC-AL-BU</v>
          </cell>
          <cell r="I441" t="str">
            <v>Field Devices: Equipment Brackets &amp; Supports</v>
          </cell>
          <cell r="Q441" t="str">
            <v>EXT</v>
          </cell>
          <cell r="R441" t="str">
            <v>Placeholder</v>
          </cell>
          <cell r="U441" t="str">
            <v>PC</v>
          </cell>
          <cell r="W441">
            <v>1</v>
          </cell>
          <cell r="X441" t="str">
            <v>USD</v>
          </cell>
          <cell r="Z441">
            <v>0</v>
          </cell>
          <cell r="AA441">
            <v>0</v>
          </cell>
          <cell r="AC441">
            <v>0</v>
          </cell>
          <cell r="AD441">
            <v>0</v>
          </cell>
          <cell r="AF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P441" t="str">
            <v>X</v>
          </cell>
          <cell r="AQ441" t="str">
            <v>CF.5</v>
          </cell>
        </row>
        <row r="442">
          <cell r="B442" t="str">
            <v>Low Level Control HW</v>
          </cell>
          <cell r="C442">
            <v>0</v>
          </cell>
          <cell r="D442">
            <v>4</v>
          </cell>
          <cell r="E442" t="str">
            <v>CC</v>
          </cell>
          <cell r="F442" t="str">
            <v>AL</v>
          </cell>
          <cell r="G442" t="str">
            <v>BW</v>
          </cell>
          <cell r="H442" t="str">
            <v>04-CC-AL-BW</v>
          </cell>
          <cell r="I442" t="str">
            <v>Field Devices: Premanu. Sensor cable</v>
          </cell>
          <cell r="Q442" t="str">
            <v>EXT</v>
          </cell>
          <cell r="R442" t="str">
            <v>Placeholder</v>
          </cell>
          <cell r="U442" t="str">
            <v>PC</v>
          </cell>
          <cell r="W442">
            <v>1</v>
          </cell>
          <cell r="X442" t="str">
            <v>USD</v>
          </cell>
          <cell r="Z442">
            <v>0</v>
          </cell>
          <cell r="AA442">
            <v>0</v>
          </cell>
          <cell r="AC442">
            <v>0</v>
          </cell>
          <cell r="AD442">
            <v>0</v>
          </cell>
          <cell r="AF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P442" t="str">
            <v>X</v>
          </cell>
          <cell r="AQ442" t="str">
            <v>CF.5</v>
          </cell>
        </row>
        <row r="443">
          <cell r="B443" t="str">
            <v>Low Level Control HW</v>
          </cell>
          <cell r="C443">
            <v>0</v>
          </cell>
          <cell r="D443">
            <v>4</v>
          </cell>
          <cell r="E443" t="str">
            <v>CC</v>
          </cell>
          <cell r="F443" t="str">
            <v>AL</v>
          </cell>
          <cell r="G443" t="str">
            <v>SJ</v>
          </cell>
          <cell r="H443" t="str">
            <v>04-CC-AL-SJ</v>
          </cell>
          <cell r="I443" t="str">
            <v>Field Devices: Control Stations (CS), Operator Panel</v>
          </cell>
          <cell r="Q443" t="str">
            <v>EXT</v>
          </cell>
          <cell r="R443" t="str">
            <v>Placeholder</v>
          </cell>
          <cell r="U443" t="str">
            <v>PC</v>
          </cell>
          <cell r="W443">
            <v>1</v>
          </cell>
          <cell r="X443" t="str">
            <v>USD</v>
          </cell>
          <cell r="Z443">
            <v>0</v>
          </cell>
          <cell r="AA443">
            <v>0</v>
          </cell>
          <cell r="AC443">
            <v>0</v>
          </cell>
          <cell r="AD443">
            <v>0</v>
          </cell>
          <cell r="AF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P443" t="str">
            <v>X</v>
          </cell>
          <cell r="AQ443" t="str">
            <v>CF.5</v>
          </cell>
        </row>
        <row r="444">
          <cell r="B444" t="str">
            <v>Low Level Control HW</v>
          </cell>
          <cell r="C444">
            <v>0</v>
          </cell>
          <cell r="D444">
            <v>4</v>
          </cell>
          <cell r="E444" t="str">
            <v>CC</v>
          </cell>
          <cell r="F444" t="str">
            <v>AL</v>
          </cell>
          <cell r="G444" t="str">
            <v>SP</v>
          </cell>
          <cell r="H444" t="str">
            <v>04-CC-AL-SP</v>
          </cell>
          <cell r="I444" t="str">
            <v>Field Devices: Light Beacons / Tower Lamps (LB)</v>
          </cell>
          <cell r="Q444" t="str">
            <v>EXT</v>
          </cell>
          <cell r="R444" t="str">
            <v>Placeholder</v>
          </cell>
          <cell r="U444" t="str">
            <v>PC</v>
          </cell>
          <cell r="W444">
            <v>1</v>
          </cell>
          <cell r="X444" t="str">
            <v>USD</v>
          </cell>
          <cell r="Z444">
            <v>0</v>
          </cell>
          <cell r="AA444">
            <v>0</v>
          </cell>
          <cell r="AC444">
            <v>0</v>
          </cell>
          <cell r="AD444">
            <v>0</v>
          </cell>
          <cell r="AF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P444" t="str">
            <v>X</v>
          </cell>
          <cell r="AQ444" t="str">
            <v>CF.5</v>
          </cell>
        </row>
        <row r="445">
          <cell r="B445" t="str">
            <v/>
          </cell>
          <cell r="H445" t="str">
            <v>--</v>
          </cell>
          <cell r="Q445" t="str">
            <v>EXT</v>
          </cell>
          <cell r="R445" t="str">
            <v>Placeholder</v>
          </cell>
          <cell r="W445">
            <v>1</v>
          </cell>
          <cell r="X445" t="str">
            <v>USD</v>
          </cell>
          <cell r="Z445">
            <v>0</v>
          </cell>
          <cell r="AA445">
            <v>0</v>
          </cell>
          <cell r="AC445">
            <v>0</v>
          </cell>
          <cell r="AD445">
            <v>0</v>
          </cell>
          <cell r="AF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P445" t="str">
            <v>X</v>
          </cell>
          <cell r="AQ445" t="str">
            <v/>
          </cell>
        </row>
        <row r="446">
          <cell r="B446" t="str">
            <v/>
          </cell>
          <cell r="H446" t="str">
            <v>--</v>
          </cell>
          <cell r="Q446" t="str">
            <v>EXT</v>
          </cell>
          <cell r="R446" t="str">
            <v>Placeholder</v>
          </cell>
          <cell r="W446">
            <v>1</v>
          </cell>
          <cell r="X446" t="str">
            <v>USD</v>
          </cell>
          <cell r="Z446">
            <v>0</v>
          </cell>
          <cell r="AA446">
            <v>0</v>
          </cell>
          <cell r="AC446">
            <v>0</v>
          </cell>
          <cell r="AD446">
            <v>0</v>
          </cell>
          <cell r="AF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P446" t="str">
            <v>X</v>
          </cell>
          <cell r="AQ446" t="str">
            <v/>
          </cell>
        </row>
        <row r="447">
          <cell r="I447" t="str">
            <v>11.4 Cable Supporting System</v>
          </cell>
        </row>
        <row r="448">
          <cell r="B448" t="str">
            <v>Low Level Control HW</v>
          </cell>
          <cell r="C448">
            <v>0</v>
          </cell>
          <cell r="D448">
            <v>4</v>
          </cell>
          <cell r="E448" t="str">
            <v>CL</v>
          </cell>
          <cell r="F448" t="str">
            <v>AL</v>
          </cell>
          <cell r="G448" t="str">
            <v>BU</v>
          </cell>
          <cell r="H448" t="str">
            <v>04-CL-AL-BU</v>
          </cell>
          <cell r="I448" t="str">
            <v>Cable Tray Cable Rack, Cable Trunking, Cable Ladder, Conduit</v>
          </cell>
          <cell r="Q448" t="str">
            <v>EXT</v>
          </cell>
          <cell r="R448" t="str">
            <v>Placeholder</v>
          </cell>
          <cell r="U448" t="str">
            <v>MT</v>
          </cell>
          <cell r="W448">
            <v>1</v>
          </cell>
          <cell r="X448" t="str">
            <v>USD</v>
          </cell>
          <cell r="Z448">
            <v>0</v>
          </cell>
          <cell r="AA448">
            <v>0</v>
          </cell>
          <cell r="AC448">
            <v>0</v>
          </cell>
          <cell r="AD448">
            <v>0</v>
          </cell>
          <cell r="AF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P448" t="str">
            <v>X</v>
          </cell>
          <cell r="AQ448" t="str">
            <v>CF.5</v>
          </cell>
        </row>
        <row r="449">
          <cell r="B449" t="str">
            <v/>
          </cell>
          <cell r="H449" t="str">
            <v>--</v>
          </cell>
          <cell r="Q449" t="str">
            <v>EXT</v>
          </cell>
          <cell r="R449" t="str">
            <v>Placeholder</v>
          </cell>
          <cell r="W449">
            <v>1</v>
          </cell>
          <cell r="X449" t="str">
            <v>USD</v>
          </cell>
          <cell r="Z449">
            <v>0</v>
          </cell>
          <cell r="AA449">
            <v>0</v>
          </cell>
          <cell r="AC449">
            <v>0</v>
          </cell>
          <cell r="AD449">
            <v>0</v>
          </cell>
          <cell r="AF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P449" t="str">
            <v>X</v>
          </cell>
          <cell r="AQ449" t="str">
            <v/>
          </cell>
        </row>
        <row r="450">
          <cell r="B450" t="str">
            <v/>
          </cell>
          <cell r="H450" t="str">
            <v>--</v>
          </cell>
          <cell r="Q450" t="str">
            <v>EXT</v>
          </cell>
          <cell r="R450" t="str">
            <v>Placeholder</v>
          </cell>
          <cell r="W450">
            <v>1</v>
          </cell>
          <cell r="X450" t="str">
            <v>USD</v>
          </cell>
          <cell r="Z450">
            <v>0</v>
          </cell>
          <cell r="AA450">
            <v>0</v>
          </cell>
          <cell r="AC450">
            <v>0</v>
          </cell>
          <cell r="AD450">
            <v>0</v>
          </cell>
          <cell r="AF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P450" t="str">
            <v>X</v>
          </cell>
          <cell r="AQ450" t="str">
            <v/>
          </cell>
        </row>
        <row r="451">
          <cell r="I451" t="str">
            <v>11.5 Wire and Cable</v>
          </cell>
        </row>
        <row r="452">
          <cell r="B452" t="str">
            <v>Low Level Control HW</v>
          </cell>
          <cell r="C452">
            <v>0</v>
          </cell>
          <cell r="D452">
            <v>4</v>
          </cell>
          <cell r="E452" t="str">
            <v>CW</v>
          </cell>
          <cell r="F452" t="str">
            <v>E_</v>
          </cell>
          <cell r="G452" t="str">
            <v>DA</v>
          </cell>
          <cell r="H452" t="str">
            <v>04-CW-E_-DA</v>
          </cell>
          <cell r="I452" t="str">
            <v>Power Feed Rail</v>
          </cell>
          <cell r="Q452" t="str">
            <v>EXT</v>
          </cell>
          <cell r="R452" t="str">
            <v>Placeholder</v>
          </cell>
          <cell r="U452" t="str">
            <v>MT</v>
          </cell>
          <cell r="W452">
            <v>1</v>
          </cell>
          <cell r="X452" t="str">
            <v>USD</v>
          </cell>
          <cell r="Z452">
            <v>0</v>
          </cell>
          <cell r="AA452">
            <v>0</v>
          </cell>
          <cell r="AC452">
            <v>0</v>
          </cell>
          <cell r="AD452">
            <v>0</v>
          </cell>
          <cell r="AF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P452" t="str">
            <v>X</v>
          </cell>
          <cell r="AQ452" t="str">
            <v>CF.5</v>
          </cell>
        </row>
        <row r="453">
          <cell r="B453" t="str">
            <v>Low Level Control HW</v>
          </cell>
          <cell r="C453">
            <v>0</v>
          </cell>
          <cell r="D453">
            <v>4</v>
          </cell>
          <cell r="E453" t="str">
            <v>CW</v>
          </cell>
          <cell r="F453" t="str">
            <v>AL</v>
          </cell>
          <cell r="G453" t="str">
            <v>DB</v>
          </cell>
          <cell r="H453" t="str">
            <v>04-CW-AL-DB</v>
          </cell>
          <cell r="I453" t="str">
            <v>Low Voltage Power Cable</v>
          </cell>
          <cell r="Q453" t="str">
            <v>EXT</v>
          </cell>
          <cell r="R453" t="str">
            <v>Placeholder</v>
          </cell>
          <cell r="U453" t="str">
            <v>MT</v>
          </cell>
          <cell r="W453">
            <v>1</v>
          </cell>
          <cell r="X453" t="str">
            <v>USD</v>
          </cell>
          <cell r="Z453">
            <v>0</v>
          </cell>
          <cell r="AA453">
            <v>0</v>
          </cell>
          <cell r="AC453">
            <v>0</v>
          </cell>
          <cell r="AD453">
            <v>0</v>
          </cell>
          <cell r="AF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P453" t="str">
            <v>X</v>
          </cell>
          <cell r="AQ453" t="str">
            <v>CF.5</v>
          </cell>
        </row>
        <row r="454">
          <cell r="B454" t="str">
            <v>Low Level Control HW</v>
          </cell>
          <cell r="C454">
            <v>0</v>
          </cell>
          <cell r="D454">
            <v>4</v>
          </cell>
          <cell r="E454" t="str">
            <v>CW</v>
          </cell>
          <cell r="F454" t="str">
            <v>AL</v>
          </cell>
          <cell r="G454" t="str">
            <v>EB</v>
          </cell>
          <cell r="H454" t="str">
            <v>04-CW-AL-EB</v>
          </cell>
          <cell r="I454" t="str">
            <v>Earthing Cable</v>
          </cell>
          <cell r="Q454" t="str">
            <v>EXT</v>
          </cell>
          <cell r="R454" t="str">
            <v>Placeholder</v>
          </cell>
          <cell r="U454" t="str">
            <v>MT</v>
          </cell>
          <cell r="W454">
            <v>1</v>
          </cell>
          <cell r="X454" t="str">
            <v>USD</v>
          </cell>
          <cell r="Z454">
            <v>0</v>
          </cell>
          <cell r="AA454">
            <v>0</v>
          </cell>
          <cell r="AC454">
            <v>0</v>
          </cell>
          <cell r="AD454">
            <v>0</v>
          </cell>
          <cell r="AF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P454" t="str">
            <v>X</v>
          </cell>
          <cell r="AQ454" t="str">
            <v>CF.5</v>
          </cell>
        </row>
        <row r="455">
          <cell r="B455" t="str">
            <v>Low Level Control HW</v>
          </cell>
          <cell r="C455">
            <v>0</v>
          </cell>
          <cell r="D455">
            <v>4</v>
          </cell>
          <cell r="E455" t="str">
            <v>CW</v>
          </cell>
          <cell r="F455" t="str">
            <v>AL</v>
          </cell>
          <cell r="G455" t="str">
            <v>GA</v>
          </cell>
          <cell r="H455" t="str">
            <v>04-CW-AL-GA</v>
          </cell>
          <cell r="I455" t="str">
            <v>Signal Cable, CU Control Cable</v>
          </cell>
          <cell r="Q455" t="str">
            <v>EXT</v>
          </cell>
          <cell r="R455" t="str">
            <v>Placeholder</v>
          </cell>
          <cell r="U455" t="str">
            <v>MT</v>
          </cell>
          <cell r="W455">
            <v>1</v>
          </cell>
          <cell r="X455" t="str">
            <v>USD</v>
          </cell>
          <cell r="Z455">
            <v>0</v>
          </cell>
          <cell r="AA455">
            <v>0</v>
          </cell>
          <cell r="AC455">
            <v>0</v>
          </cell>
          <cell r="AD455">
            <v>0</v>
          </cell>
          <cell r="AF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P455" t="str">
            <v>X</v>
          </cell>
          <cell r="AQ455" t="str">
            <v>CF.5</v>
          </cell>
        </row>
        <row r="456">
          <cell r="B456" t="str">
            <v>Low Level Control HW</v>
          </cell>
          <cell r="C456">
            <v>0</v>
          </cell>
          <cell r="D456">
            <v>4</v>
          </cell>
          <cell r="E456" t="str">
            <v>CW</v>
          </cell>
          <cell r="F456" t="str">
            <v>AL</v>
          </cell>
          <cell r="G456" t="str">
            <v>GB</v>
          </cell>
          <cell r="H456" t="str">
            <v>04-CW-AL-GB</v>
          </cell>
          <cell r="I456" t="str">
            <v>Signal Cable, CU Data Cable</v>
          </cell>
          <cell r="Q456" t="str">
            <v>EXT</v>
          </cell>
          <cell r="R456" t="str">
            <v>Placeholder</v>
          </cell>
          <cell r="U456" t="str">
            <v>MT</v>
          </cell>
          <cell r="W456">
            <v>1</v>
          </cell>
          <cell r="X456" t="str">
            <v>USD</v>
          </cell>
          <cell r="Z456">
            <v>0</v>
          </cell>
          <cell r="AA456">
            <v>0</v>
          </cell>
          <cell r="AC456">
            <v>0</v>
          </cell>
          <cell r="AD456">
            <v>0</v>
          </cell>
          <cell r="AF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P456" t="str">
            <v>X</v>
          </cell>
          <cell r="AQ456" t="str">
            <v>CF.5</v>
          </cell>
        </row>
        <row r="457">
          <cell r="B457" t="str">
            <v>Low Level Control HW</v>
          </cell>
          <cell r="C457">
            <v>0</v>
          </cell>
          <cell r="D457">
            <v>4</v>
          </cell>
          <cell r="E457" t="str">
            <v>CW</v>
          </cell>
          <cell r="F457" t="str">
            <v>AL</v>
          </cell>
          <cell r="G457" t="str">
            <v>HA</v>
          </cell>
          <cell r="H457" t="str">
            <v>04-CW-AL-HA</v>
          </cell>
          <cell r="I457" t="str">
            <v>Signal Cable, Optical Fibre Optical Cable</v>
          </cell>
          <cell r="Q457" t="str">
            <v>EXT</v>
          </cell>
          <cell r="R457" t="str">
            <v>Placeholder</v>
          </cell>
          <cell r="U457" t="str">
            <v>MT</v>
          </cell>
          <cell r="W457">
            <v>1</v>
          </cell>
          <cell r="X457" t="str">
            <v>USD</v>
          </cell>
          <cell r="Z457">
            <v>0</v>
          </cell>
          <cell r="AA457">
            <v>0</v>
          </cell>
          <cell r="AC457">
            <v>0</v>
          </cell>
          <cell r="AD457">
            <v>0</v>
          </cell>
          <cell r="AF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P457" t="str">
            <v>X</v>
          </cell>
          <cell r="AQ457" t="str">
            <v>CF.5</v>
          </cell>
        </row>
        <row r="458">
          <cell r="B458" t="str">
            <v/>
          </cell>
          <cell r="H458" t="str">
            <v>--</v>
          </cell>
          <cell r="Q458" t="str">
            <v>EXT</v>
          </cell>
          <cell r="R458" t="str">
            <v>Placeholder</v>
          </cell>
          <cell r="W458">
            <v>1</v>
          </cell>
          <cell r="X458" t="str">
            <v>USD</v>
          </cell>
          <cell r="Z458">
            <v>0</v>
          </cell>
          <cell r="AA458">
            <v>0</v>
          </cell>
          <cell r="AC458">
            <v>0</v>
          </cell>
          <cell r="AD458">
            <v>0</v>
          </cell>
          <cell r="AF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P458" t="str">
            <v>X</v>
          </cell>
          <cell r="AQ458" t="str">
            <v/>
          </cell>
        </row>
        <row r="459">
          <cell r="B459" t="str">
            <v/>
          </cell>
          <cell r="H459" t="str">
            <v>--</v>
          </cell>
          <cell r="Q459" t="str">
            <v>EXT</v>
          </cell>
          <cell r="R459" t="str">
            <v>Placeholder</v>
          </cell>
          <cell r="W459">
            <v>1</v>
          </cell>
          <cell r="X459" t="str">
            <v>USD</v>
          </cell>
          <cell r="Z459">
            <v>0</v>
          </cell>
          <cell r="AA459">
            <v>0</v>
          </cell>
          <cell r="AC459">
            <v>0</v>
          </cell>
          <cell r="AD459">
            <v>0</v>
          </cell>
          <cell r="AF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P459" t="str">
            <v>X</v>
          </cell>
          <cell r="AQ459" t="str">
            <v/>
          </cell>
        </row>
        <row r="460">
          <cell r="I460" t="str">
            <v>11.8 Commissioning Spares</v>
          </cell>
        </row>
        <row r="461">
          <cell r="B461" t="str">
            <v>Low Level Control HW</v>
          </cell>
          <cell r="C461">
            <v>0</v>
          </cell>
          <cell r="D461">
            <v>4</v>
          </cell>
          <cell r="E461" t="str">
            <v>CP</v>
          </cell>
          <cell r="F461" t="str">
            <v>AL</v>
          </cell>
          <cell r="G461" t="str">
            <v>AB</v>
          </cell>
          <cell r="H461" t="str">
            <v>04-CP-AL-AB</v>
          </cell>
          <cell r="I461" t="str">
            <v>Electrical Spare Parts</v>
          </cell>
          <cell r="Q461" t="str">
            <v>EXT</v>
          </cell>
          <cell r="R461" t="str">
            <v>Placeholder</v>
          </cell>
          <cell r="U461" t="str">
            <v>LS</v>
          </cell>
          <cell r="W461">
            <v>1</v>
          </cell>
          <cell r="X461" t="str">
            <v>USD</v>
          </cell>
          <cell r="Z461">
            <v>0</v>
          </cell>
          <cell r="AA461">
            <v>0</v>
          </cell>
          <cell r="AC461">
            <v>0</v>
          </cell>
          <cell r="AD461">
            <v>0</v>
          </cell>
          <cell r="AF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P461" t="str">
            <v>X</v>
          </cell>
          <cell r="AQ461" t="str">
            <v>CF.5</v>
          </cell>
        </row>
        <row r="462">
          <cell r="B462" t="str">
            <v>Low Level Control HW</v>
          </cell>
          <cell r="C462">
            <v>0</v>
          </cell>
          <cell r="D462">
            <v>4</v>
          </cell>
          <cell r="E462" t="str">
            <v>CP</v>
          </cell>
          <cell r="F462" t="str">
            <v>AL</v>
          </cell>
          <cell r="G462" t="str">
            <v>AC</v>
          </cell>
          <cell r="H462" t="str">
            <v>04-CP-AL-AC</v>
          </cell>
          <cell r="I462" t="str">
            <v>Control Spare Parts</v>
          </cell>
          <cell r="Q462" t="str">
            <v>EXT</v>
          </cell>
          <cell r="R462" t="str">
            <v>Placeholder</v>
          </cell>
          <cell r="U462" t="str">
            <v>LS</v>
          </cell>
          <cell r="W462">
            <v>1</v>
          </cell>
          <cell r="X462" t="str">
            <v>USD</v>
          </cell>
          <cell r="Z462">
            <v>0</v>
          </cell>
          <cell r="AA462">
            <v>0</v>
          </cell>
          <cell r="AC462">
            <v>0</v>
          </cell>
          <cell r="AD462">
            <v>0</v>
          </cell>
          <cell r="AF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P462" t="str">
            <v>X</v>
          </cell>
          <cell r="AQ462" t="str">
            <v>CF.5</v>
          </cell>
        </row>
        <row r="463">
          <cell r="B463" t="str">
            <v/>
          </cell>
          <cell r="H463" t="str">
            <v>--</v>
          </cell>
          <cell r="Q463" t="str">
            <v>EXT</v>
          </cell>
          <cell r="R463" t="str">
            <v>Placeholder</v>
          </cell>
          <cell r="W463">
            <v>1</v>
          </cell>
          <cell r="X463" t="str">
            <v>USD</v>
          </cell>
          <cell r="Z463">
            <v>0</v>
          </cell>
          <cell r="AA463">
            <v>0</v>
          </cell>
          <cell r="AC463">
            <v>0</v>
          </cell>
          <cell r="AD463">
            <v>0</v>
          </cell>
          <cell r="AF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P463" t="str">
            <v>X</v>
          </cell>
          <cell r="AQ463" t="str">
            <v/>
          </cell>
        </row>
        <row r="464">
          <cell r="B464" t="str">
            <v/>
          </cell>
          <cell r="H464" t="str">
            <v>--</v>
          </cell>
          <cell r="Q464" t="str">
            <v>EXT</v>
          </cell>
          <cell r="R464" t="str">
            <v>Placeholder</v>
          </cell>
          <cell r="W464">
            <v>1</v>
          </cell>
          <cell r="X464" t="str">
            <v>USD</v>
          </cell>
          <cell r="Z464">
            <v>0</v>
          </cell>
          <cell r="AA464">
            <v>0</v>
          </cell>
          <cell r="AC464">
            <v>0</v>
          </cell>
          <cell r="AD464">
            <v>0</v>
          </cell>
          <cell r="AF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P464" t="str">
            <v>X</v>
          </cell>
          <cell r="AQ464" t="str">
            <v/>
          </cell>
        </row>
        <row r="465">
          <cell r="I465" t="str">
            <v>11.9 Inital Spare Part Package / Onsite Spares</v>
          </cell>
        </row>
        <row r="466">
          <cell r="B466" t="str">
            <v>Operation &amp; Maintenance - One-Time Cost</v>
          </cell>
          <cell r="C466" t="str">
            <v>W</v>
          </cell>
          <cell r="D466">
            <v>4</v>
          </cell>
          <cell r="E466" t="str">
            <v>CI</v>
          </cell>
          <cell r="F466" t="str">
            <v>AL</v>
          </cell>
          <cell r="G466" t="str">
            <v>AB</v>
          </cell>
          <cell r="H466" t="str">
            <v>W4-CI-AL-AB</v>
          </cell>
          <cell r="I466" t="str">
            <v>Electrical Spare Parts</v>
          </cell>
          <cell r="Q466" t="str">
            <v>EXT</v>
          </cell>
          <cell r="R466" t="str">
            <v>Placeholder</v>
          </cell>
          <cell r="U466" t="str">
            <v>LS</v>
          </cell>
          <cell r="W466">
            <v>1</v>
          </cell>
          <cell r="X466" t="str">
            <v>USD</v>
          </cell>
          <cell r="Z466">
            <v>0</v>
          </cell>
          <cell r="AA466">
            <v>0</v>
          </cell>
          <cell r="AC466">
            <v>0</v>
          </cell>
          <cell r="AD466">
            <v>0</v>
          </cell>
          <cell r="AF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P466" t="str">
            <v>X</v>
          </cell>
          <cell r="AQ466" t="str">
            <v>CF.15</v>
          </cell>
        </row>
        <row r="467">
          <cell r="B467" t="str">
            <v>Operation &amp; Maintenance - One-Time Cost</v>
          </cell>
          <cell r="C467" t="str">
            <v>W</v>
          </cell>
          <cell r="D467">
            <v>4</v>
          </cell>
          <cell r="E467" t="str">
            <v>CI</v>
          </cell>
          <cell r="F467" t="str">
            <v>AL</v>
          </cell>
          <cell r="G467" t="str">
            <v>AC</v>
          </cell>
          <cell r="H467" t="str">
            <v>W4-CI-AL-AC</v>
          </cell>
          <cell r="I467" t="str">
            <v>Control Spare Parts</v>
          </cell>
          <cell r="Q467" t="str">
            <v>EXT</v>
          </cell>
          <cell r="R467" t="str">
            <v>Placeholder</v>
          </cell>
          <cell r="U467" t="str">
            <v>LS</v>
          </cell>
          <cell r="W467">
            <v>1</v>
          </cell>
          <cell r="X467" t="str">
            <v>USD</v>
          </cell>
          <cell r="Z467">
            <v>0</v>
          </cell>
          <cell r="AA467">
            <v>0</v>
          </cell>
          <cell r="AC467">
            <v>0</v>
          </cell>
          <cell r="AD467">
            <v>0</v>
          </cell>
          <cell r="AF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P467" t="str">
            <v>X</v>
          </cell>
          <cell r="AQ467" t="str">
            <v>CF.15</v>
          </cell>
        </row>
        <row r="468">
          <cell r="B468" t="str">
            <v/>
          </cell>
          <cell r="H468" t="str">
            <v>--</v>
          </cell>
          <cell r="Q468" t="str">
            <v>EXT</v>
          </cell>
          <cell r="R468" t="str">
            <v>Placeholder</v>
          </cell>
          <cell r="W468">
            <v>1</v>
          </cell>
          <cell r="X468" t="str">
            <v>USD</v>
          </cell>
          <cell r="Z468">
            <v>0</v>
          </cell>
          <cell r="AA468">
            <v>0</v>
          </cell>
          <cell r="AC468">
            <v>0</v>
          </cell>
          <cell r="AD468">
            <v>0</v>
          </cell>
          <cell r="AF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P468" t="str">
            <v>X</v>
          </cell>
          <cell r="AQ468" t="str">
            <v/>
          </cell>
        </row>
        <row r="469">
          <cell r="B469" t="str">
            <v/>
          </cell>
          <cell r="H469" t="str">
            <v>--</v>
          </cell>
          <cell r="Q469" t="str">
            <v>EXT</v>
          </cell>
          <cell r="R469" t="str">
            <v>Placeholder</v>
          </cell>
          <cell r="W469">
            <v>1</v>
          </cell>
          <cell r="X469" t="str">
            <v>USD</v>
          </cell>
          <cell r="Z469">
            <v>0</v>
          </cell>
          <cell r="AA469">
            <v>0</v>
          </cell>
          <cell r="AC469">
            <v>0</v>
          </cell>
          <cell r="AD469">
            <v>0</v>
          </cell>
          <cell r="AF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P469" t="str">
            <v>X</v>
          </cell>
          <cell r="AQ469" t="str">
            <v/>
          </cell>
        </row>
        <row r="470">
          <cell r="B470" t="str">
            <v>Subtotal - 12</v>
          </cell>
          <cell r="I470" t="str">
            <v>12. Unit Load Device Handling (ULD)</v>
          </cell>
        </row>
        <row r="471">
          <cell r="I471" t="str">
            <v>12.1 Control Panel (LP = Power and PLC Part)</v>
          </cell>
        </row>
        <row r="472">
          <cell r="B472" t="str">
            <v>Low Level Control HW</v>
          </cell>
          <cell r="C472">
            <v>0</v>
          </cell>
          <cell r="D472">
            <v>4</v>
          </cell>
          <cell r="E472" t="str">
            <v>CU</v>
          </cell>
          <cell r="F472" t="str">
            <v>AU</v>
          </cell>
          <cell r="G472" t="str">
            <v>BG</v>
          </cell>
          <cell r="H472" t="str">
            <v>04-CU-AU-BG</v>
          </cell>
          <cell r="I472" t="str">
            <v>Central Control Panel (LP001)</v>
          </cell>
          <cell r="Q472" t="str">
            <v>EXT</v>
          </cell>
          <cell r="R472" t="str">
            <v>Placeholder</v>
          </cell>
          <cell r="U472" t="str">
            <v>PC</v>
          </cell>
          <cell r="W472">
            <v>1</v>
          </cell>
          <cell r="X472" t="str">
            <v>USD</v>
          </cell>
          <cell r="Z472">
            <v>0</v>
          </cell>
          <cell r="AA472">
            <v>0</v>
          </cell>
          <cell r="AC472">
            <v>0</v>
          </cell>
          <cell r="AD472">
            <v>0</v>
          </cell>
          <cell r="AF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P472" t="str">
            <v>X</v>
          </cell>
          <cell r="AQ472" t="str">
            <v>CF.5</v>
          </cell>
        </row>
        <row r="473">
          <cell r="B473" t="str">
            <v/>
          </cell>
          <cell r="H473" t="str">
            <v>--</v>
          </cell>
          <cell r="Q473" t="str">
            <v>EXT</v>
          </cell>
          <cell r="R473" t="str">
            <v>Placeholder</v>
          </cell>
          <cell r="W473">
            <v>1</v>
          </cell>
          <cell r="X473" t="str">
            <v>USD</v>
          </cell>
          <cell r="Z473">
            <v>0</v>
          </cell>
          <cell r="AA473">
            <v>0</v>
          </cell>
          <cell r="AC473">
            <v>0</v>
          </cell>
          <cell r="AD473">
            <v>0</v>
          </cell>
          <cell r="AF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P473" t="str">
            <v>X</v>
          </cell>
          <cell r="AQ473" t="str">
            <v/>
          </cell>
        </row>
        <row r="474">
          <cell r="B474" t="str">
            <v/>
          </cell>
          <cell r="H474" t="str">
            <v>--</v>
          </cell>
          <cell r="Q474" t="str">
            <v>EXT</v>
          </cell>
          <cell r="R474" t="str">
            <v>Placeholder</v>
          </cell>
          <cell r="W474">
            <v>1</v>
          </cell>
          <cell r="X474" t="str">
            <v>USD</v>
          </cell>
          <cell r="Z474">
            <v>0</v>
          </cell>
          <cell r="AA474">
            <v>0</v>
          </cell>
          <cell r="AC474">
            <v>0</v>
          </cell>
          <cell r="AD474">
            <v>0</v>
          </cell>
          <cell r="AF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P474" t="str">
            <v>X</v>
          </cell>
          <cell r="AQ474" t="str">
            <v/>
          </cell>
        </row>
        <row r="475">
          <cell r="I475" t="str">
            <v>12.2 Field Panels (PM, PFC, …)</v>
          </cell>
        </row>
        <row r="476">
          <cell r="B476" t="str">
            <v>Low Level Control HW</v>
          </cell>
          <cell r="C476">
            <v>0</v>
          </cell>
          <cell r="D476">
            <v>4</v>
          </cell>
          <cell r="E476" t="str">
            <v>CU</v>
          </cell>
          <cell r="F476" t="str">
            <v>AU</v>
          </cell>
          <cell r="G476" t="str">
            <v>CC</v>
          </cell>
          <cell r="H476" t="str">
            <v>04-CU-AU-CC</v>
          </cell>
          <cell r="I476" t="str">
            <v>Field Panels: Field Control Panel (PM)</v>
          </cell>
          <cell r="Q476" t="str">
            <v>EXT</v>
          </cell>
          <cell r="R476" t="str">
            <v>Placeholder</v>
          </cell>
          <cell r="U476" t="str">
            <v>PC</v>
          </cell>
          <cell r="W476">
            <v>1</v>
          </cell>
          <cell r="X476" t="str">
            <v>USD</v>
          </cell>
          <cell r="Z476">
            <v>0</v>
          </cell>
          <cell r="AA476">
            <v>0</v>
          </cell>
          <cell r="AC476">
            <v>0</v>
          </cell>
          <cell r="AD476">
            <v>0</v>
          </cell>
          <cell r="AF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P476" t="str">
            <v>X</v>
          </cell>
          <cell r="AQ476" t="str">
            <v>CF.5</v>
          </cell>
        </row>
        <row r="477">
          <cell r="B477" t="str">
            <v>Low Level Control HW</v>
          </cell>
          <cell r="C477">
            <v>0</v>
          </cell>
          <cell r="D477">
            <v>4</v>
          </cell>
          <cell r="E477" t="str">
            <v>CU</v>
          </cell>
          <cell r="F477" t="str">
            <v>AU</v>
          </cell>
          <cell r="G477" t="str">
            <v>CE</v>
          </cell>
          <cell r="H477" t="str">
            <v>04-CU-AU-CE</v>
          </cell>
          <cell r="I477" t="str">
            <v>Field Panels: I/O Box IOB (FB)</v>
          </cell>
          <cell r="Q477" t="str">
            <v>EXT</v>
          </cell>
          <cell r="R477" t="str">
            <v>Placeholder</v>
          </cell>
          <cell r="U477" t="str">
            <v>PC</v>
          </cell>
          <cell r="W477">
            <v>1</v>
          </cell>
          <cell r="X477" t="str">
            <v>USD</v>
          </cell>
          <cell r="Z477">
            <v>0</v>
          </cell>
          <cell r="AA477">
            <v>0</v>
          </cell>
          <cell r="AC477">
            <v>0</v>
          </cell>
          <cell r="AD477">
            <v>0</v>
          </cell>
          <cell r="AF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P477" t="str">
            <v>X</v>
          </cell>
          <cell r="AQ477" t="str">
            <v>CF.5</v>
          </cell>
        </row>
        <row r="478">
          <cell r="B478" t="str">
            <v>Low Level Control HW</v>
          </cell>
          <cell r="C478">
            <v>0</v>
          </cell>
          <cell r="D478">
            <v>4</v>
          </cell>
          <cell r="E478" t="str">
            <v>CU</v>
          </cell>
          <cell r="F478" t="str">
            <v>AU</v>
          </cell>
          <cell r="G478" t="str">
            <v>CE</v>
          </cell>
          <cell r="H478" t="str">
            <v>04-CU-AU-CE</v>
          </cell>
          <cell r="I478" t="str">
            <v>Field Panels: Panel Motor Unit (DC)</v>
          </cell>
          <cell r="Q478" t="str">
            <v>EXT</v>
          </cell>
          <cell r="R478" t="str">
            <v>Placeholder</v>
          </cell>
          <cell r="U478" t="str">
            <v>PC</v>
          </cell>
          <cell r="W478">
            <v>1</v>
          </cell>
          <cell r="X478" t="str">
            <v>USD</v>
          </cell>
          <cell r="Z478">
            <v>0</v>
          </cell>
          <cell r="AA478">
            <v>0</v>
          </cell>
          <cell r="AC478">
            <v>0</v>
          </cell>
          <cell r="AD478">
            <v>0</v>
          </cell>
          <cell r="AF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P478" t="str">
            <v>X</v>
          </cell>
          <cell r="AQ478" t="str">
            <v>CF.5</v>
          </cell>
        </row>
        <row r="479">
          <cell r="B479" t="str">
            <v/>
          </cell>
          <cell r="H479" t="str">
            <v>--</v>
          </cell>
          <cell r="Q479" t="str">
            <v>EXT</v>
          </cell>
          <cell r="R479" t="str">
            <v>Placeholder</v>
          </cell>
          <cell r="W479">
            <v>1</v>
          </cell>
          <cell r="X479" t="str">
            <v>USD</v>
          </cell>
          <cell r="Z479">
            <v>0</v>
          </cell>
          <cell r="AA479">
            <v>0</v>
          </cell>
          <cell r="AC479">
            <v>0</v>
          </cell>
          <cell r="AD479">
            <v>0</v>
          </cell>
          <cell r="AF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P479" t="str">
            <v>X</v>
          </cell>
          <cell r="AQ479" t="str">
            <v/>
          </cell>
        </row>
        <row r="480">
          <cell r="B480" t="str">
            <v/>
          </cell>
          <cell r="H480" t="str">
            <v>--</v>
          </cell>
          <cell r="Q480" t="str">
            <v>EXT</v>
          </cell>
          <cell r="R480" t="str">
            <v>Placeholder</v>
          </cell>
          <cell r="W480">
            <v>1</v>
          </cell>
          <cell r="X480" t="str">
            <v>USD</v>
          </cell>
          <cell r="Z480">
            <v>0</v>
          </cell>
          <cell r="AA480">
            <v>0</v>
          </cell>
          <cell r="AC480">
            <v>0</v>
          </cell>
          <cell r="AD480">
            <v>0</v>
          </cell>
          <cell r="AF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P480" t="str">
            <v>X</v>
          </cell>
          <cell r="AQ480" t="str">
            <v/>
          </cell>
        </row>
        <row r="481">
          <cell r="I481" t="str">
            <v>12.3 Field Devices Sensors…</v>
          </cell>
        </row>
        <row r="482">
          <cell r="B482" t="str">
            <v>Low Level Control HW</v>
          </cell>
          <cell r="C482">
            <v>0</v>
          </cell>
          <cell r="D482">
            <v>4</v>
          </cell>
          <cell r="E482" t="str">
            <v>CC</v>
          </cell>
          <cell r="F482" t="str">
            <v>AU</v>
          </cell>
          <cell r="G482" t="str">
            <v>BG</v>
          </cell>
          <cell r="H482" t="str">
            <v>04-CC-AU-BG</v>
          </cell>
          <cell r="I482" t="str">
            <v>Field Devices: Actors, Sensors</v>
          </cell>
          <cell r="Q482" t="str">
            <v>EXT</v>
          </cell>
          <cell r="R482" t="str">
            <v>Placeholder</v>
          </cell>
          <cell r="U482" t="str">
            <v>PC</v>
          </cell>
          <cell r="W482">
            <v>1</v>
          </cell>
          <cell r="X482" t="str">
            <v>USD</v>
          </cell>
          <cell r="Z482">
            <v>0</v>
          </cell>
          <cell r="AA482">
            <v>0</v>
          </cell>
          <cell r="AC482">
            <v>0</v>
          </cell>
          <cell r="AD482">
            <v>0</v>
          </cell>
          <cell r="AF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P482" t="str">
            <v>X</v>
          </cell>
          <cell r="AQ482" t="str">
            <v>CF.5</v>
          </cell>
        </row>
        <row r="483">
          <cell r="B483" t="str">
            <v>Low Level Control HW</v>
          </cell>
          <cell r="C483">
            <v>0</v>
          </cell>
          <cell r="D483">
            <v>4</v>
          </cell>
          <cell r="E483" t="str">
            <v>CC</v>
          </cell>
          <cell r="F483" t="str">
            <v>AU</v>
          </cell>
          <cell r="G483" t="str">
            <v>BA</v>
          </cell>
          <cell r="H483" t="str">
            <v>04-CC-AU-BA</v>
          </cell>
          <cell r="I483" t="str">
            <v>Field Devices: I/O Devices</v>
          </cell>
          <cell r="Q483" t="str">
            <v>EXT</v>
          </cell>
          <cell r="R483" t="str">
            <v>Placeholder</v>
          </cell>
          <cell r="U483" t="str">
            <v>PC</v>
          </cell>
          <cell r="W483">
            <v>1</v>
          </cell>
          <cell r="X483" t="str">
            <v>USD</v>
          </cell>
          <cell r="Z483">
            <v>0</v>
          </cell>
          <cell r="AA483">
            <v>0</v>
          </cell>
          <cell r="AC483">
            <v>0</v>
          </cell>
          <cell r="AD483">
            <v>0</v>
          </cell>
          <cell r="AF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P483" t="str">
            <v>X</v>
          </cell>
          <cell r="AQ483" t="str">
            <v>CF.5</v>
          </cell>
        </row>
        <row r="484">
          <cell r="B484" t="str">
            <v>Low Level Control HW</v>
          </cell>
          <cell r="C484">
            <v>0</v>
          </cell>
          <cell r="D484">
            <v>4</v>
          </cell>
          <cell r="E484" t="str">
            <v>CC</v>
          </cell>
          <cell r="F484" t="str">
            <v>AU</v>
          </cell>
          <cell r="G484" t="str">
            <v>BU</v>
          </cell>
          <cell r="H484" t="str">
            <v>04-CC-AU-BU</v>
          </cell>
          <cell r="I484" t="str">
            <v>Field Devices: Equipment Brackets &amp; Supports</v>
          </cell>
          <cell r="Q484" t="str">
            <v>EXT</v>
          </cell>
          <cell r="R484" t="str">
            <v>Placeholder</v>
          </cell>
          <cell r="U484" t="str">
            <v>PC</v>
          </cell>
          <cell r="W484">
            <v>1</v>
          </cell>
          <cell r="X484" t="str">
            <v>USD</v>
          </cell>
          <cell r="Z484">
            <v>0</v>
          </cell>
          <cell r="AA484">
            <v>0</v>
          </cell>
          <cell r="AC484">
            <v>0</v>
          </cell>
          <cell r="AD484">
            <v>0</v>
          </cell>
          <cell r="AF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P484" t="str">
            <v>X</v>
          </cell>
          <cell r="AQ484" t="str">
            <v>CF.5</v>
          </cell>
        </row>
        <row r="485">
          <cell r="B485" t="str">
            <v>Low Level Control HW</v>
          </cell>
          <cell r="C485">
            <v>0</v>
          </cell>
          <cell r="D485">
            <v>4</v>
          </cell>
          <cell r="E485" t="str">
            <v>CC</v>
          </cell>
          <cell r="F485" t="str">
            <v>AU</v>
          </cell>
          <cell r="G485" t="str">
            <v>BW</v>
          </cell>
          <cell r="H485" t="str">
            <v>04-CC-AU-BW</v>
          </cell>
          <cell r="I485" t="str">
            <v>Field Devices: Premanu. Sensor cable</v>
          </cell>
          <cell r="Q485" t="str">
            <v>EXT</v>
          </cell>
          <cell r="R485" t="str">
            <v>Placeholder</v>
          </cell>
          <cell r="U485" t="str">
            <v>PC</v>
          </cell>
          <cell r="W485">
            <v>1</v>
          </cell>
          <cell r="X485" t="str">
            <v>USD</v>
          </cell>
          <cell r="Z485">
            <v>0</v>
          </cell>
          <cell r="AA485">
            <v>0</v>
          </cell>
          <cell r="AC485">
            <v>0</v>
          </cell>
          <cell r="AD485">
            <v>0</v>
          </cell>
          <cell r="AF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P485" t="str">
            <v>X</v>
          </cell>
          <cell r="AQ485" t="str">
            <v>CF.5</v>
          </cell>
        </row>
        <row r="486">
          <cell r="B486" t="str">
            <v>Low Level Control HW</v>
          </cell>
          <cell r="C486">
            <v>0</v>
          </cell>
          <cell r="D486">
            <v>4</v>
          </cell>
          <cell r="E486" t="str">
            <v>CC</v>
          </cell>
          <cell r="F486" t="str">
            <v>AU</v>
          </cell>
          <cell r="G486" t="str">
            <v>SJ</v>
          </cell>
          <cell r="H486" t="str">
            <v>04-CC-AU-SJ</v>
          </cell>
          <cell r="I486" t="str">
            <v>Field Devices: Control Stations (CS), Operator Panel</v>
          </cell>
          <cell r="Q486" t="str">
            <v>EXT</v>
          </cell>
          <cell r="R486" t="str">
            <v>Placeholder</v>
          </cell>
          <cell r="U486" t="str">
            <v>PC</v>
          </cell>
          <cell r="W486">
            <v>1</v>
          </cell>
          <cell r="X486" t="str">
            <v>USD</v>
          </cell>
          <cell r="Z486">
            <v>0</v>
          </cell>
          <cell r="AA486">
            <v>0</v>
          </cell>
          <cell r="AC486">
            <v>0</v>
          </cell>
          <cell r="AD486">
            <v>0</v>
          </cell>
          <cell r="AF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P486" t="str">
            <v>X</v>
          </cell>
          <cell r="AQ486" t="str">
            <v>CF.5</v>
          </cell>
        </row>
        <row r="487">
          <cell r="B487" t="str">
            <v>Low Level Control HW</v>
          </cell>
          <cell r="C487">
            <v>0</v>
          </cell>
          <cell r="D487">
            <v>4</v>
          </cell>
          <cell r="E487" t="str">
            <v>CC</v>
          </cell>
          <cell r="F487" t="str">
            <v>AU</v>
          </cell>
          <cell r="G487" t="str">
            <v>SP</v>
          </cell>
          <cell r="H487" t="str">
            <v>04-CC-AU-SP</v>
          </cell>
          <cell r="I487" t="str">
            <v>Field Devices: Light Beacons / Tower Lamps (LB)</v>
          </cell>
          <cell r="Q487" t="str">
            <v>EXT</v>
          </cell>
          <cell r="R487" t="str">
            <v>Placeholder</v>
          </cell>
          <cell r="U487" t="str">
            <v>PC</v>
          </cell>
          <cell r="W487">
            <v>1</v>
          </cell>
          <cell r="X487" t="str">
            <v>USD</v>
          </cell>
          <cell r="Z487">
            <v>0</v>
          </cell>
          <cell r="AA487">
            <v>0</v>
          </cell>
          <cell r="AC487">
            <v>0</v>
          </cell>
          <cell r="AD487">
            <v>0</v>
          </cell>
          <cell r="AF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P487" t="str">
            <v>X</v>
          </cell>
          <cell r="AQ487" t="str">
            <v>CF.5</v>
          </cell>
        </row>
        <row r="488">
          <cell r="B488" t="str">
            <v/>
          </cell>
          <cell r="H488" t="str">
            <v>--</v>
          </cell>
          <cell r="Q488" t="str">
            <v>EXT</v>
          </cell>
          <cell r="R488" t="str">
            <v>Placeholder</v>
          </cell>
          <cell r="W488">
            <v>1</v>
          </cell>
          <cell r="X488" t="str">
            <v>USD</v>
          </cell>
          <cell r="Z488">
            <v>0</v>
          </cell>
          <cell r="AA488">
            <v>0</v>
          </cell>
          <cell r="AC488">
            <v>0</v>
          </cell>
          <cell r="AD488">
            <v>0</v>
          </cell>
          <cell r="AF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P488" t="str">
            <v>X</v>
          </cell>
          <cell r="AQ488" t="str">
            <v/>
          </cell>
        </row>
        <row r="489">
          <cell r="B489" t="str">
            <v/>
          </cell>
          <cell r="H489" t="str">
            <v>--</v>
          </cell>
          <cell r="Q489" t="str">
            <v>EXT</v>
          </cell>
          <cell r="R489" t="str">
            <v>Placeholder</v>
          </cell>
          <cell r="W489">
            <v>1</v>
          </cell>
          <cell r="X489" t="str">
            <v>USD</v>
          </cell>
          <cell r="Z489">
            <v>0</v>
          </cell>
          <cell r="AA489">
            <v>0</v>
          </cell>
          <cell r="AC489">
            <v>0</v>
          </cell>
          <cell r="AD489">
            <v>0</v>
          </cell>
          <cell r="AF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P489" t="str">
            <v>X</v>
          </cell>
          <cell r="AQ489" t="str">
            <v/>
          </cell>
        </row>
        <row r="490">
          <cell r="I490" t="str">
            <v>12.4 Cable Supporting System</v>
          </cell>
        </row>
        <row r="491">
          <cell r="B491" t="str">
            <v>Low Level Control HW</v>
          </cell>
          <cell r="C491">
            <v>0</v>
          </cell>
          <cell r="D491">
            <v>4</v>
          </cell>
          <cell r="E491" t="str">
            <v>CL</v>
          </cell>
          <cell r="F491" t="str">
            <v>AU</v>
          </cell>
          <cell r="G491" t="str">
            <v>BU</v>
          </cell>
          <cell r="H491" t="str">
            <v>04-CL-AU-BU</v>
          </cell>
          <cell r="I491" t="str">
            <v>Cable Tray Cable Rack, Cable Trunking, Cable Ladder, Conduit</v>
          </cell>
          <cell r="Q491" t="str">
            <v>EXT</v>
          </cell>
          <cell r="R491" t="str">
            <v>Placeholder</v>
          </cell>
          <cell r="U491" t="str">
            <v>MT</v>
          </cell>
          <cell r="W491">
            <v>1</v>
          </cell>
          <cell r="X491" t="str">
            <v>USD</v>
          </cell>
          <cell r="Z491">
            <v>0</v>
          </cell>
          <cell r="AA491">
            <v>0</v>
          </cell>
          <cell r="AC491">
            <v>0</v>
          </cell>
          <cell r="AD491">
            <v>0</v>
          </cell>
          <cell r="AF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P491" t="str">
            <v>X</v>
          </cell>
          <cell r="AQ491" t="str">
            <v>CF.5</v>
          </cell>
        </row>
        <row r="492">
          <cell r="B492" t="str">
            <v/>
          </cell>
          <cell r="H492" t="str">
            <v>--</v>
          </cell>
          <cell r="Q492" t="str">
            <v>EXT</v>
          </cell>
          <cell r="R492" t="str">
            <v>Placeholder</v>
          </cell>
          <cell r="W492">
            <v>1</v>
          </cell>
          <cell r="X492" t="str">
            <v>USD</v>
          </cell>
          <cell r="Z492">
            <v>0</v>
          </cell>
          <cell r="AA492">
            <v>0</v>
          </cell>
          <cell r="AC492">
            <v>0</v>
          </cell>
          <cell r="AD492">
            <v>0</v>
          </cell>
          <cell r="AF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P492" t="str">
            <v>X</v>
          </cell>
          <cell r="AQ492" t="str">
            <v/>
          </cell>
        </row>
        <row r="493">
          <cell r="B493" t="str">
            <v/>
          </cell>
          <cell r="H493" t="str">
            <v>--</v>
          </cell>
          <cell r="Q493" t="str">
            <v>EXT</v>
          </cell>
          <cell r="R493" t="str">
            <v>Placeholder</v>
          </cell>
          <cell r="W493">
            <v>1</v>
          </cell>
          <cell r="X493" t="str">
            <v>USD</v>
          </cell>
          <cell r="Z493">
            <v>0</v>
          </cell>
          <cell r="AA493">
            <v>0</v>
          </cell>
          <cell r="AC493">
            <v>0</v>
          </cell>
          <cell r="AD493">
            <v>0</v>
          </cell>
          <cell r="AF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P493" t="str">
            <v>X</v>
          </cell>
          <cell r="AQ493" t="str">
            <v/>
          </cell>
        </row>
        <row r="494">
          <cell r="I494" t="str">
            <v>12.5 Wire and Cable</v>
          </cell>
        </row>
        <row r="495">
          <cell r="B495" t="str">
            <v>Low Level Control HW</v>
          </cell>
          <cell r="C495">
            <v>0</v>
          </cell>
          <cell r="D495">
            <v>4</v>
          </cell>
          <cell r="E495" t="str">
            <v>CW</v>
          </cell>
          <cell r="F495" t="str">
            <v>E_</v>
          </cell>
          <cell r="G495" t="str">
            <v>DA</v>
          </cell>
          <cell r="H495" t="str">
            <v>04-CW-E_-DA</v>
          </cell>
          <cell r="I495" t="str">
            <v>Power Feed Rail</v>
          </cell>
          <cell r="Q495" t="str">
            <v>EXT</v>
          </cell>
          <cell r="R495" t="str">
            <v>Placeholder</v>
          </cell>
          <cell r="U495" t="str">
            <v>MT</v>
          </cell>
          <cell r="W495">
            <v>1</v>
          </cell>
          <cell r="X495" t="str">
            <v>USD</v>
          </cell>
          <cell r="Z495">
            <v>0</v>
          </cell>
          <cell r="AA495">
            <v>0</v>
          </cell>
          <cell r="AC495">
            <v>0</v>
          </cell>
          <cell r="AD495">
            <v>0</v>
          </cell>
          <cell r="AF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P495" t="str">
            <v>X</v>
          </cell>
          <cell r="AQ495" t="str">
            <v>CF.5</v>
          </cell>
        </row>
        <row r="496">
          <cell r="B496" t="str">
            <v>Low Level Control HW</v>
          </cell>
          <cell r="C496">
            <v>0</v>
          </cell>
          <cell r="D496">
            <v>4</v>
          </cell>
          <cell r="E496" t="str">
            <v>CW</v>
          </cell>
          <cell r="F496" t="str">
            <v>AU</v>
          </cell>
          <cell r="G496" t="str">
            <v>DB</v>
          </cell>
          <cell r="H496" t="str">
            <v>04-CW-AU-DB</v>
          </cell>
          <cell r="I496" t="str">
            <v>Low Voltage Power Cable</v>
          </cell>
          <cell r="Q496" t="str">
            <v>EXT</v>
          </cell>
          <cell r="R496" t="str">
            <v>Placeholder</v>
          </cell>
          <cell r="U496" t="str">
            <v>MT</v>
          </cell>
          <cell r="W496">
            <v>1</v>
          </cell>
          <cell r="X496" t="str">
            <v>USD</v>
          </cell>
          <cell r="Z496">
            <v>0</v>
          </cell>
          <cell r="AA496">
            <v>0</v>
          </cell>
          <cell r="AC496">
            <v>0</v>
          </cell>
          <cell r="AD496">
            <v>0</v>
          </cell>
          <cell r="AF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P496" t="str">
            <v>X</v>
          </cell>
          <cell r="AQ496" t="str">
            <v>CF.5</v>
          </cell>
        </row>
        <row r="497">
          <cell r="B497" t="str">
            <v>Low Level Control HW</v>
          </cell>
          <cell r="C497">
            <v>0</v>
          </cell>
          <cell r="D497">
            <v>4</v>
          </cell>
          <cell r="E497" t="str">
            <v>CW</v>
          </cell>
          <cell r="F497" t="str">
            <v>AU</v>
          </cell>
          <cell r="G497" t="str">
            <v>EB</v>
          </cell>
          <cell r="H497" t="str">
            <v>04-CW-AU-EB</v>
          </cell>
          <cell r="I497" t="str">
            <v>Earthing Cable</v>
          </cell>
          <cell r="Q497" t="str">
            <v>EXT</v>
          </cell>
          <cell r="R497" t="str">
            <v>Placeholder</v>
          </cell>
          <cell r="U497" t="str">
            <v>MT</v>
          </cell>
          <cell r="W497">
            <v>1</v>
          </cell>
          <cell r="X497" t="str">
            <v>USD</v>
          </cell>
          <cell r="Z497">
            <v>0</v>
          </cell>
          <cell r="AA497">
            <v>0</v>
          </cell>
          <cell r="AC497">
            <v>0</v>
          </cell>
          <cell r="AD497">
            <v>0</v>
          </cell>
          <cell r="AF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P497" t="str">
            <v>X</v>
          </cell>
          <cell r="AQ497" t="str">
            <v>CF.5</v>
          </cell>
        </row>
        <row r="498">
          <cell r="B498" t="str">
            <v>Low Level Control HW</v>
          </cell>
          <cell r="C498">
            <v>0</v>
          </cell>
          <cell r="D498">
            <v>4</v>
          </cell>
          <cell r="E498" t="str">
            <v>CW</v>
          </cell>
          <cell r="F498" t="str">
            <v>AU</v>
          </cell>
          <cell r="G498" t="str">
            <v>GA</v>
          </cell>
          <cell r="H498" t="str">
            <v>04-CW-AU-GA</v>
          </cell>
          <cell r="I498" t="str">
            <v>Signal Cable, CU Control Cable</v>
          </cell>
          <cell r="Q498" t="str">
            <v>EXT</v>
          </cell>
          <cell r="R498" t="str">
            <v>Placeholder</v>
          </cell>
          <cell r="U498" t="str">
            <v>MT</v>
          </cell>
          <cell r="W498">
            <v>1</v>
          </cell>
          <cell r="X498" t="str">
            <v>USD</v>
          </cell>
          <cell r="Z498">
            <v>0</v>
          </cell>
          <cell r="AA498">
            <v>0</v>
          </cell>
          <cell r="AC498">
            <v>0</v>
          </cell>
          <cell r="AD498">
            <v>0</v>
          </cell>
          <cell r="AF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P498" t="str">
            <v>X</v>
          </cell>
          <cell r="AQ498" t="str">
            <v>CF.5</v>
          </cell>
        </row>
        <row r="499">
          <cell r="B499" t="str">
            <v>Low Level Control HW</v>
          </cell>
          <cell r="C499">
            <v>0</v>
          </cell>
          <cell r="D499">
            <v>4</v>
          </cell>
          <cell r="E499" t="str">
            <v>CW</v>
          </cell>
          <cell r="F499" t="str">
            <v>AU</v>
          </cell>
          <cell r="G499" t="str">
            <v>GB</v>
          </cell>
          <cell r="H499" t="str">
            <v>04-CW-AU-GB</v>
          </cell>
          <cell r="I499" t="str">
            <v>Signal Cable, CU Data Cable</v>
          </cell>
          <cell r="Q499" t="str">
            <v>EXT</v>
          </cell>
          <cell r="R499" t="str">
            <v>Placeholder</v>
          </cell>
          <cell r="U499" t="str">
            <v>MT</v>
          </cell>
          <cell r="W499">
            <v>1</v>
          </cell>
          <cell r="X499" t="str">
            <v>USD</v>
          </cell>
          <cell r="Z499">
            <v>0</v>
          </cell>
          <cell r="AA499">
            <v>0</v>
          </cell>
          <cell r="AC499">
            <v>0</v>
          </cell>
          <cell r="AD499">
            <v>0</v>
          </cell>
          <cell r="AF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P499" t="str">
            <v>X</v>
          </cell>
          <cell r="AQ499" t="str">
            <v>CF.5</v>
          </cell>
        </row>
        <row r="500">
          <cell r="B500" t="str">
            <v>Low Level Control HW</v>
          </cell>
          <cell r="C500">
            <v>0</v>
          </cell>
          <cell r="D500">
            <v>4</v>
          </cell>
          <cell r="E500" t="str">
            <v>CW</v>
          </cell>
          <cell r="F500" t="str">
            <v>AU</v>
          </cell>
          <cell r="G500" t="str">
            <v>HA</v>
          </cell>
          <cell r="H500" t="str">
            <v>04-CW-AU-HA</v>
          </cell>
          <cell r="I500" t="str">
            <v>Signal Cable, Optical Fibre Optical Cable</v>
          </cell>
          <cell r="Q500" t="str">
            <v>EXT</v>
          </cell>
          <cell r="R500" t="str">
            <v>Placeholder</v>
          </cell>
          <cell r="U500" t="str">
            <v>MT</v>
          </cell>
          <cell r="W500">
            <v>1</v>
          </cell>
          <cell r="X500" t="str">
            <v>USD</v>
          </cell>
          <cell r="Z500">
            <v>0</v>
          </cell>
          <cell r="AA500">
            <v>0</v>
          </cell>
          <cell r="AC500">
            <v>0</v>
          </cell>
          <cell r="AD500">
            <v>0</v>
          </cell>
          <cell r="AF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P500" t="str">
            <v>X</v>
          </cell>
          <cell r="AQ500" t="str">
            <v>CF.5</v>
          </cell>
        </row>
        <row r="501">
          <cell r="B501" t="str">
            <v/>
          </cell>
          <cell r="H501" t="str">
            <v>--</v>
          </cell>
          <cell r="Q501" t="str">
            <v>EXT</v>
          </cell>
          <cell r="R501" t="str">
            <v>Placeholder</v>
          </cell>
          <cell r="W501">
            <v>1</v>
          </cell>
          <cell r="X501" t="str">
            <v>USD</v>
          </cell>
          <cell r="Z501">
            <v>0</v>
          </cell>
          <cell r="AA501">
            <v>0</v>
          </cell>
          <cell r="AC501">
            <v>0</v>
          </cell>
          <cell r="AD501">
            <v>0</v>
          </cell>
          <cell r="AF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P501" t="str">
            <v>X</v>
          </cell>
          <cell r="AQ501" t="str">
            <v/>
          </cell>
        </row>
        <row r="502">
          <cell r="B502" t="str">
            <v/>
          </cell>
          <cell r="H502" t="str">
            <v>--</v>
          </cell>
          <cell r="Q502" t="str">
            <v>EXT</v>
          </cell>
          <cell r="R502" t="str">
            <v>Placeholder</v>
          </cell>
          <cell r="W502">
            <v>1</v>
          </cell>
          <cell r="X502" t="str">
            <v>USD</v>
          </cell>
          <cell r="Z502">
            <v>0</v>
          </cell>
          <cell r="AA502">
            <v>0</v>
          </cell>
          <cell r="AC502">
            <v>0</v>
          </cell>
          <cell r="AD502">
            <v>0</v>
          </cell>
          <cell r="AF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P502" t="str">
            <v>X</v>
          </cell>
          <cell r="AQ502" t="str">
            <v/>
          </cell>
        </row>
        <row r="503">
          <cell r="I503" t="str">
            <v>12.8 Commissioning Spares</v>
          </cell>
        </row>
        <row r="504">
          <cell r="B504" t="str">
            <v>Low Level Control HW</v>
          </cell>
          <cell r="C504">
            <v>0</v>
          </cell>
          <cell r="D504">
            <v>4</v>
          </cell>
          <cell r="E504" t="str">
            <v>CP</v>
          </cell>
          <cell r="F504" t="str">
            <v>AU</v>
          </cell>
          <cell r="G504" t="str">
            <v>AB</v>
          </cell>
          <cell r="H504" t="str">
            <v>04-CP-AU-AB</v>
          </cell>
          <cell r="I504" t="str">
            <v>Electrical Spare Parts</v>
          </cell>
          <cell r="Q504" t="str">
            <v>EXT</v>
          </cell>
          <cell r="R504" t="str">
            <v>Placeholder</v>
          </cell>
          <cell r="U504" t="str">
            <v>LS</v>
          </cell>
          <cell r="W504">
            <v>1</v>
          </cell>
          <cell r="X504" t="str">
            <v>USD</v>
          </cell>
          <cell r="Z504">
            <v>0</v>
          </cell>
          <cell r="AA504">
            <v>0</v>
          </cell>
          <cell r="AC504">
            <v>0</v>
          </cell>
          <cell r="AD504">
            <v>0</v>
          </cell>
          <cell r="AF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P504" t="str">
            <v>X</v>
          </cell>
          <cell r="AQ504" t="str">
            <v>CF.5</v>
          </cell>
        </row>
        <row r="505">
          <cell r="B505" t="str">
            <v>Low Level Control HW</v>
          </cell>
          <cell r="C505">
            <v>0</v>
          </cell>
          <cell r="D505">
            <v>4</v>
          </cell>
          <cell r="E505" t="str">
            <v>CP</v>
          </cell>
          <cell r="F505" t="str">
            <v>AU</v>
          </cell>
          <cell r="G505" t="str">
            <v>AC</v>
          </cell>
          <cell r="H505" t="str">
            <v>04-CP-AU-AC</v>
          </cell>
          <cell r="I505" t="str">
            <v>Control Spare Parts</v>
          </cell>
          <cell r="Q505" t="str">
            <v>EXT</v>
          </cell>
          <cell r="R505" t="str">
            <v>Placeholder</v>
          </cell>
          <cell r="U505" t="str">
            <v>LS</v>
          </cell>
          <cell r="W505">
            <v>1</v>
          </cell>
          <cell r="X505" t="str">
            <v>USD</v>
          </cell>
          <cell r="Z505">
            <v>0</v>
          </cell>
          <cell r="AA505">
            <v>0</v>
          </cell>
          <cell r="AC505">
            <v>0</v>
          </cell>
          <cell r="AD505">
            <v>0</v>
          </cell>
          <cell r="AF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P505" t="str">
            <v>X</v>
          </cell>
          <cell r="AQ505" t="str">
            <v>CF.5</v>
          </cell>
        </row>
        <row r="506">
          <cell r="B506" t="str">
            <v/>
          </cell>
          <cell r="H506" t="str">
            <v>--</v>
          </cell>
          <cell r="Q506" t="str">
            <v>EXT</v>
          </cell>
          <cell r="R506" t="str">
            <v>Placeholder</v>
          </cell>
          <cell r="W506">
            <v>1</v>
          </cell>
          <cell r="X506" t="str">
            <v>USD</v>
          </cell>
          <cell r="Z506">
            <v>0</v>
          </cell>
          <cell r="AA506">
            <v>0</v>
          </cell>
          <cell r="AC506">
            <v>0</v>
          </cell>
          <cell r="AD506">
            <v>0</v>
          </cell>
          <cell r="AF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P506" t="str">
            <v>X</v>
          </cell>
          <cell r="AQ506" t="str">
            <v/>
          </cell>
        </row>
        <row r="507">
          <cell r="B507" t="str">
            <v/>
          </cell>
          <cell r="H507" t="str">
            <v>--</v>
          </cell>
          <cell r="Q507" t="str">
            <v>EXT</v>
          </cell>
          <cell r="R507" t="str">
            <v>Placeholder</v>
          </cell>
          <cell r="W507">
            <v>1</v>
          </cell>
          <cell r="X507" t="str">
            <v>USD</v>
          </cell>
          <cell r="Z507">
            <v>0</v>
          </cell>
          <cell r="AA507">
            <v>0</v>
          </cell>
          <cell r="AC507">
            <v>0</v>
          </cell>
          <cell r="AD507">
            <v>0</v>
          </cell>
          <cell r="AF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P507" t="str">
            <v>X</v>
          </cell>
          <cell r="AQ507" t="str">
            <v/>
          </cell>
        </row>
        <row r="508">
          <cell r="I508" t="str">
            <v>12.9 Inital Spare Part Package / Onsite Spares</v>
          </cell>
        </row>
        <row r="509">
          <cell r="B509" t="str">
            <v>Operation &amp; Maintenance - One-Time Cost</v>
          </cell>
          <cell r="C509" t="str">
            <v>W</v>
          </cell>
          <cell r="D509">
            <v>4</v>
          </cell>
          <cell r="E509" t="str">
            <v>CI</v>
          </cell>
          <cell r="F509" t="str">
            <v>AU</v>
          </cell>
          <cell r="G509" t="str">
            <v>AB</v>
          </cell>
          <cell r="H509" t="str">
            <v>W4-CI-AU-AB</v>
          </cell>
          <cell r="I509" t="str">
            <v>Electrical Spare Parts</v>
          </cell>
          <cell r="Q509" t="str">
            <v>EXT</v>
          </cell>
          <cell r="R509" t="str">
            <v>Placeholder</v>
          </cell>
          <cell r="U509" t="str">
            <v>LS</v>
          </cell>
          <cell r="W509">
            <v>1</v>
          </cell>
          <cell r="X509" t="str">
            <v>USD</v>
          </cell>
          <cell r="Z509">
            <v>0</v>
          </cell>
          <cell r="AA509">
            <v>0</v>
          </cell>
          <cell r="AC509">
            <v>0</v>
          </cell>
          <cell r="AD509">
            <v>0</v>
          </cell>
          <cell r="AF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P509" t="str">
            <v>X</v>
          </cell>
          <cell r="AQ509" t="str">
            <v>CF.15</v>
          </cell>
        </row>
        <row r="510">
          <cell r="B510" t="str">
            <v>Operation &amp; Maintenance - One-Time Cost</v>
          </cell>
          <cell r="C510" t="str">
            <v>W</v>
          </cell>
          <cell r="D510">
            <v>4</v>
          </cell>
          <cell r="E510" t="str">
            <v>CI</v>
          </cell>
          <cell r="F510" t="str">
            <v>AU</v>
          </cell>
          <cell r="G510" t="str">
            <v>AC</v>
          </cell>
          <cell r="H510" t="str">
            <v>W4-CI-AU-AC</v>
          </cell>
          <cell r="I510" t="str">
            <v>Control Spare Parts</v>
          </cell>
          <cell r="Q510" t="str">
            <v>EXT</v>
          </cell>
          <cell r="R510" t="str">
            <v>Placeholder</v>
          </cell>
          <cell r="U510" t="str">
            <v>LS</v>
          </cell>
          <cell r="W510">
            <v>1</v>
          </cell>
          <cell r="X510" t="str">
            <v>USD</v>
          </cell>
          <cell r="Z510">
            <v>0</v>
          </cell>
          <cell r="AA510">
            <v>0</v>
          </cell>
          <cell r="AC510">
            <v>0</v>
          </cell>
          <cell r="AD510">
            <v>0</v>
          </cell>
          <cell r="AF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P510" t="str">
            <v>X</v>
          </cell>
          <cell r="AQ510" t="str">
            <v>CF.15</v>
          </cell>
        </row>
        <row r="511">
          <cell r="B511" t="str">
            <v/>
          </cell>
          <cell r="H511" t="str">
            <v>--</v>
          </cell>
          <cell r="Q511" t="str">
            <v>EXT</v>
          </cell>
          <cell r="R511" t="str">
            <v>Placeholder</v>
          </cell>
          <cell r="W511">
            <v>1</v>
          </cell>
          <cell r="X511" t="str">
            <v>USD</v>
          </cell>
          <cell r="Z511">
            <v>0</v>
          </cell>
          <cell r="AA511">
            <v>0</v>
          </cell>
          <cell r="AC511">
            <v>0</v>
          </cell>
          <cell r="AD511">
            <v>0</v>
          </cell>
          <cell r="AF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P511" t="str">
            <v>X</v>
          </cell>
          <cell r="AQ511" t="str">
            <v/>
          </cell>
        </row>
        <row r="512">
          <cell r="B512" t="str">
            <v/>
          </cell>
          <cell r="H512" t="str">
            <v>--</v>
          </cell>
          <cell r="Q512" t="str">
            <v>EXT</v>
          </cell>
          <cell r="R512" t="str">
            <v>Placeholder</v>
          </cell>
          <cell r="W512">
            <v>1</v>
          </cell>
          <cell r="X512" t="str">
            <v>USD</v>
          </cell>
          <cell r="Z512">
            <v>0</v>
          </cell>
          <cell r="AA512">
            <v>0</v>
          </cell>
          <cell r="AC512">
            <v>0</v>
          </cell>
          <cell r="AD512">
            <v>0</v>
          </cell>
          <cell r="AF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P512" t="str">
            <v>X</v>
          </cell>
          <cell r="AQ512" t="str">
            <v/>
          </cell>
        </row>
        <row r="513">
          <cell r="B513" t="str">
            <v>Subtotal - 13</v>
          </cell>
          <cell r="I513" t="str">
            <v>13. Electrical Installation</v>
          </cell>
        </row>
        <row r="514">
          <cell r="I514" t="str">
            <v>13.1 Conveying Elements</v>
          </cell>
        </row>
        <row r="515">
          <cell r="B515" t="str">
            <v>Installation</v>
          </cell>
          <cell r="C515" t="str">
            <v>I</v>
          </cell>
          <cell r="D515">
            <v>4</v>
          </cell>
          <cell r="E515" t="str">
            <v>CC</v>
          </cell>
          <cell r="F515" t="str">
            <v>CI</v>
          </cell>
          <cell r="H515" t="str">
            <v>I4-CC-CI</v>
          </cell>
          <cell r="I515" t="str">
            <v>E-Installation Conveying Elements: Belt-Conveyor "Check-In"</v>
          </cell>
          <cell r="Q515" t="str">
            <v>EXT</v>
          </cell>
          <cell r="R515" t="str">
            <v>Placeholder</v>
          </cell>
          <cell r="U515" t="str">
            <v>PC</v>
          </cell>
          <cell r="W515">
            <v>1</v>
          </cell>
          <cell r="X515" t="str">
            <v>USD</v>
          </cell>
          <cell r="Z515">
            <v>0</v>
          </cell>
          <cell r="AA515">
            <v>0</v>
          </cell>
          <cell r="AC515">
            <v>0</v>
          </cell>
          <cell r="AD515">
            <v>0</v>
          </cell>
          <cell r="AF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P515" t="str">
            <v>X</v>
          </cell>
          <cell r="AQ515" t="str">
            <v>CF.12</v>
          </cell>
        </row>
        <row r="516">
          <cell r="B516" t="str">
            <v>Installation</v>
          </cell>
          <cell r="C516" t="str">
            <v>I</v>
          </cell>
          <cell r="D516">
            <v>4</v>
          </cell>
          <cell r="E516" t="str">
            <v>CC</v>
          </cell>
          <cell r="F516" t="str">
            <v>B_</v>
          </cell>
          <cell r="H516" t="str">
            <v>I4-CC-B_</v>
          </cell>
          <cell r="I516" t="str">
            <v>E-Installation Conveying Elements: Belt-Conveyor</v>
          </cell>
          <cell r="Q516" t="str">
            <v>EXT</v>
          </cell>
          <cell r="R516" t="str">
            <v>Placeholder</v>
          </cell>
          <cell r="U516" t="str">
            <v>PC</v>
          </cell>
          <cell r="W516">
            <v>1</v>
          </cell>
          <cell r="X516" t="str">
            <v>USD</v>
          </cell>
          <cell r="Z516">
            <v>0</v>
          </cell>
          <cell r="AA516">
            <v>0</v>
          </cell>
          <cell r="AC516">
            <v>0</v>
          </cell>
          <cell r="AD516">
            <v>0</v>
          </cell>
          <cell r="AF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P516" t="str">
            <v>X</v>
          </cell>
          <cell r="AQ516" t="str">
            <v>CF.12</v>
          </cell>
        </row>
        <row r="517">
          <cell r="B517" t="str">
            <v>Installation</v>
          </cell>
          <cell r="C517" t="str">
            <v>I</v>
          </cell>
          <cell r="D517">
            <v>4</v>
          </cell>
          <cell r="E517" t="str">
            <v>CC</v>
          </cell>
          <cell r="F517" t="str">
            <v>I_</v>
          </cell>
          <cell r="H517" t="str">
            <v>I4-CC-I_</v>
          </cell>
          <cell r="I517" t="str">
            <v>E-Installation Conveying Elements: Tray-Conveyor</v>
          </cell>
          <cell r="Q517" t="str">
            <v>EXT</v>
          </cell>
          <cell r="R517" t="str">
            <v>Placeholder</v>
          </cell>
          <cell r="U517" t="str">
            <v>PC</v>
          </cell>
          <cell r="W517">
            <v>1</v>
          </cell>
          <cell r="X517" t="str">
            <v>USD</v>
          </cell>
          <cell r="Z517">
            <v>0</v>
          </cell>
          <cell r="AA517">
            <v>0</v>
          </cell>
          <cell r="AC517">
            <v>0</v>
          </cell>
          <cell r="AD517">
            <v>0</v>
          </cell>
          <cell r="AF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P517" t="str">
            <v>X</v>
          </cell>
          <cell r="AQ517" t="str">
            <v>CF.12</v>
          </cell>
        </row>
        <row r="518">
          <cell r="B518" t="str">
            <v>Installation</v>
          </cell>
          <cell r="C518" t="str">
            <v>I</v>
          </cell>
          <cell r="D518">
            <v>4</v>
          </cell>
          <cell r="E518" t="str">
            <v>CC</v>
          </cell>
          <cell r="F518" t="str">
            <v>E_</v>
          </cell>
          <cell r="H518" t="str">
            <v>I4-CC-E_</v>
          </cell>
          <cell r="I518" t="str">
            <v>E-Installation Conveying Elements: Early Bag Storage</v>
          </cell>
          <cell r="Q518" t="str">
            <v>EXT</v>
          </cell>
          <cell r="R518" t="str">
            <v>Placeholder</v>
          </cell>
          <cell r="U518" t="str">
            <v>PC</v>
          </cell>
          <cell r="W518">
            <v>1</v>
          </cell>
          <cell r="X518" t="str">
            <v>USD</v>
          </cell>
          <cell r="Z518">
            <v>0</v>
          </cell>
          <cell r="AA518">
            <v>0</v>
          </cell>
          <cell r="AC518">
            <v>0</v>
          </cell>
          <cell r="AD518">
            <v>0</v>
          </cell>
          <cell r="AF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P518" t="str">
            <v>X</v>
          </cell>
          <cell r="AQ518" t="str">
            <v>CF.12</v>
          </cell>
        </row>
        <row r="519">
          <cell r="B519" t="str">
            <v/>
          </cell>
          <cell r="H519" t="str">
            <v>--</v>
          </cell>
          <cell r="Q519" t="str">
            <v>EXT</v>
          </cell>
          <cell r="R519" t="str">
            <v>Placeholder</v>
          </cell>
          <cell r="W519">
            <v>1</v>
          </cell>
          <cell r="X519" t="str">
            <v>USD</v>
          </cell>
          <cell r="Z519">
            <v>0</v>
          </cell>
          <cell r="AA519">
            <v>0</v>
          </cell>
          <cell r="AC519">
            <v>0</v>
          </cell>
          <cell r="AD519">
            <v>0</v>
          </cell>
          <cell r="AF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P519" t="str">
            <v>X</v>
          </cell>
          <cell r="AQ519" t="str">
            <v/>
          </cell>
        </row>
        <row r="520">
          <cell r="B520" t="str">
            <v/>
          </cell>
          <cell r="H520" t="str">
            <v>--</v>
          </cell>
          <cell r="Q520" t="str">
            <v>EXT</v>
          </cell>
          <cell r="R520" t="str">
            <v>Placeholder</v>
          </cell>
          <cell r="W520">
            <v>1</v>
          </cell>
          <cell r="X520" t="str">
            <v>USD</v>
          </cell>
          <cell r="Z520">
            <v>0</v>
          </cell>
          <cell r="AA520">
            <v>0</v>
          </cell>
          <cell r="AC520">
            <v>0</v>
          </cell>
          <cell r="AD520">
            <v>0</v>
          </cell>
          <cell r="AF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P520" t="str">
            <v>X</v>
          </cell>
          <cell r="AQ520" t="str">
            <v/>
          </cell>
        </row>
        <row r="521">
          <cell r="I521" t="str">
            <v>13.2 Control Stations</v>
          </cell>
        </row>
        <row r="522">
          <cell r="B522" t="str">
            <v>Installation</v>
          </cell>
          <cell r="C522" t="str">
            <v>I</v>
          </cell>
          <cell r="D522">
            <v>4</v>
          </cell>
          <cell r="E522" t="str">
            <v>CC</v>
          </cell>
          <cell r="F522" t="str">
            <v>CI</v>
          </cell>
          <cell r="G522" t="str">
            <v>SJ</v>
          </cell>
          <cell r="H522" t="str">
            <v>I4-CC-CI-SJ</v>
          </cell>
          <cell r="I522" t="str">
            <v>E-Installation Control Station (for Check-In Counter)</v>
          </cell>
          <cell r="Q522" t="str">
            <v>EXT</v>
          </cell>
          <cell r="R522" t="str">
            <v>Placeholder</v>
          </cell>
          <cell r="U522" t="str">
            <v>PC</v>
          </cell>
          <cell r="W522">
            <v>1</v>
          </cell>
          <cell r="X522" t="str">
            <v>USD</v>
          </cell>
          <cell r="Z522">
            <v>0</v>
          </cell>
          <cell r="AA522">
            <v>0</v>
          </cell>
          <cell r="AC522">
            <v>0</v>
          </cell>
          <cell r="AD522">
            <v>0</v>
          </cell>
          <cell r="AF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P522" t="str">
            <v>X</v>
          </cell>
          <cell r="AQ522" t="str">
            <v>CF.12</v>
          </cell>
        </row>
        <row r="523">
          <cell r="B523" t="str">
            <v>Installation</v>
          </cell>
          <cell r="C523" t="str">
            <v>I</v>
          </cell>
          <cell r="D523">
            <v>4</v>
          </cell>
          <cell r="E523" t="str">
            <v>CC</v>
          </cell>
          <cell r="F523" t="str">
            <v>B_</v>
          </cell>
          <cell r="G523" t="str">
            <v>SJ</v>
          </cell>
          <cell r="H523" t="str">
            <v>I4-CC-B_-SJ</v>
          </cell>
          <cell r="I523" t="str">
            <v>E-Installation Control Station(for Belt System)</v>
          </cell>
          <cell r="Q523" t="str">
            <v>EXT</v>
          </cell>
          <cell r="R523" t="str">
            <v>Placeholder</v>
          </cell>
          <cell r="U523" t="str">
            <v>PC</v>
          </cell>
          <cell r="W523">
            <v>1</v>
          </cell>
          <cell r="X523" t="str">
            <v>USD</v>
          </cell>
          <cell r="Z523">
            <v>0</v>
          </cell>
          <cell r="AA523">
            <v>0</v>
          </cell>
          <cell r="AC523">
            <v>0</v>
          </cell>
          <cell r="AD523">
            <v>0</v>
          </cell>
          <cell r="AF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P523" t="str">
            <v>X</v>
          </cell>
          <cell r="AQ523" t="str">
            <v>CF.12</v>
          </cell>
        </row>
        <row r="524">
          <cell r="B524" t="str">
            <v>Installation</v>
          </cell>
          <cell r="C524" t="str">
            <v>I</v>
          </cell>
          <cell r="D524">
            <v>4</v>
          </cell>
          <cell r="E524" t="str">
            <v>CC</v>
          </cell>
          <cell r="F524" t="str">
            <v>I_</v>
          </cell>
          <cell r="G524" t="str">
            <v>SJ</v>
          </cell>
          <cell r="H524" t="str">
            <v>I4-CC-I_-SJ</v>
          </cell>
          <cell r="I524" t="str">
            <v>E-Installation Control Station (for Tray System)</v>
          </cell>
          <cell r="Q524" t="str">
            <v>EXT</v>
          </cell>
          <cell r="R524" t="str">
            <v>Placeholder</v>
          </cell>
          <cell r="U524" t="str">
            <v>PC</v>
          </cell>
          <cell r="W524">
            <v>1</v>
          </cell>
          <cell r="X524" t="str">
            <v>USD</v>
          </cell>
          <cell r="Z524">
            <v>0</v>
          </cell>
          <cell r="AA524">
            <v>0</v>
          </cell>
          <cell r="AC524">
            <v>0</v>
          </cell>
          <cell r="AD524">
            <v>0</v>
          </cell>
          <cell r="AF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P524" t="str">
            <v>X</v>
          </cell>
          <cell r="AQ524" t="str">
            <v>CF.12</v>
          </cell>
        </row>
        <row r="525">
          <cell r="B525" t="str">
            <v>Installation</v>
          </cell>
          <cell r="C525" t="str">
            <v>I</v>
          </cell>
          <cell r="D525">
            <v>4</v>
          </cell>
          <cell r="E525" t="str">
            <v>CC</v>
          </cell>
          <cell r="F525" t="str">
            <v>E_</v>
          </cell>
          <cell r="G525" t="str">
            <v>SJ</v>
          </cell>
          <cell r="H525" t="str">
            <v>I4-CC-E_-SJ</v>
          </cell>
          <cell r="I525" t="str">
            <v>E-Installation Control Station Early Bag Storage</v>
          </cell>
          <cell r="Q525" t="str">
            <v>EXT</v>
          </cell>
          <cell r="R525" t="str">
            <v>Placeholder</v>
          </cell>
          <cell r="U525" t="str">
            <v>PC</v>
          </cell>
          <cell r="W525">
            <v>1</v>
          </cell>
          <cell r="X525" t="str">
            <v>USD</v>
          </cell>
          <cell r="Z525">
            <v>0</v>
          </cell>
          <cell r="AA525">
            <v>0</v>
          </cell>
          <cell r="AC525">
            <v>0</v>
          </cell>
          <cell r="AD525">
            <v>0</v>
          </cell>
          <cell r="AF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P525" t="str">
            <v>X</v>
          </cell>
          <cell r="AQ525" t="str">
            <v>CF.12</v>
          </cell>
        </row>
        <row r="526">
          <cell r="B526" t="str">
            <v/>
          </cell>
          <cell r="H526" t="str">
            <v>--</v>
          </cell>
          <cell r="Q526" t="str">
            <v>EXT</v>
          </cell>
          <cell r="R526" t="str">
            <v>Placeholder</v>
          </cell>
          <cell r="W526">
            <v>1</v>
          </cell>
          <cell r="X526" t="str">
            <v>USD</v>
          </cell>
          <cell r="Z526">
            <v>0</v>
          </cell>
          <cell r="AA526">
            <v>0</v>
          </cell>
          <cell r="AC526">
            <v>0</v>
          </cell>
          <cell r="AD526">
            <v>0</v>
          </cell>
          <cell r="AF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P526" t="str">
            <v>X</v>
          </cell>
          <cell r="AQ526" t="str">
            <v/>
          </cell>
        </row>
        <row r="527">
          <cell r="B527" t="str">
            <v/>
          </cell>
          <cell r="H527" t="str">
            <v>--</v>
          </cell>
          <cell r="Q527" t="str">
            <v>EXT</v>
          </cell>
          <cell r="R527" t="str">
            <v>Placeholder</v>
          </cell>
          <cell r="W527">
            <v>1</v>
          </cell>
          <cell r="X527" t="str">
            <v>USD</v>
          </cell>
          <cell r="Z527">
            <v>0</v>
          </cell>
          <cell r="AA527">
            <v>0</v>
          </cell>
          <cell r="AC527">
            <v>0</v>
          </cell>
          <cell r="AD527">
            <v>0</v>
          </cell>
          <cell r="AF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P527" t="str">
            <v>X</v>
          </cell>
          <cell r="AQ527" t="str">
            <v/>
          </cell>
        </row>
        <row r="528">
          <cell r="I528" t="str">
            <v>13.3 Light Beacons and Horn</v>
          </cell>
        </row>
        <row r="529">
          <cell r="B529" t="str">
            <v>Installation</v>
          </cell>
          <cell r="C529" t="str">
            <v>I</v>
          </cell>
          <cell r="D529">
            <v>4</v>
          </cell>
          <cell r="E529" t="str">
            <v>CC</v>
          </cell>
          <cell r="F529" t="str">
            <v>CI</v>
          </cell>
          <cell r="G529" t="str">
            <v>SP</v>
          </cell>
          <cell r="H529" t="str">
            <v>I4-CC-CI-SP</v>
          </cell>
          <cell r="I529" t="str">
            <v>E-Installation Light Beacon and Horn (for Check-In Counter)</v>
          </cell>
          <cell r="Q529" t="str">
            <v>EXT</v>
          </cell>
          <cell r="R529" t="str">
            <v>Placeholder</v>
          </cell>
          <cell r="U529" t="str">
            <v>PC</v>
          </cell>
          <cell r="W529">
            <v>1</v>
          </cell>
          <cell r="X529" t="str">
            <v>USD</v>
          </cell>
          <cell r="Z529">
            <v>0</v>
          </cell>
          <cell r="AA529">
            <v>0</v>
          </cell>
          <cell r="AC529">
            <v>0</v>
          </cell>
          <cell r="AD529">
            <v>0</v>
          </cell>
          <cell r="AF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P529" t="str">
            <v>X</v>
          </cell>
          <cell r="AQ529" t="str">
            <v>CF.12</v>
          </cell>
        </row>
        <row r="530">
          <cell r="B530" t="str">
            <v>Installation</v>
          </cell>
          <cell r="C530" t="str">
            <v>I</v>
          </cell>
          <cell r="D530">
            <v>4</v>
          </cell>
          <cell r="E530" t="str">
            <v>CC</v>
          </cell>
          <cell r="F530" t="str">
            <v>B_</v>
          </cell>
          <cell r="G530" t="str">
            <v>SP</v>
          </cell>
          <cell r="H530" t="str">
            <v>I4-CC-B_-SP</v>
          </cell>
          <cell r="I530" t="str">
            <v>E-Installation Light Beacon and Horn (for Belt System)</v>
          </cell>
          <cell r="Q530" t="str">
            <v>EXT</v>
          </cell>
          <cell r="R530" t="str">
            <v>Placeholder</v>
          </cell>
          <cell r="U530" t="str">
            <v>PC</v>
          </cell>
          <cell r="W530">
            <v>1</v>
          </cell>
          <cell r="X530" t="str">
            <v>USD</v>
          </cell>
          <cell r="Z530">
            <v>0</v>
          </cell>
          <cell r="AA530">
            <v>0</v>
          </cell>
          <cell r="AC530">
            <v>0</v>
          </cell>
          <cell r="AD530">
            <v>0</v>
          </cell>
          <cell r="AF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P530" t="str">
            <v>X</v>
          </cell>
          <cell r="AQ530" t="str">
            <v>CF.12</v>
          </cell>
        </row>
        <row r="531">
          <cell r="B531" t="str">
            <v>Installation</v>
          </cell>
          <cell r="C531" t="str">
            <v>I</v>
          </cell>
          <cell r="D531">
            <v>4</v>
          </cell>
          <cell r="E531" t="str">
            <v>CC</v>
          </cell>
          <cell r="F531" t="str">
            <v>I_</v>
          </cell>
          <cell r="G531" t="str">
            <v>SP</v>
          </cell>
          <cell r="H531" t="str">
            <v>I4-CC-I_-SP</v>
          </cell>
          <cell r="I531" t="str">
            <v>E-Installation Light Beacon and Horn (for Tray System)</v>
          </cell>
          <cell r="Q531" t="str">
            <v>EXT</v>
          </cell>
          <cell r="R531" t="str">
            <v>Placeholder</v>
          </cell>
          <cell r="U531" t="str">
            <v>PC</v>
          </cell>
          <cell r="W531">
            <v>1</v>
          </cell>
          <cell r="X531" t="str">
            <v>USD</v>
          </cell>
          <cell r="Z531">
            <v>0</v>
          </cell>
          <cell r="AA531">
            <v>0</v>
          </cell>
          <cell r="AC531">
            <v>0</v>
          </cell>
          <cell r="AD531">
            <v>0</v>
          </cell>
          <cell r="AF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P531" t="str">
            <v>X</v>
          </cell>
          <cell r="AQ531" t="str">
            <v>CF.12</v>
          </cell>
        </row>
        <row r="532">
          <cell r="B532" t="str">
            <v>Installation</v>
          </cell>
          <cell r="C532" t="str">
            <v>I</v>
          </cell>
          <cell r="D532">
            <v>4</v>
          </cell>
          <cell r="E532" t="str">
            <v>CC</v>
          </cell>
          <cell r="F532" t="str">
            <v>E_</v>
          </cell>
          <cell r="G532" t="str">
            <v>SP</v>
          </cell>
          <cell r="H532" t="str">
            <v>I4-CC-E_-SP</v>
          </cell>
          <cell r="I532" t="str">
            <v>E-Installation Light Beacon and Horn (for EBS)</v>
          </cell>
          <cell r="Q532" t="str">
            <v>EXT</v>
          </cell>
          <cell r="R532" t="str">
            <v>Placeholder</v>
          </cell>
          <cell r="U532" t="str">
            <v>PC</v>
          </cell>
          <cell r="W532">
            <v>1</v>
          </cell>
          <cell r="X532" t="str">
            <v>USD</v>
          </cell>
          <cell r="Z532">
            <v>0</v>
          </cell>
          <cell r="AA532">
            <v>0</v>
          </cell>
          <cell r="AC532">
            <v>0</v>
          </cell>
          <cell r="AD532">
            <v>0</v>
          </cell>
          <cell r="AF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P532" t="str">
            <v>X</v>
          </cell>
          <cell r="AQ532" t="str">
            <v>CF.12</v>
          </cell>
        </row>
        <row r="533">
          <cell r="B533" t="str">
            <v/>
          </cell>
          <cell r="H533" t="str">
            <v>--</v>
          </cell>
          <cell r="Q533" t="str">
            <v>EXT</v>
          </cell>
          <cell r="R533" t="str">
            <v>Placeholder</v>
          </cell>
          <cell r="W533">
            <v>1</v>
          </cell>
          <cell r="X533" t="str">
            <v>USD</v>
          </cell>
          <cell r="Z533">
            <v>0</v>
          </cell>
          <cell r="AA533">
            <v>0</v>
          </cell>
          <cell r="AC533">
            <v>0</v>
          </cell>
          <cell r="AD533">
            <v>0</v>
          </cell>
          <cell r="AF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P533" t="str">
            <v>X</v>
          </cell>
          <cell r="AQ533" t="str">
            <v/>
          </cell>
        </row>
        <row r="534">
          <cell r="B534" t="str">
            <v/>
          </cell>
          <cell r="H534" t="str">
            <v>--</v>
          </cell>
          <cell r="Q534" t="str">
            <v>EXT</v>
          </cell>
          <cell r="R534" t="str">
            <v>Placeholder</v>
          </cell>
          <cell r="W534">
            <v>1</v>
          </cell>
          <cell r="X534" t="str">
            <v>USD</v>
          </cell>
          <cell r="Z534">
            <v>0</v>
          </cell>
          <cell r="AA534">
            <v>0</v>
          </cell>
          <cell r="AC534">
            <v>0</v>
          </cell>
          <cell r="AD534">
            <v>0</v>
          </cell>
          <cell r="AF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P534" t="str">
            <v>X</v>
          </cell>
          <cell r="AQ534" t="str">
            <v/>
          </cell>
        </row>
        <row r="535">
          <cell r="I535" t="str">
            <v>13.4 Boards and Panels</v>
          </cell>
        </row>
        <row r="536">
          <cell r="B536" t="str">
            <v>Installation</v>
          </cell>
          <cell r="C536" t="str">
            <v>I</v>
          </cell>
          <cell r="D536">
            <v>4</v>
          </cell>
          <cell r="E536" t="str">
            <v>PU</v>
          </cell>
          <cell r="F536" t="str">
            <v>O_</v>
          </cell>
          <cell r="G536" t="str">
            <v>CA</v>
          </cell>
          <cell r="H536" t="str">
            <v>I4-PU-O_-CA</v>
          </cell>
          <cell r="I536" t="str">
            <v>E-Installation: Power Distribution Panel (PDP)</v>
          </cell>
          <cell r="Q536" t="str">
            <v>EXT</v>
          </cell>
          <cell r="R536" t="str">
            <v>Placeholder</v>
          </cell>
          <cell r="U536" t="str">
            <v>PC</v>
          </cell>
          <cell r="W536">
            <v>1</v>
          </cell>
          <cell r="X536" t="str">
            <v>USD</v>
          </cell>
          <cell r="Z536">
            <v>0</v>
          </cell>
          <cell r="AA536">
            <v>0</v>
          </cell>
          <cell r="AC536">
            <v>0</v>
          </cell>
          <cell r="AD536">
            <v>0</v>
          </cell>
          <cell r="AF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P536" t="str">
            <v>X</v>
          </cell>
          <cell r="AQ536" t="str">
            <v>CF.12</v>
          </cell>
        </row>
        <row r="537">
          <cell r="B537" t="str">
            <v>Installation</v>
          </cell>
          <cell r="C537" t="str">
            <v>I</v>
          </cell>
          <cell r="D537">
            <v>4</v>
          </cell>
          <cell r="E537" t="str">
            <v>CU</v>
          </cell>
          <cell r="F537" t="str">
            <v>B_</v>
          </cell>
          <cell r="G537" t="str">
            <v>CB</v>
          </cell>
          <cell r="H537" t="str">
            <v>I4-CU-B_-CB</v>
          </cell>
          <cell r="I537" t="str">
            <v>E-Installation: LP PLC Panel</v>
          </cell>
          <cell r="Q537" t="str">
            <v>EXT</v>
          </cell>
          <cell r="R537" t="str">
            <v>Placeholder</v>
          </cell>
          <cell r="U537" t="str">
            <v>PC</v>
          </cell>
          <cell r="W537">
            <v>1</v>
          </cell>
          <cell r="X537" t="str">
            <v>USD</v>
          </cell>
          <cell r="Z537">
            <v>0</v>
          </cell>
          <cell r="AA537">
            <v>0</v>
          </cell>
          <cell r="AC537">
            <v>0</v>
          </cell>
          <cell r="AD537">
            <v>0</v>
          </cell>
          <cell r="AF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P537" t="str">
            <v>X</v>
          </cell>
          <cell r="AQ537" t="str">
            <v>CF.12</v>
          </cell>
        </row>
        <row r="538">
          <cell r="B538" t="str">
            <v>Installation</v>
          </cell>
          <cell r="C538" t="str">
            <v>I</v>
          </cell>
          <cell r="D538">
            <v>4</v>
          </cell>
          <cell r="E538" t="str">
            <v>CU</v>
          </cell>
          <cell r="F538" t="str">
            <v>B_</v>
          </cell>
          <cell r="G538" t="str">
            <v>CC</v>
          </cell>
          <cell r="H538" t="str">
            <v>I4-CU-B_-CC</v>
          </cell>
          <cell r="I538" t="str">
            <v>E-Installation: Field Control Panel PM</v>
          </cell>
          <cell r="Q538" t="str">
            <v>EXT</v>
          </cell>
          <cell r="R538" t="str">
            <v>Placeholder</v>
          </cell>
          <cell r="U538" t="str">
            <v>PC</v>
          </cell>
          <cell r="W538">
            <v>1</v>
          </cell>
          <cell r="X538" t="str">
            <v>USD</v>
          </cell>
          <cell r="Z538">
            <v>0</v>
          </cell>
          <cell r="AA538">
            <v>0</v>
          </cell>
          <cell r="AC538">
            <v>0</v>
          </cell>
          <cell r="AD538">
            <v>0</v>
          </cell>
          <cell r="AF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P538" t="str">
            <v>X</v>
          </cell>
          <cell r="AQ538" t="str">
            <v>CF.12</v>
          </cell>
        </row>
        <row r="539">
          <cell r="B539" t="str">
            <v>Installation</v>
          </cell>
          <cell r="C539" t="str">
            <v>I</v>
          </cell>
          <cell r="D539">
            <v>4</v>
          </cell>
          <cell r="E539" t="str">
            <v>CV</v>
          </cell>
          <cell r="F539" t="str">
            <v>B_</v>
          </cell>
          <cell r="H539" t="str">
            <v>I4-CV-B_</v>
          </cell>
          <cell r="I539" t="str">
            <v>E-Installation: Smart Units</v>
          </cell>
          <cell r="Q539" t="str">
            <v>EXT</v>
          </cell>
          <cell r="R539" t="str">
            <v>Placeholder</v>
          </cell>
          <cell r="U539" t="str">
            <v>PC</v>
          </cell>
          <cell r="W539">
            <v>1</v>
          </cell>
          <cell r="X539" t="str">
            <v>USD</v>
          </cell>
          <cell r="Z539">
            <v>0</v>
          </cell>
          <cell r="AA539">
            <v>0</v>
          </cell>
          <cell r="AC539">
            <v>0</v>
          </cell>
          <cell r="AD539">
            <v>0</v>
          </cell>
          <cell r="AF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P539" t="str">
            <v>X</v>
          </cell>
          <cell r="AQ539" t="str">
            <v>CF.12</v>
          </cell>
        </row>
        <row r="540">
          <cell r="B540" t="str">
            <v>Installation</v>
          </cell>
          <cell r="C540" t="str">
            <v>I</v>
          </cell>
          <cell r="D540">
            <v>4</v>
          </cell>
          <cell r="E540" t="str">
            <v>CU</v>
          </cell>
          <cell r="F540" t="str">
            <v>I_</v>
          </cell>
          <cell r="G540" t="str">
            <v>CB</v>
          </cell>
          <cell r="H540" t="str">
            <v>I4-CU-I_-CB</v>
          </cell>
          <cell r="I540" t="str">
            <v>E-Installation: LP PLC Panel</v>
          </cell>
          <cell r="Q540" t="str">
            <v>EXT</v>
          </cell>
          <cell r="R540" t="str">
            <v>Placeholder</v>
          </cell>
          <cell r="U540" t="str">
            <v>PC</v>
          </cell>
          <cell r="W540">
            <v>1</v>
          </cell>
          <cell r="X540" t="str">
            <v>USD</v>
          </cell>
          <cell r="Z540">
            <v>0</v>
          </cell>
          <cell r="AA540">
            <v>0</v>
          </cell>
          <cell r="AC540">
            <v>0</v>
          </cell>
          <cell r="AD540">
            <v>0</v>
          </cell>
          <cell r="AF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P540" t="str">
            <v>X</v>
          </cell>
          <cell r="AQ540" t="str">
            <v>CF.12</v>
          </cell>
        </row>
        <row r="541">
          <cell r="B541" t="str">
            <v>Installation</v>
          </cell>
          <cell r="C541" t="str">
            <v>I</v>
          </cell>
          <cell r="D541">
            <v>4</v>
          </cell>
          <cell r="E541" t="str">
            <v>CU</v>
          </cell>
          <cell r="F541" t="str">
            <v>I_</v>
          </cell>
          <cell r="G541" t="str">
            <v>CC</v>
          </cell>
          <cell r="H541" t="str">
            <v>I4-CU-I_-CC</v>
          </cell>
          <cell r="I541" t="str">
            <v>E-Installation: Field Control Panel PM</v>
          </cell>
          <cell r="Q541" t="str">
            <v>EXT</v>
          </cell>
          <cell r="R541" t="str">
            <v>Placeholder</v>
          </cell>
          <cell r="U541" t="str">
            <v>PC</v>
          </cell>
          <cell r="W541">
            <v>1</v>
          </cell>
          <cell r="X541" t="str">
            <v>USD</v>
          </cell>
          <cell r="Z541">
            <v>0</v>
          </cell>
          <cell r="AA541">
            <v>0</v>
          </cell>
          <cell r="AC541">
            <v>0</v>
          </cell>
          <cell r="AD541">
            <v>0</v>
          </cell>
          <cell r="AF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P541" t="str">
            <v>X</v>
          </cell>
          <cell r="AQ541" t="str">
            <v>CF.12</v>
          </cell>
        </row>
        <row r="542">
          <cell r="B542" t="str">
            <v>Installation</v>
          </cell>
          <cell r="C542" t="str">
            <v>I</v>
          </cell>
          <cell r="D542">
            <v>4</v>
          </cell>
          <cell r="E542" t="str">
            <v>CV</v>
          </cell>
          <cell r="F542" t="str">
            <v>I_</v>
          </cell>
          <cell r="H542" t="str">
            <v>I4-CV-I_</v>
          </cell>
          <cell r="I542" t="str">
            <v>E-Installation: Smart Units</v>
          </cell>
          <cell r="Q542" t="str">
            <v>EXT</v>
          </cell>
          <cell r="R542" t="str">
            <v>Placeholder</v>
          </cell>
          <cell r="U542" t="str">
            <v>PC</v>
          </cell>
          <cell r="W542">
            <v>1</v>
          </cell>
          <cell r="X542" t="str">
            <v>USD</v>
          </cell>
          <cell r="Z542">
            <v>0</v>
          </cell>
          <cell r="AA542">
            <v>0</v>
          </cell>
          <cell r="AC542">
            <v>0</v>
          </cell>
          <cell r="AD542">
            <v>0</v>
          </cell>
          <cell r="AF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P542" t="str">
            <v>X</v>
          </cell>
          <cell r="AQ542" t="str">
            <v>CF.12</v>
          </cell>
        </row>
        <row r="543">
          <cell r="B543" t="str">
            <v>Installation</v>
          </cell>
          <cell r="C543" t="str">
            <v>I</v>
          </cell>
          <cell r="D543">
            <v>4</v>
          </cell>
          <cell r="E543" t="str">
            <v>CU</v>
          </cell>
          <cell r="F543" t="str">
            <v>E_</v>
          </cell>
          <cell r="G543" t="str">
            <v>CB</v>
          </cell>
          <cell r="H543" t="str">
            <v>04-CU-E_-CB</v>
          </cell>
          <cell r="I543" t="str">
            <v>E-Installation: LP PLC Panel</v>
          </cell>
          <cell r="Q543" t="str">
            <v>EXT</v>
          </cell>
          <cell r="R543" t="str">
            <v>Placeholder</v>
          </cell>
          <cell r="U543" t="str">
            <v>PC</v>
          </cell>
          <cell r="W543">
            <v>1</v>
          </cell>
          <cell r="X543" t="str">
            <v>USD</v>
          </cell>
          <cell r="Z543">
            <v>0</v>
          </cell>
          <cell r="AA543">
            <v>0</v>
          </cell>
          <cell r="AC543">
            <v>0</v>
          </cell>
          <cell r="AD543">
            <v>0</v>
          </cell>
          <cell r="AF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P543" t="str">
            <v>X</v>
          </cell>
          <cell r="AQ543" t="str">
            <v>CF.12</v>
          </cell>
        </row>
        <row r="544">
          <cell r="B544" t="str">
            <v>Installation</v>
          </cell>
          <cell r="C544" t="str">
            <v>I</v>
          </cell>
          <cell r="D544">
            <v>4</v>
          </cell>
          <cell r="E544" t="str">
            <v>CU</v>
          </cell>
          <cell r="F544" t="str">
            <v>E_</v>
          </cell>
          <cell r="G544" t="str">
            <v>CL</v>
          </cell>
          <cell r="H544" t="str">
            <v>04-CU-E_-CL</v>
          </cell>
          <cell r="I544" t="str">
            <v>E-Installation: Lift Control Board</v>
          </cell>
          <cell r="Q544" t="str">
            <v>EXT</v>
          </cell>
          <cell r="R544" t="str">
            <v>Placeholder</v>
          </cell>
          <cell r="U544" t="str">
            <v>PC</v>
          </cell>
          <cell r="W544">
            <v>1</v>
          </cell>
          <cell r="X544" t="str">
            <v>USD</v>
          </cell>
          <cell r="Z544">
            <v>0</v>
          </cell>
          <cell r="AA544">
            <v>0</v>
          </cell>
          <cell r="AC544">
            <v>0</v>
          </cell>
          <cell r="AD544">
            <v>0</v>
          </cell>
          <cell r="AF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P544" t="str">
            <v>X</v>
          </cell>
          <cell r="AQ544" t="str">
            <v>CF.12</v>
          </cell>
        </row>
        <row r="545">
          <cell r="B545" t="str">
            <v/>
          </cell>
          <cell r="H545" t="str">
            <v>--</v>
          </cell>
          <cell r="Q545" t="str">
            <v>EXT</v>
          </cell>
          <cell r="R545" t="str">
            <v>Placeholder</v>
          </cell>
          <cell r="W545">
            <v>1</v>
          </cell>
          <cell r="X545" t="str">
            <v>USD</v>
          </cell>
          <cell r="Z545">
            <v>0</v>
          </cell>
          <cell r="AA545">
            <v>0</v>
          </cell>
          <cell r="AC545">
            <v>0</v>
          </cell>
          <cell r="AD545">
            <v>0</v>
          </cell>
          <cell r="AF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P545" t="str">
            <v>X</v>
          </cell>
          <cell r="AQ545" t="str">
            <v/>
          </cell>
        </row>
        <row r="546">
          <cell r="B546" t="str">
            <v/>
          </cell>
          <cell r="H546" t="str">
            <v>--</v>
          </cell>
          <cell r="Q546" t="str">
            <v>EXT</v>
          </cell>
          <cell r="R546" t="str">
            <v>Placeholder</v>
          </cell>
          <cell r="W546">
            <v>1</v>
          </cell>
          <cell r="X546" t="str">
            <v>USD</v>
          </cell>
          <cell r="Z546">
            <v>0</v>
          </cell>
          <cell r="AA546">
            <v>0</v>
          </cell>
          <cell r="AC546">
            <v>0</v>
          </cell>
          <cell r="AD546">
            <v>0</v>
          </cell>
          <cell r="AF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P546" t="str">
            <v>X</v>
          </cell>
          <cell r="AQ546" t="str">
            <v/>
          </cell>
        </row>
        <row r="547">
          <cell r="I547" t="str">
            <v>13.5 Emergency Stop System</v>
          </cell>
        </row>
        <row r="548">
          <cell r="B548" t="str">
            <v>Installation</v>
          </cell>
          <cell r="C548" t="str">
            <v>I</v>
          </cell>
          <cell r="D548">
            <v>4</v>
          </cell>
          <cell r="E548" t="str">
            <v>EU</v>
          </cell>
          <cell r="F548" t="str">
            <v>O_</v>
          </cell>
          <cell r="G548" t="str">
            <v>CB</v>
          </cell>
          <cell r="H548" t="str">
            <v>04-EU-O_-CB</v>
          </cell>
          <cell r="I548" t="str">
            <v>E-Installation: Central Control Panel (EP)</v>
          </cell>
          <cell r="Q548" t="str">
            <v>EXT</v>
          </cell>
          <cell r="R548" t="str">
            <v>Placeholder</v>
          </cell>
          <cell r="U548" t="str">
            <v>PC</v>
          </cell>
          <cell r="W548">
            <v>1</v>
          </cell>
          <cell r="X548" t="str">
            <v>USD</v>
          </cell>
          <cell r="Z548">
            <v>0</v>
          </cell>
          <cell r="AA548">
            <v>0</v>
          </cell>
          <cell r="AC548">
            <v>0</v>
          </cell>
          <cell r="AD548">
            <v>0</v>
          </cell>
          <cell r="AF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P548" t="str">
            <v>X</v>
          </cell>
          <cell r="AQ548" t="str">
            <v>CF.12</v>
          </cell>
        </row>
        <row r="549">
          <cell r="B549" t="str">
            <v>Installation</v>
          </cell>
          <cell r="C549" t="str">
            <v>I</v>
          </cell>
          <cell r="D549">
            <v>4</v>
          </cell>
          <cell r="E549" t="str">
            <v>EU</v>
          </cell>
          <cell r="F549" t="str">
            <v>O_</v>
          </cell>
          <cell r="G549" t="str">
            <v>CH</v>
          </cell>
          <cell r="H549" t="str">
            <v>04-EU-O_-CH</v>
          </cell>
          <cell r="I549" t="str">
            <v>E-Installation: Field Panel (EB)</v>
          </cell>
          <cell r="Q549" t="str">
            <v>EXT</v>
          </cell>
          <cell r="R549" t="str">
            <v>Placeholder</v>
          </cell>
          <cell r="U549" t="str">
            <v>PC</v>
          </cell>
          <cell r="W549">
            <v>1</v>
          </cell>
          <cell r="X549" t="str">
            <v>USD</v>
          </cell>
          <cell r="Z549">
            <v>0</v>
          </cell>
          <cell r="AA549">
            <v>0</v>
          </cell>
          <cell r="AC549">
            <v>0</v>
          </cell>
          <cell r="AD549">
            <v>0</v>
          </cell>
          <cell r="AF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P549" t="str">
            <v>X</v>
          </cell>
          <cell r="AQ549" t="str">
            <v>CF.12</v>
          </cell>
        </row>
        <row r="550">
          <cell r="B550" t="str">
            <v>Installation</v>
          </cell>
          <cell r="C550" t="str">
            <v>I</v>
          </cell>
          <cell r="D550">
            <v>4</v>
          </cell>
          <cell r="E550" t="str">
            <v>EC</v>
          </cell>
          <cell r="F550" t="str">
            <v>O_</v>
          </cell>
          <cell r="G550" t="str">
            <v>SJ</v>
          </cell>
          <cell r="H550" t="str">
            <v>04-EC-O_-SJ</v>
          </cell>
          <cell r="I550" t="str">
            <v>E-Installation: Control Stations (CS)</v>
          </cell>
          <cell r="Q550" t="str">
            <v>EXT</v>
          </cell>
          <cell r="R550" t="str">
            <v>Placeholder</v>
          </cell>
          <cell r="U550" t="str">
            <v>PC</v>
          </cell>
          <cell r="W550">
            <v>1</v>
          </cell>
          <cell r="X550" t="str">
            <v>USD</v>
          </cell>
          <cell r="Z550">
            <v>0</v>
          </cell>
          <cell r="AA550">
            <v>0</v>
          </cell>
          <cell r="AC550">
            <v>0</v>
          </cell>
          <cell r="AD550">
            <v>0</v>
          </cell>
          <cell r="AF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P550" t="str">
            <v>X</v>
          </cell>
          <cell r="AQ550" t="str">
            <v>CF.12</v>
          </cell>
        </row>
        <row r="551">
          <cell r="B551" t="str">
            <v>Installation</v>
          </cell>
          <cell r="C551" t="str">
            <v>I</v>
          </cell>
          <cell r="D551">
            <v>4</v>
          </cell>
          <cell r="E551" t="str">
            <v>EC</v>
          </cell>
          <cell r="F551" t="str">
            <v>O_</v>
          </cell>
          <cell r="G551" t="str">
            <v>SP</v>
          </cell>
          <cell r="H551" t="str">
            <v>04-EC-O_-SP</v>
          </cell>
          <cell r="I551" t="str">
            <v>E-Installation: Light Beacons / Tower Lamps (LB)</v>
          </cell>
          <cell r="Q551" t="str">
            <v>EXT</v>
          </cell>
          <cell r="R551" t="str">
            <v>Placeholder</v>
          </cell>
          <cell r="U551" t="str">
            <v>PC</v>
          </cell>
          <cell r="W551">
            <v>1</v>
          </cell>
          <cell r="X551" t="str">
            <v>USD</v>
          </cell>
          <cell r="Z551">
            <v>0</v>
          </cell>
          <cell r="AA551">
            <v>0</v>
          </cell>
          <cell r="AC551">
            <v>0</v>
          </cell>
          <cell r="AD551">
            <v>0</v>
          </cell>
          <cell r="AF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P551" t="str">
            <v>X</v>
          </cell>
          <cell r="AQ551" t="str">
            <v>CF.12</v>
          </cell>
        </row>
        <row r="552">
          <cell r="B552" t="str">
            <v/>
          </cell>
          <cell r="H552" t="str">
            <v>--</v>
          </cell>
          <cell r="Q552" t="str">
            <v>EXT</v>
          </cell>
          <cell r="R552" t="str">
            <v>Placeholder</v>
          </cell>
          <cell r="W552">
            <v>1</v>
          </cell>
          <cell r="X552" t="str">
            <v>USD</v>
          </cell>
          <cell r="Z552">
            <v>0</v>
          </cell>
          <cell r="AA552">
            <v>0</v>
          </cell>
          <cell r="AC552">
            <v>0</v>
          </cell>
          <cell r="AD552">
            <v>0</v>
          </cell>
          <cell r="AF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P552" t="str">
            <v>X</v>
          </cell>
          <cell r="AQ552" t="str">
            <v/>
          </cell>
        </row>
        <row r="553">
          <cell r="B553" t="str">
            <v/>
          </cell>
          <cell r="H553" t="str">
            <v>--</v>
          </cell>
          <cell r="Q553" t="str">
            <v>EXT</v>
          </cell>
          <cell r="R553" t="str">
            <v>Placeholder</v>
          </cell>
          <cell r="W553">
            <v>1</v>
          </cell>
          <cell r="X553" t="str">
            <v>USD</v>
          </cell>
          <cell r="Z553">
            <v>0</v>
          </cell>
          <cell r="AA553">
            <v>0</v>
          </cell>
          <cell r="AC553">
            <v>0</v>
          </cell>
          <cell r="AD553">
            <v>0</v>
          </cell>
          <cell r="AF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P553" t="str">
            <v>X</v>
          </cell>
          <cell r="AQ553" t="str">
            <v/>
          </cell>
        </row>
        <row r="554">
          <cell r="I554" t="str">
            <v>13.6 Cable Supporting System</v>
          </cell>
        </row>
        <row r="555">
          <cell r="B555" t="str">
            <v>Installation</v>
          </cell>
          <cell r="C555" t="str">
            <v>I</v>
          </cell>
          <cell r="D555">
            <v>4</v>
          </cell>
          <cell r="E555" t="str">
            <v>CL</v>
          </cell>
          <cell r="F555" t="str">
            <v>O_</v>
          </cell>
          <cell r="G555" t="str">
            <v>CB</v>
          </cell>
          <cell r="H555" t="str">
            <v>04-EU-O_-CB</v>
          </cell>
          <cell r="I555" t="str">
            <v>E-Installation: Cable Tray Cable Rack, Cable Trunking, Cable Ladder, Conduit</v>
          </cell>
          <cell r="Q555" t="str">
            <v>EXT</v>
          </cell>
          <cell r="R555" t="str">
            <v>Placeholder</v>
          </cell>
          <cell r="U555" t="str">
            <v>PC</v>
          </cell>
          <cell r="W555">
            <v>1</v>
          </cell>
          <cell r="X555" t="str">
            <v>USD</v>
          </cell>
          <cell r="Z555">
            <v>0</v>
          </cell>
          <cell r="AA555">
            <v>0</v>
          </cell>
          <cell r="AC555">
            <v>0</v>
          </cell>
          <cell r="AD555">
            <v>0</v>
          </cell>
          <cell r="AF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P555" t="str">
            <v>X</v>
          </cell>
          <cell r="AQ555" t="str">
            <v>CF.12</v>
          </cell>
        </row>
        <row r="556">
          <cell r="B556" t="str">
            <v/>
          </cell>
          <cell r="H556" t="str">
            <v>--</v>
          </cell>
          <cell r="Q556" t="str">
            <v>EXT</v>
          </cell>
          <cell r="R556" t="str">
            <v>Placeholder</v>
          </cell>
          <cell r="W556">
            <v>1</v>
          </cell>
          <cell r="X556" t="str">
            <v>USD</v>
          </cell>
          <cell r="Z556">
            <v>0</v>
          </cell>
          <cell r="AA556">
            <v>0</v>
          </cell>
          <cell r="AC556">
            <v>0</v>
          </cell>
          <cell r="AD556">
            <v>0</v>
          </cell>
          <cell r="AF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P556" t="str">
            <v>X</v>
          </cell>
          <cell r="AQ556" t="str">
            <v/>
          </cell>
        </row>
        <row r="557">
          <cell r="B557" t="str">
            <v/>
          </cell>
          <cell r="H557" t="str">
            <v>--</v>
          </cell>
          <cell r="Q557" t="str">
            <v>EXT</v>
          </cell>
          <cell r="R557" t="str">
            <v>Placeholder</v>
          </cell>
          <cell r="W557">
            <v>1</v>
          </cell>
          <cell r="X557" t="str">
            <v>USD</v>
          </cell>
          <cell r="Z557">
            <v>0</v>
          </cell>
          <cell r="AA557">
            <v>0</v>
          </cell>
          <cell r="AC557">
            <v>0</v>
          </cell>
          <cell r="AD557">
            <v>0</v>
          </cell>
          <cell r="AF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P557" t="str">
            <v>X</v>
          </cell>
          <cell r="AQ557" t="str">
            <v/>
          </cell>
        </row>
        <row r="558">
          <cell r="I558" t="str">
            <v>13.6 Power and Control Cable</v>
          </cell>
        </row>
        <row r="559">
          <cell r="B559" t="str">
            <v>Installation</v>
          </cell>
          <cell r="C559" t="str">
            <v>I</v>
          </cell>
          <cell r="D559">
            <v>4</v>
          </cell>
          <cell r="E559" t="str">
            <v>CW</v>
          </cell>
          <cell r="F559" t="str">
            <v>O_</v>
          </cell>
          <cell r="G559" t="str">
            <v>DB</v>
          </cell>
          <cell r="H559" t="str">
            <v>I4-CW-O_-DB</v>
          </cell>
          <cell r="I559" t="str">
            <v>E-Installation: Low Voltage Power Cable</v>
          </cell>
          <cell r="Q559" t="str">
            <v>EXT</v>
          </cell>
          <cell r="R559" t="str">
            <v>Placeholder</v>
          </cell>
          <cell r="U559" t="str">
            <v>MT</v>
          </cell>
          <cell r="W559">
            <v>1</v>
          </cell>
          <cell r="X559" t="str">
            <v>USD</v>
          </cell>
          <cell r="Z559">
            <v>0</v>
          </cell>
          <cell r="AA559">
            <v>0</v>
          </cell>
          <cell r="AC559">
            <v>0</v>
          </cell>
          <cell r="AD559">
            <v>0</v>
          </cell>
          <cell r="AF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P559" t="str">
            <v>X</v>
          </cell>
          <cell r="AQ559" t="str">
            <v>CF.12</v>
          </cell>
        </row>
        <row r="560">
          <cell r="B560" t="str">
            <v>Installation</v>
          </cell>
          <cell r="C560" t="str">
            <v>I</v>
          </cell>
          <cell r="D560">
            <v>4</v>
          </cell>
          <cell r="E560" t="str">
            <v>CW</v>
          </cell>
          <cell r="F560" t="str">
            <v>O_</v>
          </cell>
          <cell r="G560" t="str">
            <v>EB</v>
          </cell>
          <cell r="H560" t="str">
            <v>I4-CW-O_-EB</v>
          </cell>
          <cell r="I560" t="str">
            <v>E-Installation: Earthing Cable</v>
          </cell>
          <cell r="Q560" t="str">
            <v>EXT</v>
          </cell>
          <cell r="R560" t="str">
            <v>Placeholder</v>
          </cell>
          <cell r="U560" t="str">
            <v>MT</v>
          </cell>
          <cell r="W560">
            <v>1</v>
          </cell>
          <cell r="X560" t="str">
            <v>USD</v>
          </cell>
          <cell r="Z560">
            <v>0</v>
          </cell>
          <cell r="AA560">
            <v>0</v>
          </cell>
          <cell r="AC560">
            <v>0</v>
          </cell>
          <cell r="AD560">
            <v>0</v>
          </cell>
          <cell r="AF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P560" t="str">
            <v>X</v>
          </cell>
          <cell r="AQ560" t="str">
            <v>CF.12</v>
          </cell>
        </row>
        <row r="561">
          <cell r="B561" t="str">
            <v>Installation</v>
          </cell>
          <cell r="C561" t="str">
            <v>I</v>
          </cell>
          <cell r="D561">
            <v>4</v>
          </cell>
          <cell r="E561" t="str">
            <v>CW</v>
          </cell>
          <cell r="F561" t="str">
            <v>O_</v>
          </cell>
          <cell r="G561" t="str">
            <v>GA</v>
          </cell>
          <cell r="H561" t="str">
            <v>I4-CW-O_-GA</v>
          </cell>
          <cell r="I561" t="str">
            <v>E-Installation: Signal Cable, CU Control Cable</v>
          </cell>
          <cell r="Q561" t="str">
            <v>EXT</v>
          </cell>
          <cell r="R561" t="str">
            <v>Placeholder</v>
          </cell>
          <cell r="U561" t="str">
            <v>MT</v>
          </cell>
          <cell r="W561">
            <v>1</v>
          </cell>
          <cell r="X561" t="str">
            <v>USD</v>
          </cell>
          <cell r="Z561">
            <v>0</v>
          </cell>
          <cell r="AA561">
            <v>0</v>
          </cell>
          <cell r="AC561">
            <v>0</v>
          </cell>
          <cell r="AD561">
            <v>0</v>
          </cell>
          <cell r="AF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P561" t="str">
            <v>X</v>
          </cell>
          <cell r="AQ561" t="str">
            <v>CF.12</v>
          </cell>
        </row>
        <row r="562">
          <cell r="B562" t="str">
            <v>Installation</v>
          </cell>
          <cell r="C562" t="str">
            <v>I</v>
          </cell>
          <cell r="D562">
            <v>4</v>
          </cell>
          <cell r="E562" t="str">
            <v>CW</v>
          </cell>
          <cell r="F562" t="str">
            <v>O_</v>
          </cell>
          <cell r="G562" t="str">
            <v>GB</v>
          </cell>
          <cell r="H562" t="str">
            <v>I4-CW-O_-GB</v>
          </cell>
          <cell r="I562" t="str">
            <v>E-Installation: Signal Cable, CU Data Cable</v>
          </cell>
          <cell r="Q562" t="str">
            <v>EXT</v>
          </cell>
          <cell r="R562" t="str">
            <v>Placeholder</v>
          </cell>
          <cell r="U562" t="str">
            <v>MT</v>
          </cell>
          <cell r="W562">
            <v>1</v>
          </cell>
          <cell r="X562" t="str">
            <v>USD</v>
          </cell>
          <cell r="Z562">
            <v>0</v>
          </cell>
          <cell r="AA562">
            <v>0</v>
          </cell>
          <cell r="AC562">
            <v>0</v>
          </cell>
          <cell r="AD562">
            <v>0</v>
          </cell>
          <cell r="AF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P562" t="str">
            <v>X</v>
          </cell>
          <cell r="AQ562" t="str">
            <v>CF.12</v>
          </cell>
        </row>
        <row r="563">
          <cell r="B563" t="str">
            <v>Installation</v>
          </cell>
          <cell r="C563" t="str">
            <v>I</v>
          </cell>
          <cell r="D563">
            <v>4</v>
          </cell>
          <cell r="E563" t="str">
            <v>CW</v>
          </cell>
          <cell r="F563" t="str">
            <v>O_</v>
          </cell>
          <cell r="G563" t="str">
            <v>HA</v>
          </cell>
          <cell r="H563" t="str">
            <v>I4-CW-O_-HA</v>
          </cell>
          <cell r="I563" t="str">
            <v>E-Installation: Signal Cable, Optical Fibre Optical Cable</v>
          </cell>
          <cell r="Q563" t="str">
            <v>EXT</v>
          </cell>
          <cell r="R563" t="str">
            <v>Placeholder</v>
          </cell>
          <cell r="U563" t="str">
            <v>MT</v>
          </cell>
          <cell r="W563">
            <v>1</v>
          </cell>
          <cell r="X563" t="str">
            <v>USD</v>
          </cell>
          <cell r="Z563">
            <v>0</v>
          </cell>
          <cell r="AA563">
            <v>0</v>
          </cell>
          <cell r="AC563">
            <v>0</v>
          </cell>
          <cell r="AD563">
            <v>0</v>
          </cell>
          <cell r="AF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P563" t="str">
            <v>X</v>
          </cell>
          <cell r="AQ563" t="str">
            <v>CF.12</v>
          </cell>
        </row>
        <row r="564">
          <cell r="B564" t="str">
            <v/>
          </cell>
          <cell r="H564" t="str">
            <v>--</v>
          </cell>
          <cell r="Q564" t="str">
            <v>EXT</v>
          </cell>
          <cell r="R564" t="str">
            <v>Placeholder</v>
          </cell>
          <cell r="W564">
            <v>1</v>
          </cell>
          <cell r="X564" t="str">
            <v>USD</v>
          </cell>
          <cell r="Z564">
            <v>0</v>
          </cell>
          <cell r="AA564">
            <v>0</v>
          </cell>
          <cell r="AC564">
            <v>0</v>
          </cell>
          <cell r="AD564">
            <v>0</v>
          </cell>
          <cell r="AF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P564" t="str">
            <v>X</v>
          </cell>
          <cell r="AQ564" t="str">
            <v/>
          </cell>
        </row>
        <row r="565">
          <cell r="B565" t="str">
            <v/>
          </cell>
          <cell r="H565" t="str">
            <v>--</v>
          </cell>
          <cell r="Q565" t="str">
            <v>EXT</v>
          </cell>
          <cell r="R565" t="str">
            <v>Placeholder</v>
          </cell>
          <cell r="W565">
            <v>1</v>
          </cell>
          <cell r="X565" t="str">
            <v>USD</v>
          </cell>
          <cell r="Z565">
            <v>0</v>
          </cell>
          <cell r="AA565">
            <v>0</v>
          </cell>
          <cell r="AC565">
            <v>0</v>
          </cell>
          <cell r="AD565">
            <v>0</v>
          </cell>
          <cell r="AF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P565" t="str">
            <v>X</v>
          </cell>
          <cell r="AQ565" t="str">
            <v/>
          </cell>
        </row>
        <row r="566">
          <cell r="I566" t="str">
            <v>13.7 Static Commissioning</v>
          </cell>
        </row>
        <row r="567">
          <cell r="B567" t="str">
            <v>Installation</v>
          </cell>
          <cell r="C567" t="str">
            <v>I</v>
          </cell>
          <cell r="D567">
            <v>4</v>
          </cell>
          <cell r="E567" t="str">
            <v>CC</v>
          </cell>
          <cell r="F567" t="str">
            <v>CI</v>
          </cell>
          <cell r="G567" t="str">
            <v>T5</v>
          </cell>
          <cell r="H567" t="str">
            <v>I4-CC-CI-T5</v>
          </cell>
          <cell r="I567" t="str">
            <v>Pre-Commissioning: Belt-Conveyor "Check-In"</v>
          </cell>
          <cell r="Q567" t="str">
            <v>EXT</v>
          </cell>
          <cell r="R567" t="str">
            <v>Placeholder</v>
          </cell>
          <cell r="U567" t="str">
            <v>PC</v>
          </cell>
          <cell r="W567">
            <v>1</v>
          </cell>
          <cell r="X567" t="str">
            <v>USD</v>
          </cell>
          <cell r="Z567">
            <v>0</v>
          </cell>
          <cell r="AA567">
            <v>0</v>
          </cell>
          <cell r="AC567">
            <v>0</v>
          </cell>
          <cell r="AD567">
            <v>0</v>
          </cell>
          <cell r="AF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P567" t="str">
            <v>X</v>
          </cell>
          <cell r="AQ567" t="str">
            <v>CF.12</v>
          </cell>
        </row>
        <row r="568">
          <cell r="B568" t="str">
            <v>Installation</v>
          </cell>
          <cell r="C568" t="str">
            <v>I</v>
          </cell>
          <cell r="D568">
            <v>4</v>
          </cell>
          <cell r="E568" t="str">
            <v>CC</v>
          </cell>
          <cell r="F568" t="str">
            <v>B_</v>
          </cell>
          <cell r="G568" t="str">
            <v>T5</v>
          </cell>
          <cell r="H568" t="str">
            <v>I4-CC-B_-T5</v>
          </cell>
          <cell r="I568" t="str">
            <v>Pre-Commissioning: Belt-Conveyor</v>
          </cell>
          <cell r="Q568" t="str">
            <v>EXT</v>
          </cell>
          <cell r="R568" t="str">
            <v>Placeholder</v>
          </cell>
          <cell r="U568" t="str">
            <v>PC</v>
          </cell>
          <cell r="W568">
            <v>1</v>
          </cell>
          <cell r="X568" t="str">
            <v>USD</v>
          </cell>
          <cell r="Z568">
            <v>0</v>
          </cell>
          <cell r="AA568">
            <v>0</v>
          </cell>
          <cell r="AC568">
            <v>0</v>
          </cell>
          <cell r="AD568">
            <v>0</v>
          </cell>
          <cell r="AF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P568" t="str">
            <v>X</v>
          </cell>
          <cell r="AQ568" t="str">
            <v>CF.12</v>
          </cell>
        </row>
        <row r="569">
          <cell r="B569" t="str">
            <v>Installation</v>
          </cell>
          <cell r="C569" t="str">
            <v>I</v>
          </cell>
          <cell r="D569">
            <v>4</v>
          </cell>
          <cell r="E569" t="str">
            <v>CC</v>
          </cell>
          <cell r="F569" t="str">
            <v>I_</v>
          </cell>
          <cell r="G569" t="str">
            <v>T5</v>
          </cell>
          <cell r="H569" t="str">
            <v>I4-CC-I_-T5</v>
          </cell>
          <cell r="I569" t="str">
            <v>Pre-Commissioning: Tray-Conveyor</v>
          </cell>
          <cell r="Q569" t="str">
            <v>EXT</v>
          </cell>
          <cell r="R569" t="str">
            <v>Placeholder</v>
          </cell>
          <cell r="U569" t="str">
            <v>PC</v>
          </cell>
          <cell r="W569">
            <v>1</v>
          </cell>
          <cell r="X569" t="str">
            <v>USD</v>
          </cell>
          <cell r="Z569">
            <v>0</v>
          </cell>
          <cell r="AA569">
            <v>0</v>
          </cell>
          <cell r="AC569">
            <v>0</v>
          </cell>
          <cell r="AD569">
            <v>0</v>
          </cell>
          <cell r="AF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P569" t="str">
            <v>X</v>
          </cell>
          <cell r="AQ569" t="str">
            <v>CF.12</v>
          </cell>
        </row>
        <row r="570">
          <cell r="B570" t="str">
            <v>Installation</v>
          </cell>
          <cell r="C570" t="str">
            <v>I</v>
          </cell>
          <cell r="D570">
            <v>4</v>
          </cell>
          <cell r="E570" t="str">
            <v>CC</v>
          </cell>
          <cell r="F570" t="str">
            <v>E_</v>
          </cell>
          <cell r="G570" t="str">
            <v>T5</v>
          </cell>
          <cell r="H570" t="str">
            <v>I4-CC-E_-T5</v>
          </cell>
          <cell r="I570" t="str">
            <v>Pre-Commissioning: Early Bag Storage</v>
          </cell>
          <cell r="Q570" t="str">
            <v>EXT</v>
          </cell>
          <cell r="R570" t="str">
            <v>Placeholder</v>
          </cell>
          <cell r="U570" t="str">
            <v>PC</v>
          </cell>
          <cell r="W570">
            <v>1</v>
          </cell>
          <cell r="X570" t="str">
            <v>USD</v>
          </cell>
          <cell r="Z570">
            <v>0</v>
          </cell>
          <cell r="AA570">
            <v>0</v>
          </cell>
          <cell r="AC570">
            <v>0</v>
          </cell>
          <cell r="AD570">
            <v>0</v>
          </cell>
          <cell r="AF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P570" t="str">
            <v>X</v>
          </cell>
          <cell r="AQ570" t="str">
            <v>CF.12</v>
          </cell>
        </row>
        <row r="571">
          <cell r="B571" t="str">
            <v/>
          </cell>
          <cell r="H571" t="str">
            <v>--</v>
          </cell>
          <cell r="Q571" t="str">
            <v>EXT</v>
          </cell>
          <cell r="R571" t="str">
            <v>Placeholder</v>
          </cell>
          <cell r="W571">
            <v>1</v>
          </cell>
          <cell r="X571" t="str">
            <v>USD</v>
          </cell>
          <cell r="Z571">
            <v>0</v>
          </cell>
          <cell r="AA571">
            <v>0</v>
          </cell>
          <cell r="AC571">
            <v>0</v>
          </cell>
          <cell r="AD571">
            <v>0</v>
          </cell>
          <cell r="AF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P571" t="str">
            <v>X</v>
          </cell>
          <cell r="AQ571" t="str">
            <v/>
          </cell>
        </row>
        <row r="572">
          <cell r="B572" t="str">
            <v/>
          </cell>
          <cell r="H572" t="str">
            <v>--</v>
          </cell>
          <cell r="Q572" t="str">
            <v>EXT</v>
          </cell>
          <cell r="R572" t="str">
            <v>Placeholder</v>
          </cell>
          <cell r="W572">
            <v>1</v>
          </cell>
          <cell r="X572" t="str">
            <v>USD</v>
          </cell>
          <cell r="Z572">
            <v>0</v>
          </cell>
          <cell r="AA572">
            <v>0</v>
          </cell>
          <cell r="AC572">
            <v>0</v>
          </cell>
          <cell r="AD572">
            <v>0</v>
          </cell>
          <cell r="AF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P572" t="str">
            <v>X</v>
          </cell>
          <cell r="AQ572" t="str">
            <v/>
          </cell>
        </row>
        <row r="573">
          <cell r="I573" t="str">
            <v>13.8 Electrical Installation Infrastucture</v>
          </cell>
        </row>
        <row r="574">
          <cell r="B574" t="str">
            <v>Installation</v>
          </cell>
          <cell r="C574" t="str">
            <v>I</v>
          </cell>
          <cell r="D574">
            <v>4</v>
          </cell>
          <cell r="E574" t="str">
            <v>FO</v>
          </cell>
          <cell r="F574" t="str">
            <v>O_</v>
          </cell>
          <cell r="G574" t="str">
            <v>4C</v>
          </cell>
          <cell r="H574" t="str">
            <v>I4-FO-O_-4C</v>
          </cell>
          <cell r="I574" t="str">
            <v>Electrical Installation Infrastucture: Site Management Container</v>
          </cell>
          <cell r="Q574" t="str">
            <v>EXT</v>
          </cell>
          <cell r="R574" t="str">
            <v>Placeholder</v>
          </cell>
          <cell r="U574" t="str">
            <v>MO</v>
          </cell>
          <cell r="W574">
            <v>1</v>
          </cell>
          <cell r="X574" t="str">
            <v>USD</v>
          </cell>
          <cell r="Z574">
            <v>0</v>
          </cell>
          <cell r="AA574">
            <v>0</v>
          </cell>
          <cell r="AC574">
            <v>0</v>
          </cell>
          <cell r="AD574">
            <v>0</v>
          </cell>
          <cell r="AF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P574" t="str">
            <v>X</v>
          </cell>
          <cell r="AQ574" t="str">
            <v>CF.12</v>
          </cell>
        </row>
        <row r="575">
          <cell r="B575" t="str">
            <v>Installation</v>
          </cell>
          <cell r="C575" t="str">
            <v>I</v>
          </cell>
          <cell r="D575">
            <v>4</v>
          </cell>
          <cell r="E575" t="str">
            <v>FO</v>
          </cell>
          <cell r="F575" t="str">
            <v>O_</v>
          </cell>
          <cell r="G575" t="str">
            <v>4C</v>
          </cell>
          <cell r="H575" t="str">
            <v>I4-FO-O_-4C</v>
          </cell>
          <cell r="I575" t="str">
            <v>Electrical Installation Infrastucture: Staff Container</v>
          </cell>
          <cell r="Q575" t="str">
            <v>EXT</v>
          </cell>
          <cell r="R575" t="str">
            <v>Placeholder</v>
          </cell>
          <cell r="U575" t="str">
            <v>MO</v>
          </cell>
          <cell r="W575">
            <v>1</v>
          </cell>
          <cell r="X575" t="str">
            <v>USD</v>
          </cell>
          <cell r="Z575">
            <v>0</v>
          </cell>
          <cell r="AA575">
            <v>0</v>
          </cell>
          <cell r="AC575">
            <v>0</v>
          </cell>
          <cell r="AD575">
            <v>0</v>
          </cell>
          <cell r="AF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P575" t="str">
            <v>X</v>
          </cell>
          <cell r="AQ575" t="str">
            <v>CF.12</v>
          </cell>
        </row>
        <row r="576">
          <cell r="B576" t="str">
            <v>Installation</v>
          </cell>
          <cell r="C576" t="str">
            <v>I</v>
          </cell>
          <cell r="D576">
            <v>4</v>
          </cell>
          <cell r="E576" t="str">
            <v>FO</v>
          </cell>
          <cell r="F576" t="str">
            <v>O_</v>
          </cell>
          <cell r="G576" t="str">
            <v>4C</v>
          </cell>
          <cell r="H576" t="str">
            <v>I4-FO-O_-4C</v>
          </cell>
          <cell r="I576" t="str">
            <v>Electrical Installation Infrastucture: Material Container</v>
          </cell>
          <cell r="Q576" t="str">
            <v>EXT</v>
          </cell>
          <cell r="R576" t="str">
            <v>Placeholder</v>
          </cell>
          <cell r="U576" t="str">
            <v>MO</v>
          </cell>
          <cell r="W576">
            <v>1</v>
          </cell>
          <cell r="X576" t="str">
            <v>USD</v>
          </cell>
          <cell r="Z576">
            <v>0</v>
          </cell>
          <cell r="AA576">
            <v>0</v>
          </cell>
          <cell r="AC576">
            <v>0</v>
          </cell>
          <cell r="AD576">
            <v>0</v>
          </cell>
          <cell r="AF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P576" t="str">
            <v>X</v>
          </cell>
          <cell r="AQ576" t="str">
            <v>CF.12</v>
          </cell>
        </row>
        <row r="577">
          <cell r="B577" t="str">
            <v>Installation</v>
          </cell>
          <cell r="C577" t="str">
            <v>I</v>
          </cell>
          <cell r="D577">
            <v>4</v>
          </cell>
          <cell r="E577" t="str">
            <v>FO</v>
          </cell>
          <cell r="F577" t="str">
            <v>O_</v>
          </cell>
          <cell r="G577" t="str">
            <v>4C</v>
          </cell>
          <cell r="H577" t="str">
            <v>I4-FO-O_-4C</v>
          </cell>
          <cell r="I577" t="str">
            <v>Electrical Installation Infrastucture: Restroom Container</v>
          </cell>
          <cell r="Q577" t="str">
            <v>EXT</v>
          </cell>
          <cell r="R577" t="str">
            <v>Placeholder</v>
          </cell>
          <cell r="U577" t="str">
            <v>MO</v>
          </cell>
          <cell r="W577">
            <v>1</v>
          </cell>
          <cell r="X577" t="str">
            <v>USD</v>
          </cell>
          <cell r="Z577">
            <v>0</v>
          </cell>
          <cell r="AA577">
            <v>0</v>
          </cell>
          <cell r="AC577">
            <v>0</v>
          </cell>
          <cell r="AD577">
            <v>0</v>
          </cell>
          <cell r="AF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P577" t="str">
            <v>X</v>
          </cell>
          <cell r="AQ577" t="str">
            <v>CF.12</v>
          </cell>
        </row>
        <row r="578">
          <cell r="B578" t="str">
            <v>Installation</v>
          </cell>
          <cell r="C578" t="str">
            <v>I</v>
          </cell>
          <cell r="D578">
            <v>4</v>
          </cell>
          <cell r="E578" t="str">
            <v>FI</v>
          </cell>
          <cell r="F578" t="str">
            <v>O_</v>
          </cell>
          <cell r="G578" t="str">
            <v>1M</v>
          </cell>
          <cell r="H578" t="str">
            <v>I4-FI-O_-1M</v>
          </cell>
          <cell r="I578" t="str">
            <v>Electrical Installation Infrastucture: Hydraulic Lift</v>
          </cell>
          <cell r="Q578" t="str">
            <v>EXT</v>
          </cell>
          <cell r="R578" t="str">
            <v>Placeholder</v>
          </cell>
          <cell r="U578" t="str">
            <v>MO</v>
          </cell>
          <cell r="W578">
            <v>1</v>
          </cell>
          <cell r="X578" t="str">
            <v>USD</v>
          </cell>
          <cell r="Z578">
            <v>0</v>
          </cell>
          <cell r="AA578">
            <v>0</v>
          </cell>
          <cell r="AC578">
            <v>0</v>
          </cell>
          <cell r="AD578">
            <v>0</v>
          </cell>
          <cell r="AF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P578" t="str">
            <v>X</v>
          </cell>
          <cell r="AQ578" t="str">
            <v>CF.12</v>
          </cell>
        </row>
        <row r="579">
          <cell r="B579" t="str">
            <v>Installation</v>
          </cell>
          <cell r="C579" t="str">
            <v>I</v>
          </cell>
          <cell r="D579">
            <v>4</v>
          </cell>
          <cell r="E579" t="str">
            <v>FI</v>
          </cell>
          <cell r="F579" t="str">
            <v>O_</v>
          </cell>
          <cell r="G579" t="str">
            <v>1N</v>
          </cell>
          <cell r="H579" t="str">
            <v>I4-FI-O_-1N</v>
          </cell>
          <cell r="I579" t="str">
            <v>Electrical Installation Infrastucture: Mobile Elevated Work Platform (Cherry Picker)</v>
          </cell>
          <cell r="Q579" t="str">
            <v>EXT</v>
          </cell>
          <cell r="R579" t="str">
            <v>Placeholder</v>
          </cell>
          <cell r="U579" t="str">
            <v>MO</v>
          </cell>
          <cell r="W579">
            <v>1</v>
          </cell>
          <cell r="X579" t="str">
            <v>USD</v>
          </cell>
          <cell r="Z579">
            <v>0</v>
          </cell>
          <cell r="AA579">
            <v>0</v>
          </cell>
          <cell r="AC579">
            <v>0</v>
          </cell>
          <cell r="AD579">
            <v>0</v>
          </cell>
          <cell r="AF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P579" t="str">
            <v>X</v>
          </cell>
          <cell r="AQ579" t="str">
            <v>CF.12</v>
          </cell>
        </row>
        <row r="580">
          <cell r="B580" t="str">
            <v>Installation</v>
          </cell>
          <cell r="C580" t="str">
            <v>I</v>
          </cell>
          <cell r="D580">
            <v>4</v>
          </cell>
          <cell r="E580" t="str">
            <v>FI</v>
          </cell>
          <cell r="F580" t="str">
            <v>O_</v>
          </cell>
          <cell r="G580" t="str">
            <v>YC</v>
          </cell>
          <cell r="H580" t="str">
            <v>I4-FI-O_-YC</v>
          </cell>
          <cell r="I580" t="str">
            <v>Electrical Installation Infrastucture: Tools for Complete Set for all installation work</v>
          </cell>
          <cell r="Q580" t="str">
            <v>EXT</v>
          </cell>
          <cell r="R580" t="str">
            <v>Placeholder</v>
          </cell>
          <cell r="U580" t="str">
            <v>LS</v>
          </cell>
          <cell r="W580">
            <v>1</v>
          </cell>
          <cell r="X580" t="str">
            <v>USD</v>
          </cell>
          <cell r="Z580">
            <v>0</v>
          </cell>
          <cell r="AA580">
            <v>0</v>
          </cell>
          <cell r="AC580">
            <v>0</v>
          </cell>
          <cell r="AD580">
            <v>0</v>
          </cell>
          <cell r="AF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P580" t="str">
            <v>X</v>
          </cell>
          <cell r="AQ580" t="str">
            <v>CF.12</v>
          </cell>
        </row>
        <row r="581">
          <cell r="B581" t="str">
            <v/>
          </cell>
          <cell r="H581" t="str">
            <v>--</v>
          </cell>
          <cell r="Q581" t="str">
            <v>EXT</v>
          </cell>
          <cell r="R581" t="str">
            <v>Placeholder</v>
          </cell>
          <cell r="W581">
            <v>1</v>
          </cell>
          <cell r="X581" t="str">
            <v>USD</v>
          </cell>
          <cell r="Z581">
            <v>0</v>
          </cell>
          <cell r="AA581">
            <v>0</v>
          </cell>
          <cell r="AC581">
            <v>0</v>
          </cell>
          <cell r="AD581">
            <v>0</v>
          </cell>
          <cell r="AF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P581" t="str">
            <v>X</v>
          </cell>
          <cell r="AQ581" t="str">
            <v/>
          </cell>
        </row>
        <row r="582">
          <cell r="B582" t="str">
            <v/>
          </cell>
          <cell r="H582" t="str">
            <v>--</v>
          </cell>
          <cell r="Q582" t="str">
            <v>EXT</v>
          </cell>
          <cell r="R582" t="str">
            <v>Placeholder</v>
          </cell>
          <cell r="W582">
            <v>1</v>
          </cell>
          <cell r="X582" t="str">
            <v>USD</v>
          </cell>
          <cell r="Z582">
            <v>0</v>
          </cell>
          <cell r="AA582">
            <v>0</v>
          </cell>
          <cell r="AC582">
            <v>0</v>
          </cell>
          <cell r="AD582">
            <v>0</v>
          </cell>
          <cell r="AF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P582" t="str">
            <v>X</v>
          </cell>
          <cell r="AQ582" t="str">
            <v/>
          </cell>
        </row>
        <row r="583">
          <cell r="B583" t="str">
            <v>Grandtotal</v>
          </cell>
          <cell r="AD583">
            <v>17265351.87716455</v>
          </cell>
          <cell r="AH583">
            <v>17265351.87716455</v>
          </cell>
          <cell r="AN583">
            <v>22631147.998089679</v>
          </cell>
        </row>
      </sheetData>
      <sheetData sheetId="11" refreshError="1">
        <row r="9">
          <cell r="B9" t="str">
            <v>Subtotal - 1</v>
          </cell>
          <cell r="I9" t="str">
            <v>1. PLC Software and Licences</v>
          </cell>
        </row>
        <row r="10">
          <cell r="B10" t="str">
            <v>Low Level Control HW</v>
          </cell>
          <cell r="C10">
            <v>0</v>
          </cell>
          <cell r="D10">
            <v>5</v>
          </cell>
          <cell r="E10" t="str">
            <v>CY</v>
          </cell>
          <cell r="F10" t="str">
            <v>B_</v>
          </cell>
          <cell r="G10" t="str">
            <v>01</v>
          </cell>
          <cell r="H10" t="str">
            <v>05-CY-B_-01</v>
          </cell>
          <cell r="I10" t="str">
            <v>PLC Software and Licences</v>
          </cell>
          <cell r="J10" t="str">
            <v>221024_LTIA_Ph1_Z-4-CA-002_PLC_Material_Costs_Long Than_Belt_2022-09-30.xlsx</v>
          </cell>
          <cell r="L10" t="str">
            <v>Offshore:
GER
(MAT)</v>
          </cell>
          <cell r="M10" t="str">
            <v>S. Zenk</v>
          </cell>
          <cell r="N10">
            <v>44859</v>
          </cell>
          <cell r="Q10" t="str">
            <v>EXT</v>
          </cell>
          <cell r="R10" t="str">
            <v>Binding Quote</v>
          </cell>
          <cell r="T10">
            <v>1</v>
          </cell>
          <cell r="U10" t="str">
            <v>PC</v>
          </cell>
          <cell r="V10">
            <v>6213.64</v>
          </cell>
          <cell r="W10">
            <v>2</v>
          </cell>
          <cell r="X10" t="str">
            <v>EUR</v>
          </cell>
          <cell r="Y10" t="str">
            <v>German MGK 1</v>
          </cell>
          <cell r="Z10">
            <v>0</v>
          </cell>
          <cell r="AA10">
            <v>0</v>
          </cell>
          <cell r="AC10">
            <v>6213.64</v>
          </cell>
          <cell r="AD10">
            <v>6608.2061399999993</v>
          </cell>
          <cell r="AF10">
            <v>0</v>
          </cell>
          <cell r="AH10">
            <v>6608.2061399999993</v>
          </cell>
          <cell r="AI10">
            <v>0.23709783177495308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8661.9312609564604</v>
          </cell>
          <cell r="AP10" t="str">
            <v>II</v>
          </cell>
          <cell r="AQ10" t="str">
            <v>CF.5</v>
          </cell>
        </row>
        <row r="11">
          <cell r="B11" t="str">
            <v>Low Level Control HW</v>
          </cell>
          <cell r="C11">
            <v>0</v>
          </cell>
          <cell r="D11">
            <v>5</v>
          </cell>
          <cell r="E11" t="str">
            <v>CY</v>
          </cell>
          <cell r="F11" t="str">
            <v>I_</v>
          </cell>
          <cell r="G11" t="str">
            <v>01</v>
          </cell>
          <cell r="H11" t="str">
            <v>05-CY-I_-01</v>
          </cell>
          <cell r="I11" t="str">
            <v>PLC Software and Licences</v>
          </cell>
          <cell r="J11" t="str">
            <v>221024_LTIA_Ph1_Z-4-CA-003_PLC_Material_Costs_Long Than_Tray_2022-10-06</v>
          </cell>
          <cell r="L11" t="str">
            <v>Offshore:
GER
(MAT)</v>
          </cell>
          <cell r="M11" t="str">
            <v>S. Zenk</v>
          </cell>
          <cell r="N11">
            <v>44859</v>
          </cell>
          <cell r="Q11" t="str">
            <v>EXT</v>
          </cell>
          <cell r="R11" t="str">
            <v>Binding Quote</v>
          </cell>
          <cell r="T11">
            <v>1</v>
          </cell>
          <cell r="U11" t="str">
            <v>PC</v>
          </cell>
          <cell r="V11">
            <v>6213.64</v>
          </cell>
          <cell r="W11">
            <v>2</v>
          </cell>
          <cell r="X11" t="str">
            <v>EUR</v>
          </cell>
          <cell r="Y11" t="str">
            <v>German MGK 1</v>
          </cell>
          <cell r="Z11">
            <v>0</v>
          </cell>
          <cell r="AA11">
            <v>0</v>
          </cell>
          <cell r="AC11">
            <v>6213.64</v>
          </cell>
          <cell r="AD11">
            <v>6608.2061399999993</v>
          </cell>
          <cell r="AF11">
            <v>0</v>
          </cell>
          <cell r="AH11">
            <v>6608.2061399999993</v>
          </cell>
          <cell r="AI11">
            <v>0.23709783177495308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8661.9312609564604</v>
          </cell>
          <cell r="AP11" t="str">
            <v>II</v>
          </cell>
          <cell r="AQ11" t="str">
            <v>CF.5</v>
          </cell>
        </row>
        <row r="12">
          <cell r="B12" t="str">
            <v>Low Level Control HW</v>
          </cell>
          <cell r="C12">
            <v>0</v>
          </cell>
          <cell r="D12">
            <v>5</v>
          </cell>
          <cell r="E12" t="str">
            <v>CY</v>
          </cell>
          <cell r="F12" t="str">
            <v>E_</v>
          </cell>
          <cell r="H12" t="str">
            <v>05-CY-E_</v>
          </cell>
          <cell r="I12" t="str">
            <v>PLC Software and Licences</v>
          </cell>
          <cell r="Q12" t="str">
            <v>EXT</v>
          </cell>
          <cell r="R12" t="str">
            <v>Placeholder</v>
          </cell>
          <cell r="W12">
            <v>1</v>
          </cell>
          <cell r="X12" t="str">
            <v>USD</v>
          </cell>
          <cell r="Z12">
            <v>0</v>
          </cell>
          <cell r="AA12">
            <v>0</v>
          </cell>
          <cell r="AC12">
            <v>0</v>
          </cell>
          <cell r="AD12">
            <v>0</v>
          </cell>
          <cell r="AF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P12" t="str">
            <v>X</v>
          </cell>
          <cell r="AQ12" t="str">
            <v>CF.5</v>
          </cell>
        </row>
        <row r="13">
          <cell r="B13" t="str">
            <v>Low Level Control HW</v>
          </cell>
          <cell r="C13">
            <v>0</v>
          </cell>
          <cell r="D13">
            <v>5</v>
          </cell>
          <cell r="E13" t="str">
            <v>CY</v>
          </cell>
          <cell r="F13" t="str">
            <v>ST</v>
          </cell>
          <cell r="H13" t="str">
            <v>05-CY-ST</v>
          </cell>
          <cell r="I13" t="str">
            <v>PLC Software and Licences</v>
          </cell>
          <cell r="Q13" t="str">
            <v>EXT</v>
          </cell>
          <cell r="R13" t="str">
            <v>Placeholder</v>
          </cell>
          <cell r="W13">
            <v>1</v>
          </cell>
          <cell r="X13" t="str">
            <v>USD</v>
          </cell>
          <cell r="Z13">
            <v>0</v>
          </cell>
          <cell r="AA13">
            <v>0</v>
          </cell>
          <cell r="AC13">
            <v>0</v>
          </cell>
          <cell r="AD13">
            <v>0</v>
          </cell>
          <cell r="AF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 t="str">
            <v>X</v>
          </cell>
          <cell r="AQ13" t="str">
            <v>CF.5</v>
          </cell>
        </row>
        <row r="14">
          <cell r="B14" t="str">
            <v/>
          </cell>
          <cell r="H14" t="str">
            <v>--</v>
          </cell>
          <cell r="Q14" t="str">
            <v>EXT</v>
          </cell>
          <cell r="R14" t="str">
            <v>Placeholder</v>
          </cell>
          <cell r="W14">
            <v>1</v>
          </cell>
          <cell r="X14" t="str">
            <v>USD</v>
          </cell>
          <cell r="Z14">
            <v>0</v>
          </cell>
          <cell r="AA14">
            <v>0</v>
          </cell>
          <cell r="AC14">
            <v>0</v>
          </cell>
          <cell r="AD14">
            <v>0</v>
          </cell>
          <cell r="AF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P14" t="str">
            <v>X</v>
          </cell>
          <cell r="AQ14" t="str">
            <v/>
          </cell>
        </row>
        <row r="15">
          <cell r="B15" t="str">
            <v/>
          </cell>
          <cell r="H15" t="str">
            <v>--</v>
          </cell>
          <cell r="Q15" t="str">
            <v>EXT</v>
          </cell>
          <cell r="R15" t="str">
            <v>Placeholder</v>
          </cell>
          <cell r="W15">
            <v>1</v>
          </cell>
          <cell r="X15" t="str">
            <v>USD</v>
          </cell>
          <cell r="Z15">
            <v>0</v>
          </cell>
          <cell r="AA15">
            <v>0</v>
          </cell>
          <cell r="AC15">
            <v>0</v>
          </cell>
          <cell r="AD15">
            <v>0</v>
          </cell>
          <cell r="AF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 t="str">
            <v>X</v>
          </cell>
          <cell r="AQ15" t="str">
            <v/>
          </cell>
        </row>
        <row r="16">
          <cell r="B16" t="str">
            <v/>
          </cell>
          <cell r="H16" t="str">
            <v>--</v>
          </cell>
          <cell r="Q16" t="str">
            <v>EXT</v>
          </cell>
          <cell r="R16" t="str">
            <v>Placeholder</v>
          </cell>
          <cell r="W16">
            <v>1</v>
          </cell>
          <cell r="X16" t="str">
            <v>USD</v>
          </cell>
          <cell r="Z16">
            <v>0</v>
          </cell>
          <cell r="AA16">
            <v>0</v>
          </cell>
          <cell r="AC16">
            <v>0</v>
          </cell>
          <cell r="AD16">
            <v>0</v>
          </cell>
          <cell r="AF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P16" t="str">
            <v>X</v>
          </cell>
          <cell r="AQ16" t="str">
            <v/>
          </cell>
        </row>
        <row r="17">
          <cell r="B17" t="str">
            <v/>
          </cell>
          <cell r="H17" t="str">
            <v>--</v>
          </cell>
          <cell r="Q17" t="str">
            <v>EXT</v>
          </cell>
          <cell r="R17" t="str">
            <v>Placeholder</v>
          </cell>
          <cell r="W17">
            <v>1</v>
          </cell>
          <cell r="X17" t="str">
            <v>USD</v>
          </cell>
          <cell r="Z17">
            <v>0</v>
          </cell>
          <cell r="AA17">
            <v>0</v>
          </cell>
          <cell r="AC17">
            <v>0</v>
          </cell>
          <cell r="AD17">
            <v>0</v>
          </cell>
          <cell r="AF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 t="str">
            <v>X</v>
          </cell>
          <cell r="AQ17" t="str">
            <v/>
          </cell>
        </row>
        <row r="18">
          <cell r="B18" t="str">
            <v/>
          </cell>
          <cell r="H18" t="str">
            <v>--</v>
          </cell>
          <cell r="Q18" t="str">
            <v>EXT</v>
          </cell>
          <cell r="R18" t="str">
            <v>Placeholder</v>
          </cell>
          <cell r="W18">
            <v>1</v>
          </cell>
          <cell r="X18" t="str">
            <v>USD</v>
          </cell>
          <cell r="Z18">
            <v>0</v>
          </cell>
          <cell r="AA18">
            <v>0</v>
          </cell>
          <cell r="AC18">
            <v>0</v>
          </cell>
          <cell r="AD18">
            <v>0</v>
          </cell>
          <cell r="AF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 t="str">
            <v>X</v>
          </cell>
          <cell r="AQ18" t="str">
            <v/>
          </cell>
        </row>
        <row r="19">
          <cell r="B19" t="str">
            <v/>
          </cell>
          <cell r="H19" t="str">
            <v>--</v>
          </cell>
          <cell r="Q19" t="str">
            <v>EXT</v>
          </cell>
          <cell r="R19" t="str">
            <v>Placeholder</v>
          </cell>
          <cell r="W19">
            <v>1</v>
          </cell>
          <cell r="X19" t="str">
            <v>USD</v>
          </cell>
          <cell r="Z19">
            <v>0</v>
          </cell>
          <cell r="AA19">
            <v>0</v>
          </cell>
          <cell r="AC19">
            <v>0</v>
          </cell>
          <cell r="AD19">
            <v>0</v>
          </cell>
          <cell r="AF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P19" t="str">
            <v>X</v>
          </cell>
          <cell r="AQ19" t="str">
            <v/>
          </cell>
        </row>
        <row r="20">
          <cell r="B20" t="str">
            <v>Subtotal - 2</v>
          </cell>
          <cell r="I20" t="str">
            <v>2. Baggage Vision (BVS)</v>
          </cell>
        </row>
        <row r="21">
          <cell r="B21" t="str">
            <v>Low Level Control HW</v>
          </cell>
          <cell r="C21">
            <v>0</v>
          </cell>
          <cell r="D21">
            <v>5</v>
          </cell>
          <cell r="E21" t="str">
            <v>CC</v>
          </cell>
          <cell r="F21" t="str">
            <v>VR</v>
          </cell>
          <cell r="G21" t="str">
            <v>06</v>
          </cell>
          <cell r="H21" t="str">
            <v>05-CC-VR-06</v>
          </cell>
          <cell r="I21" t="str">
            <v>Baggage Vision Basic</v>
          </cell>
          <cell r="Q21" t="str">
            <v>EXT</v>
          </cell>
          <cell r="R21" t="str">
            <v>Placeholder</v>
          </cell>
          <cell r="U21" t="str">
            <v>PC</v>
          </cell>
          <cell r="W21">
            <v>1</v>
          </cell>
          <cell r="X21" t="str">
            <v>USD</v>
          </cell>
          <cell r="Z21">
            <v>0</v>
          </cell>
          <cell r="AA21">
            <v>0</v>
          </cell>
          <cell r="AC21">
            <v>0</v>
          </cell>
          <cell r="AD21">
            <v>0</v>
          </cell>
          <cell r="AF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 t="str">
            <v>X</v>
          </cell>
          <cell r="AQ21" t="str">
            <v>CF.5</v>
          </cell>
        </row>
        <row r="22">
          <cell r="B22" t="str">
            <v>Low Level Control HW</v>
          </cell>
          <cell r="C22">
            <v>0</v>
          </cell>
          <cell r="D22">
            <v>5</v>
          </cell>
          <cell r="E22" t="str">
            <v>CC</v>
          </cell>
          <cell r="F22" t="str">
            <v>VR</v>
          </cell>
          <cell r="G22" t="str">
            <v>06</v>
          </cell>
          <cell r="H22" t="str">
            <v>05-CC-VR-06</v>
          </cell>
          <cell r="I22" t="str">
            <v>Baggage Vision Premium</v>
          </cell>
          <cell r="Q22" t="str">
            <v>EXT</v>
          </cell>
          <cell r="R22" t="str">
            <v>Placeholder</v>
          </cell>
          <cell r="U22" t="str">
            <v>PC</v>
          </cell>
          <cell r="W22">
            <v>1</v>
          </cell>
          <cell r="X22" t="str">
            <v>USD</v>
          </cell>
          <cell r="Z22">
            <v>0</v>
          </cell>
          <cell r="AA22">
            <v>0</v>
          </cell>
          <cell r="AC22">
            <v>0</v>
          </cell>
          <cell r="AD22">
            <v>0</v>
          </cell>
          <cell r="AF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 t="str">
            <v>X</v>
          </cell>
          <cell r="AQ22" t="str">
            <v>CF.5</v>
          </cell>
        </row>
        <row r="23">
          <cell r="B23" t="str">
            <v>Low Level Control HW</v>
          </cell>
          <cell r="C23">
            <v>0</v>
          </cell>
          <cell r="D23">
            <v>5</v>
          </cell>
          <cell r="E23" t="str">
            <v>CC</v>
          </cell>
          <cell r="F23" t="str">
            <v>VR</v>
          </cell>
          <cell r="G23" t="str">
            <v>06</v>
          </cell>
          <cell r="H23" t="str">
            <v>05-CC-VR-06</v>
          </cell>
          <cell r="I23" t="str">
            <v>BVS OCR Computer</v>
          </cell>
          <cell r="Q23" t="str">
            <v>EXT</v>
          </cell>
          <cell r="R23" t="str">
            <v>Placeholder</v>
          </cell>
          <cell r="U23" t="str">
            <v>PC</v>
          </cell>
          <cell r="W23">
            <v>1</v>
          </cell>
          <cell r="X23" t="str">
            <v>USD</v>
          </cell>
          <cell r="Z23">
            <v>0</v>
          </cell>
          <cell r="AA23">
            <v>0</v>
          </cell>
          <cell r="AC23">
            <v>0</v>
          </cell>
          <cell r="AD23">
            <v>0</v>
          </cell>
          <cell r="AF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 t="str">
            <v>X</v>
          </cell>
          <cell r="AQ23" t="str">
            <v>CF.5</v>
          </cell>
        </row>
        <row r="24">
          <cell r="B24" t="str">
            <v>Low Level Control HW</v>
          </cell>
          <cell r="C24">
            <v>0</v>
          </cell>
          <cell r="D24">
            <v>5</v>
          </cell>
          <cell r="E24" t="str">
            <v>CC</v>
          </cell>
          <cell r="F24" t="str">
            <v>VR</v>
          </cell>
          <cell r="G24" t="str">
            <v>06</v>
          </cell>
          <cell r="H24" t="str">
            <v>05-CC-VR-06</v>
          </cell>
          <cell r="I24" t="str">
            <v>BVS VideoCoding Server</v>
          </cell>
          <cell r="Q24" t="str">
            <v>EXT</v>
          </cell>
          <cell r="R24" t="str">
            <v>Placeholder</v>
          </cell>
          <cell r="U24" t="str">
            <v>PC</v>
          </cell>
          <cell r="W24">
            <v>1</v>
          </cell>
          <cell r="X24" t="str">
            <v>USD</v>
          </cell>
          <cell r="Z24">
            <v>0</v>
          </cell>
          <cell r="AA24">
            <v>0</v>
          </cell>
          <cell r="AC24">
            <v>0</v>
          </cell>
          <cell r="AD24">
            <v>0</v>
          </cell>
          <cell r="AF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 t="str">
            <v>X</v>
          </cell>
          <cell r="AQ24" t="str">
            <v>CF.5</v>
          </cell>
        </row>
        <row r="25">
          <cell r="B25" t="str">
            <v>Low Level Control HW</v>
          </cell>
          <cell r="C25">
            <v>0</v>
          </cell>
          <cell r="D25">
            <v>5</v>
          </cell>
          <cell r="E25" t="str">
            <v>CY</v>
          </cell>
          <cell r="F25" t="str">
            <v>VR</v>
          </cell>
          <cell r="G25" t="str">
            <v>06</v>
          </cell>
          <cell r="H25" t="str">
            <v>05-CY-VR-06</v>
          </cell>
          <cell r="I25" t="str">
            <v>BVS OCR Software Licences</v>
          </cell>
          <cell r="Q25" t="str">
            <v>EXT</v>
          </cell>
          <cell r="R25" t="str">
            <v>Placeholder</v>
          </cell>
          <cell r="U25" t="str">
            <v>PC</v>
          </cell>
          <cell r="W25">
            <v>1</v>
          </cell>
          <cell r="X25" t="str">
            <v>USD</v>
          </cell>
          <cell r="Z25">
            <v>0</v>
          </cell>
          <cell r="AA25">
            <v>0</v>
          </cell>
          <cell r="AC25">
            <v>0</v>
          </cell>
          <cell r="AD25">
            <v>0</v>
          </cell>
          <cell r="AF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 t="str">
            <v>X</v>
          </cell>
          <cell r="AQ25" t="str">
            <v>CF.5</v>
          </cell>
        </row>
        <row r="26">
          <cell r="B26" t="str">
            <v>Low Level Control HW</v>
          </cell>
          <cell r="C26">
            <v>0</v>
          </cell>
          <cell r="D26">
            <v>5</v>
          </cell>
          <cell r="E26" t="str">
            <v>CY</v>
          </cell>
          <cell r="F26" t="str">
            <v>VR</v>
          </cell>
          <cell r="G26" t="str">
            <v>06</v>
          </cell>
          <cell r="H26" t="str">
            <v>05-CY-VR-06</v>
          </cell>
          <cell r="I26" t="str">
            <v>BVS Video Coding Server - Licences</v>
          </cell>
          <cell r="Q26" t="str">
            <v>EXT</v>
          </cell>
          <cell r="R26" t="str">
            <v>Placeholder</v>
          </cell>
          <cell r="U26" t="str">
            <v>PC</v>
          </cell>
          <cell r="W26">
            <v>1</v>
          </cell>
          <cell r="X26" t="str">
            <v>USD</v>
          </cell>
          <cell r="Z26">
            <v>0</v>
          </cell>
          <cell r="AA26">
            <v>0</v>
          </cell>
          <cell r="AC26">
            <v>0</v>
          </cell>
          <cell r="AD26">
            <v>0</v>
          </cell>
          <cell r="AF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 t="str">
            <v>X</v>
          </cell>
          <cell r="AQ26" t="str">
            <v>CF.5</v>
          </cell>
        </row>
        <row r="27">
          <cell r="B27" t="str">
            <v>Low Level Control HW</v>
          </cell>
          <cell r="C27">
            <v>0</v>
          </cell>
          <cell r="D27">
            <v>5</v>
          </cell>
          <cell r="E27" t="str">
            <v>CY</v>
          </cell>
          <cell r="F27" t="str">
            <v>VR</v>
          </cell>
          <cell r="G27" t="str">
            <v>06</v>
          </cell>
          <cell r="H27" t="str">
            <v>05-CY-VR-06</v>
          </cell>
          <cell r="I27" t="str">
            <v>BVS VideoCoding Workstation - Licences</v>
          </cell>
          <cell r="Q27" t="str">
            <v>EXT</v>
          </cell>
          <cell r="R27" t="str">
            <v>Placeholder</v>
          </cell>
          <cell r="U27" t="str">
            <v>PC</v>
          </cell>
          <cell r="W27">
            <v>1</v>
          </cell>
          <cell r="X27" t="str">
            <v>USD</v>
          </cell>
          <cell r="Z27">
            <v>0</v>
          </cell>
          <cell r="AA27">
            <v>0</v>
          </cell>
          <cell r="AC27">
            <v>0</v>
          </cell>
          <cell r="AD27">
            <v>0</v>
          </cell>
          <cell r="AF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 t="str">
            <v>X</v>
          </cell>
          <cell r="AQ27" t="str">
            <v>CF.5</v>
          </cell>
        </row>
        <row r="28">
          <cell r="B28" t="str">
            <v>Low Level Control HW</v>
          </cell>
          <cell r="C28">
            <v>0</v>
          </cell>
          <cell r="D28">
            <v>5</v>
          </cell>
          <cell r="E28" t="str">
            <v>CC</v>
          </cell>
          <cell r="F28" t="str">
            <v>VR</v>
          </cell>
          <cell r="G28" t="str">
            <v>06</v>
          </cell>
          <cell r="H28" t="str">
            <v>05-CC-VR-06</v>
          </cell>
          <cell r="I28" t="str">
            <v>Installation, commissioning, acceptance, training service etc.</v>
          </cell>
          <cell r="Q28" t="str">
            <v>EXT</v>
          </cell>
          <cell r="R28" t="str">
            <v>Placeholder</v>
          </cell>
          <cell r="U28" t="str">
            <v>PC</v>
          </cell>
          <cell r="W28">
            <v>1</v>
          </cell>
          <cell r="X28" t="str">
            <v>USD</v>
          </cell>
          <cell r="Z28">
            <v>0</v>
          </cell>
          <cell r="AA28">
            <v>0</v>
          </cell>
          <cell r="AC28">
            <v>0</v>
          </cell>
          <cell r="AD28">
            <v>0</v>
          </cell>
          <cell r="AF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 t="str">
            <v>X</v>
          </cell>
          <cell r="AQ28" t="str">
            <v>CF.5</v>
          </cell>
        </row>
        <row r="29">
          <cell r="B29" t="str">
            <v/>
          </cell>
          <cell r="H29" t="str">
            <v>--</v>
          </cell>
          <cell r="Q29" t="str">
            <v>EXT</v>
          </cell>
          <cell r="R29" t="str">
            <v>Placeholder</v>
          </cell>
          <cell r="W29">
            <v>1</v>
          </cell>
          <cell r="X29" t="str">
            <v>USD</v>
          </cell>
          <cell r="Z29">
            <v>0</v>
          </cell>
          <cell r="AA29">
            <v>0</v>
          </cell>
          <cell r="AC29">
            <v>0</v>
          </cell>
          <cell r="AD29">
            <v>0</v>
          </cell>
          <cell r="AF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 t="str">
            <v>X</v>
          </cell>
          <cell r="AQ29" t="str">
            <v/>
          </cell>
        </row>
        <row r="30">
          <cell r="B30" t="str">
            <v/>
          </cell>
          <cell r="H30" t="str">
            <v>--</v>
          </cell>
          <cell r="Q30" t="str">
            <v>EXT</v>
          </cell>
          <cell r="R30" t="str">
            <v>Placeholder</v>
          </cell>
          <cell r="W30">
            <v>1</v>
          </cell>
          <cell r="X30" t="str">
            <v>USD</v>
          </cell>
          <cell r="Z30">
            <v>0</v>
          </cell>
          <cell r="AA30">
            <v>0</v>
          </cell>
          <cell r="AC30">
            <v>0</v>
          </cell>
          <cell r="AD30">
            <v>0</v>
          </cell>
          <cell r="AF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 t="str">
            <v>X</v>
          </cell>
          <cell r="AQ30" t="str">
            <v/>
          </cell>
        </row>
        <row r="31">
          <cell r="B31" t="str">
            <v>Subtotal - 3</v>
          </cell>
          <cell r="I31" t="str">
            <v>3. tbd</v>
          </cell>
        </row>
        <row r="32">
          <cell r="B32" t="str">
            <v/>
          </cell>
          <cell r="H32" t="str">
            <v>--</v>
          </cell>
          <cell r="Q32" t="str">
            <v>EXT</v>
          </cell>
          <cell r="R32" t="str">
            <v>Placeholder</v>
          </cell>
          <cell r="W32">
            <v>1</v>
          </cell>
          <cell r="X32" t="str">
            <v>USD</v>
          </cell>
          <cell r="Z32">
            <v>0</v>
          </cell>
          <cell r="AA32">
            <v>0</v>
          </cell>
          <cell r="AC32">
            <v>0</v>
          </cell>
          <cell r="AD32">
            <v>0</v>
          </cell>
          <cell r="AF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P32" t="str">
            <v>X</v>
          </cell>
          <cell r="AQ32" t="str">
            <v/>
          </cell>
        </row>
        <row r="33">
          <cell r="B33" t="str">
            <v/>
          </cell>
          <cell r="H33" t="str">
            <v>--</v>
          </cell>
          <cell r="Q33" t="str">
            <v>EXT</v>
          </cell>
          <cell r="R33" t="str">
            <v>Placeholder</v>
          </cell>
          <cell r="W33">
            <v>1</v>
          </cell>
          <cell r="X33" t="str">
            <v>USD</v>
          </cell>
          <cell r="Z33">
            <v>0</v>
          </cell>
          <cell r="AA33">
            <v>0</v>
          </cell>
          <cell r="AC33">
            <v>0</v>
          </cell>
          <cell r="AD33">
            <v>0</v>
          </cell>
          <cell r="AF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P33" t="str">
            <v>X</v>
          </cell>
          <cell r="AQ33" t="str">
            <v/>
          </cell>
        </row>
        <row r="34">
          <cell r="B34" t="str">
            <v/>
          </cell>
          <cell r="H34" t="str">
            <v>--</v>
          </cell>
          <cell r="Q34" t="str">
            <v>EXT</v>
          </cell>
          <cell r="R34" t="str">
            <v>Placeholder</v>
          </cell>
          <cell r="W34">
            <v>1</v>
          </cell>
          <cell r="X34" t="str">
            <v>USD</v>
          </cell>
          <cell r="Z34">
            <v>0</v>
          </cell>
          <cell r="AA34">
            <v>0</v>
          </cell>
          <cell r="AC34">
            <v>0</v>
          </cell>
          <cell r="AD34">
            <v>0</v>
          </cell>
          <cell r="AF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P34" t="str">
            <v>X</v>
          </cell>
          <cell r="AQ34" t="str">
            <v/>
          </cell>
        </row>
        <row r="35">
          <cell r="B35" t="str">
            <v/>
          </cell>
          <cell r="H35" t="str">
            <v>--</v>
          </cell>
          <cell r="Q35" t="str">
            <v>EXT</v>
          </cell>
          <cell r="R35" t="str">
            <v>Placeholder</v>
          </cell>
          <cell r="W35">
            <v>1</v>
          </cell>
          <cell r="X35" t="str">
            <v>USD</v>
          </cell>
          <cell r="Z35">
            <v>0</v>
          </cell>
          <cell r="AA35">
            <v>0</v>
          </cell>
          <cell r="AC35">
            <v>0</v>
          </cell>
          <cell r="AD35">
            <v>0</v>
          </cell>
          <cell r="AF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P35" t="str">
            <v>X</v>
          </cell>
          <cell r="AQ35" t="str">
            <v/>
          </cell>
        </row>
        <row r="36">
          <cell r="B36" t="str">
            <v/>
          </cell>
          <cell r="H36" t="str">
            <v>--</v>
          </cell>
          <cell r="Q36" t="str">
            <v>EXT</v>
          </cell>
          <cell r="R36" t="str">
            <v>Placeholder</v>
          </cell>
          <cell r="W36">
            <v>1</v>
          </cell>
          <cell r="X36" t="str">
            <v>USD</v>
          </cell>
          <cell r="Z36">
            <v>0</v>
          </cell>
          <cell r="AA36">
            <v>0</v>
          </cell>
          <cell r="AC36">
            <v>0</v>
          </cell>
          <cell r="AD36">
            <v>0</v>
          </cell>
          <cell r="AF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P36" t="str">
            <v>X</v>
          </cell>
          <cell r="AQ36" t="str">
            <v/>
          </cell>
        </row>
        <row r="37">
          <cell r="B37" t="str">
            <v/>
          </cell>
          <cell r="H37" t="str">
            <v>--</v>
          </cell>
          <cell r="Q37" t="str">
            <v>EXT</v>
          </cell>
          <cell r="R37" t="str">
            <v>Placeholder</v>
          </cell>
          <cell r="W37">
            <v>1</v>
          </cell>
          <cell r="X37" t="str">
            <v>USD</v>
          </cell>
          <cell r="Z37">
            <v>0</v>
          </cell>
          <cell r="AA37">
            <v>0</v>
          </cell>
          <cell r="AC37">
            <v>0</v>
          </cell>
          <cell r="AD37">
            <v>0</v>
          </cell>
          <cell r="AF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P37" t="str">
            <v>X</v>
          </cell>
          <cell r="AQ37" t="str">
            <v/>
          </cell>
        </row>
        <row r="38">
          <cell r="B38" t="str">
            <v/>
          </cell>
          <cell r="H38" t="str">
            <v>--</v>
          </cell>
          <cell r="Q38" t="str">
            <v>EXT</v>
          </cell>
          <cell r="R38" t="str">
            <v>Placeholder</v>
          </cell>
          <cell r="W38">
            <v>1</v>
          </cell>
          <cell r="X38" t="str">
            <v>USD</v>
          </cell>
          <cell r="Z38">
            <v>0</v>
          </cell>
          <cell r="AA38">
            <v>0</v>
          </cell>
          <cell r="AC38">
            <v>0</v>
          </cell>
          <cell r="AD38">
            <v>0</v>
          </cell>
          <cell r="AF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P38" t="str">
            <v>X</v>
          </cell>
          <cell r="AQ38" t="str">
            <v/>
          </cell>
        </row>
        <row r="39">
          <cell r="B39" t="str">
            <v/>
          </cell>
          <cell r="H39" t="str">
            <v>--</v>
          </cell>
          <cell r="Q39" t="str">
            <v>EXT</v>
          </cell>
          <cell r="R39" t="str">
            <v>Placeholder</v>
          </cell>
          <cell r="W39">
            <v>1</v>
          </cell>
          <cell r="X39" t="str">
            <v>USD</v>
          </cell>
          <cell r="Z39">
            <v>0</v>
          </cell>
          <cell r="AA39">
            <v>0</v>
          </cell>
          <cell r="AC39">
            <v>0</v>
          </cell>
          <cell r="AD39">
            <v>0</v>
          </cell>
          <cell r="AF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P39" t="str">
            <v>X</v>
          </cell>
          <cell r="AQ39" t="str">
            <v/>
          </cell>
        </row>
        <row r="40">
          <cell r="B40" t="str">
            <v/>
          </cell>
          <cell r="H40" t="str">
            <v>--</v>
          </cell>
          <cell r="Q40" t="str">
            <v>EXT</v>
          </cell>
          <cell r="R40" t="str">
            <v>Placeholder</v>
          </cell>
          <cell r="W40">
            <v>1</v>
          </cell>
          <cell r="X40" t="str">
            <v>USD</v>
          </cell>
          <cell r="Z40">
            <v>0</v>
          </cell>
          <cell r="AA40">
            <v>0</v>
          </cell>
          <cell r="AC40">
            <v>0</v>
          </cell>
          <cell r="AD40">
            <v>0</v>
          </cell>
          <cell r="AF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P40" t="str">
            <v>X</v>
          </cell>
          <cell r="AQ40" t="str">
            <v/>
          </cell>
        </row>
        <row r="41">
          <cell r="B41" t="str">
            <v/>
          </cell>
          <cell r="H41" t="str">
            <v>--</v>
          </cell>
          <cell r="Q41" t="str">
            <v>EXT</v>
          </cell>
          <cell r="R41" t="str">
            <v>Placeholder</v>
          </cell>
          <cell r="W41">
            <v>1</v>
          </cell>
          <cell r="X41" t="str">
            <v>USD</v>
          </cell>
          <cell r="Z41">
            <v>0</v>
          </cell>
          <cell r="AA41">
            <v>0</v>
          </cell>
          <cell r="AC41">
            <v>0</v>
          </cell>
          <cell r="AD41">
            <v>0</v>
          </cell>
          <cell r="AF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P41" t="str">
            <v>X</v>
          </cell>
          <cell r="AQ41" t="str">
            <v/>
          </cell>
        </row>
        <row r="42">
          <cell r="B42" t="str">
            <v>Grandtotal</v>
          </cell>
          <cell r="AD42">
            <v>13216.412279999999</v>
          </cell>
          <cell r="AH42">
            <v>13216.412279999999</v>
          </cell>
          <cell r="AN42">
            <v>17323.862521912921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1">
          <cell r="B11" t="str">
            <v>Duties</v>
          </cell>
        </row>
        <row r="12">
          <cell r="B12" t="str">
            <v>Drives</v>
          </cell>
        </row>
        <row r="13">
          <cell r="B13" t="str">
            <v>Logistics</v>
          </cell>
        </row>
        <row r="16">
          <cell r="B16" t="str">
            <v>X</v>
          </cell>
        </row>
        <row r="18">
          <cell r="B18" t="str">
            <v>I</v>
          </cell>
        </row>
        <row r="19">
          <cell r="B19" t="str">
            <v>I.1</v>
          </cell>
        </row>
        <row r="20">
          <cell r="B20" t="str">
            <v>I.1.A</v>
          </cell>
        </row>
        <row r="21">
          <cell r="B21" t="str">
            <v>I.1.B</v>
          </cell>
        </row>
        <row r="22">
          <cell r="B22" t="str">
            <v>I.1.C</v>
          </cell>
        </row>
        <row r="23">
          <cell r="B23" t="str">
            <v>I.2</v>
          </cell>
        </row>
        <row r="24">
          <cell r="B24" t="str">
            <v>I.3</v>
          </cell>
        </row>
        <row r="25">
          <cell r="B25" t="str">
            <v>I.4</v>
          </cell>
        </row>
        <row r="26">
          <cell r="B26" t="str">
            <v>I.5</v>
          </cell>
        </row>
        <row r="27">
          <cell r="B27" t="str">
            <v>I.6</v>
          </cell>
        </row>
        <row r="28">
          <cell r="B28" t="str">
            <v>I.7</v>
          </cell>
        </row>
        <row r="29">
          <cell r="B29" t="str">
            <v>I.8</v>
          </cell>
        </row>
        <row r="30">
          <cell r="B30" t="str">
            <v>I.9</v>
          </cell>
        </row>
        <row r="31">
          <cell r="B31" t="str">
            <v>I.10</v>
          </cell>
        </row>
        <row r="32">
          <cell r="B32" t="str">
            <v>I.11</v>
          </cell>
        </row>
        <row r="33">
          <cell r="B33" t="str">
            <v>I.12</v>
          </cell>
        </row>
        <row r="34">
          <cell r="B34" t="str">
            <v>I.13</v>
          </cell>
        </row>
        <row r="35">
          <cell r="B35" t="str">
            <v>I.14</v>
          </cell>
        </row>
        <row r="36">
          <cell r="B36" t="str">
            <v>I.15</v>
          </cell>
        </row>
        <row r="37">
          <cell r="B37" t="str">
            <v>I.16</v>
          </cell>
        </row>
        <row r="38">
          <cell r="B38" t="str">
            <v>I.17</v>
          </cell>
        </row>
        <row r="39">
          <cell r="B39" t="str">
            <v>I.18</v>
          </cell>
        </row>
        <row r="40">
          <cell r="B40" t="str">
            <v>I.19</v>
          </cell>
        </row>
        <row r="41">
          <cell r="B41" t="str">
            <v>II</v>
          </cell>
        </row>
        <row r="42">
          <cell r="B42" t="str">
            <v>III</v>
          </cell>
        </row>
        <row r="43">
          <cell r="B43" t="str">
            <v>IV</v>
          </cell>
        </row>
        <row r="44">
          <cell r="B44" t="str">
            <v>IV.1</v>
          </cell>
        </row>
        <row r="45">
          <cell r="B45" t="str">
            <v>IV.1.1</v>
          </cell>
        </row>
        <row r="46">
          <cell r="B46" t="str">
            <v>IV.1.2</v>
          </cell>
        </row>
        <row r="47">
          <cell r="B47" t="str">
            <v>IV.2</v>
          </cell>
        </row>
        <row r="48">
          <cell r="B48" t="str">
            <v>IV.2.1</v>
          </cell>
        </row>
        <row r="49">
          <cell r="B49" t="str">
            <v>IV.2.2</v>
          </cell>
        </row>
        <row r="50">
          <cell r="B50" t="str">
            <v>IV.2.3</v>
          </cell>
        </row>
        <row r="51">
          <cell r="B51" t="str">
            <v>IV.3</v>
          </cell>
        </row>
        <row r="52">
          <cell r="B52" t="str">
            <v>IV.3.1</v>
          </cell>
        </row>
        <row r="53">
          <cell r="B53" t="str">
            <v>IV.3.2</v>
          </cell>
        </row>
        <row r="54">
          <cell r="B54" t="str">
            <v>IV.4</v>
          </cell>
        </row>
        <row r="55">
          <cell r="B55" t="str">
            <v>IV.4.1</v>
          </cell>
        </row>
        <row r="56">
          <cell r="B56" t="str">
            <v>IV.4.2</v>
          </cell>
        </row>
        <row r="58">
          <cell r="B58" t="str">
            <v>B.1</v>
          </cell>
        </row>
        <row r="59">
          <cell r="B59" t="str">
            <v>B.1.1</v>
          </cell>
        </row>
        <row r="60">
          <cell r="B60" t="str">
            <v>B.1.2</v>
          </cell>
        </row>
        <row r="61">
          <cell r="B61" t="str">
            <v>B.1.3</v>
          </cell>
        </row>
        <row r="62">
          <cell r="B62" t="str">
            <v>B.1.4</v>
          </cell>
        </row>
        <row r="63">
          <cell r="B63" t="str">
            <v>B.1.5</v>
          </cell>
        </row>
        <row r="64">
          <cell r="B64" t="str">
            <v>B.1.6</v>
          </cell>
        </row>
        <row r="65">
          <cell r="B65" t="str">
            <v>B.1.7</v>
          </cell>
        </row>
        <row r="66">
          <cell r="B66" t="str">
            <v>B.1.8</v>
          </cell>
        </row>
        <row r="67">
          <cell r="B67" t="str">
            <v>B.1.9</v>
          </cell>
        </row>
        <row r="68">
          <cell r="B68" t="str">
            <v>B.1.10</v>
          </cell>
        </row>
        <row r="69">
          <cell r="B69" t="str">
            <v>B.1.11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8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9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FC9AA-8A9E-4119-B76E-94FA553614C9}">
  <sheetPr codeName="Tabelle6"/>
  <dimension ref="B1:I49"/>
  <sheetViews>
    <sheetView tabSelected="1" topLeftCell="B1" zoomScale="90" zoomScaleNormal="90" workbookViewId="0">
      <pane ySplit="2" topLeftCell="A3" activePane="bottomLeft" state="frozen"/>
      <selection pane="bottomLeft" activeCell="G5" sqref="G5"/>
    </sheetView>
  </sheetViews>
  <sheetFormatPr defaultColWidth="9.08984375" defaultRowHeight="14.5"/>
  <cols>
    <col min="2" max="2" width="27.453125" bestFit="1" customWidth="1"/>
    <col min="3" max="3" width="33.453125" bestFit="1" customWidth="1"/>
    <col min="4" max="4" width="19.90625" customWidth="1"/>
    <col min="5" max="5" width="52.453125" bestFit="1" customWidth="1"/>
    <col min="6" max="8" width="12.54296875" customWidth="1"/>
    <col min="9" max="9" width="15.90625" customWidth="1"/>
    <col min="11" max="11" width="17.6328125" customWidth="1"/>
    <col min="12" max="12" width="15" customWidth="1"/>
    <col min="13" max="13" width="24.54296875" customWidth="1"/>
  </cols>
  <sheetData>
    <row r="1" spans="2:9" ht="112.5" customHeight="1"/>
    <row r="2" spans="2:9">
      <c r="B2" t="s">
        <v>798</v>
      </c>
      <c r="C2" t="s">
        <v>799</v>
      </c>
      <c r="D2" t="s">
        <v>800</v>
      </c>
      <c r="E2" t="s">
        <v>801</v>
      </c>
      <c r="F2" t="s">
        <v>802</v>
      </c>
      <c r="G2" s="353" t="s">
        <v>867</v>
      </c>
      <c r="H2" s="353" t="s">
        <v>803</v>
      </c>
      <c r="I2" s="353" t="s">
        <v>804</v>
      </c>
    </row>
    <row r="3" spans="2:9">
      <c r="B3" t="s">
        <v>805</v>
      </c>
      <c r="G3" s="354">
        <v>2257</v>
      </c>
      <c r="H3" s="354">
        <v>7295.0260000000044</v>
      </c>
      <c r="I3" s="354">
        <v>2017</v>
      </c>
    </row>
    <row r="4" spans="2:9">
      <c r="C4" t="s">
        <v>806</v>
      </c>
      <c r="G4" s="354">
        <v>219</v>
      </c>
      <c r="H4" s="354">
        <v>999.7060000000007</v>
      </c>
      <c r="I4" s="354">
        <v>219</v>
      </c>
    </row>
    <row r="5" spans="2:9">
      <c r="D5" t="s">
        <v>807</v>
      </c>
      <c r="G5" s="354">
        <v>44</v>
      </c>
      <c r="H5" s="354">
        <v>105.91000000000004</v>
      </c>
      <c r="I5" s="354">
        <v>44</v>
      </c>
    </row>
    <row r="6" spans="2:9">
      <c r="E6" t="s">
        <v>808</v>
      </c>
      <c r="F6" t="s">
        <v>809</v>
      </c>
      <c r="G6" s="354">
        <v>44</v>
      </c>
      <c r="H6" s="354">
        <v>105.91000000000004</v>
      </c>
      <c r="I6" s="354">
        <v>44</v>
      </c>
    </row>
    <row r="7" spans="2:9">
      <c r="D7" t="s">
        <v>810</v>
      </c>
      <c r="G7" s="354">
        <v>8</v>
      </c>
      <c r="H7" s="354">
        <v>14.495999999999999</v>
      </c>
      <c r="I7" s="354">
        <v>8</v>
      </c>
    </row>
    <row r="8" spans="2:9">
      <c r="E8" t="s">
        <v>746</v>
      </c>
      <c r="F8" t="s">
        <v>811</v>
      </c>
      <c r="G8" s="354">
        <v>8</v>
      </c>
      <c r="H8" s="354">
        <v>14.495999999999999</v>
      </c>
      <c r="I8" s="354">
        <v>8</v>
      </c>
    </row>
    <row r="9" spans="2:9">
      <c r="D9" t="s">
        <v>812</v>
      </c>
      <c r="G9" s="354">
        <v>167</v>
      </c>
      <c r="H9" s="354">
        <v>879.30000000000064</v>
      </c>
      <c r="I9" s="354">
        <v>167</v>
      </c>
    </row>
    <row r="10" spans="2:9">
      <c r="E10" t="s">
        <v>813</v>
      </c>
      <c r="F10" t="s">
        <v>814</v>
      </c>
      <c r="G10" s="354">
        <v>99</v>
      </c>
      <c r="H10" s="354">
        <v>772.00000000000057</v>
      </c>
      <c r="I10" s="354">
        <v>99</v>
      </c>
    </row>
    <row r="11" spans="2:9">
      <c r="E11" t="s">
        <v>815</v>
      </c>
      <c r="F11" t="s">
        <v>816</v>
      </c>
      <c r="G11" s="354">
        <v>56</v>
      </c>
      <c r="H11" s="354">
        <v>67.200000000000074</v>
      </c>
      <c r="I11" s="354">
        <v>56</v>
      </c>
    </row>
    <row r="12" spans="2:9">
      <c r="E12" t="s">
        <v>817</v>
      </c>
      <c r="F12" t="s">
        <v>818</v>
      </c>
      <c r="G12" s="354">
        <v>4</v>
      </c>
      <c r="H12" s="354">
        <v>28.450000000000003</v>
      </c>
      <c r="I12" s="354">
        <v>4</v>
      </c>
    </row>
    <row r="13" spans="2:9">
      <c r="E13" t="s">
        <v>819</v>
      </c>
      <c r="F13" t="s">
        <v>820</v>
      </c>
      <c r="G13" s="354">
        <v>8</v>
      </c>
      <c r="H13" s="354">
        <v>11.649999999999999</v>
      </c>
      <c r="I13" s="354">
        <v>8</v>
      </c>
    </row>
    <row r="14" spans="2:9">
      <c r="C14" t="s">
        <v>821</v>
      </c>
      <c r="G14" s="354">
        <v>2025</v>
      </c>
      <c r="H14" s="354">
        <v>6295.3200000000033</v>
      </c>
      <c r="I14" s="354">
        <v>1798</v>
      </c>
    </row>
    <row r="15" spans="2:9">
      <c r="D15" t="s">
        <v>822</v>
      </c>
      <c r="G15" s="354">
        <v>1262</v>
      </c>
      <c r="H15" s="354">
        <v>5187.5210000000034</v>
      </c>
      <c r="I15" s="354">
        <v>1188</v>
      </c>
    </row>
    <row r="16" spans="2:9">
      <c r="E16" t="s">
        <v>823</v>
      </c>
      <c r="F16" t="s">
        <v>824</v>
      </c>
      <c r="G16" s="354">
        <v>421</v>
      </c>
      <c r="H16" s="354">
        <v>3224.9899999999966</v>
      </c>
      <c r="I16" s="354">
        <v>421</v>
      </c>
    </row>
    <row r="17" spans="4:9">
      <c r="E17" t="s">
        <v>825</v>
      </c>
      <c r="F17" t="s">
        <v>826</v>
      </c>
      <c r="G17" s="354">
        <v>569</v>
      </c>
      <c r="H17" s="354">
        <v>1000.6530000000073</v>
      </c>
      <c r="I17" s="354">
        <v>569</v>
      </c>
    </row>
    <row r="18" spans="4:9">
      <c r="E18" t="s">
        <v>751</v>
      </c>
      <c r="F18" t="s">
        <v>827</v>
      </c>
      <c r="G18" s="354">
        <v>114</v>
      </c>
      <c r="H18" s="354">
        <v>650.53399999999931</v>
      </c>
      <c r="I18" s="354">
        <v>114</v>
      </c>
    </row>
    <row r="19" spans="4:9">
      <c r="E19" t="s">
        <v>828</v>
      </c>
      <c r="F19" t="s">
        <v>829</v>
      </c>
      <c r="G19" s="354">
        <v>64</v>
      </c>
      <c r="H19" s="354">
        <v>222.43399999999994</v>
      </c>
      <c r="I19" s="354">
        <v>64</v>
      </c>
    </row>
    <row r="20" spans="4:9">
      <c r="E20" t="s">
        <v>830</v>
      </c>
      <c r="F20" t="s">
        <v>831</v>
      </c>
      <c r="G20" s="354">
        <v>14</v>
      </c>
      <c r="H20" s="354">
        <v>15.3</v>
      </c>
      <c r="I20" s="354">
        <v>14</v>
      </c>
    </row>
    <row r="21" spans="4:9">
      <c r="E21" t="s">
        <v>832</v>
      </c>
      <c r="F21" t="s">
        <v>833</v>
      </c>
      <c r="G21" s="354">
        <v>74</v>
      </c>
      <c r="H21" s="354">
        <v>63.953999999999986</v>
      </c>
      <c r="I21" s="354">
        <v>0</v>
      </c>
    </row>
    <row r="22" spans="4:9">
      <c r="E22" t="s">
        <v>834</v>
      </c>
      <c r="F22" t="s">
        <v>835</v>
      </c>
      <c r="G22" s="354">
        <v>6</v>
      </c>
      <c r="H22" s="354">
        <v>9.6560000000000006</v>
      </c>
      <c r="I22" s="354">
        <v>6</v>
      </c>
    </row>
    <row r="23" spans="4:9">
      <c r="D23" t="s">
        <v>836</v>
      </c>
      <c r="G23" s="354">
        <v>521</v>
      </c>
      <c r="H23" s="354">
        <v>623.53000000000009</v>
      </c>
      <c r="I23" s="354">
        <v>180</v>
      </c>
    </row>
    <row r="24" spans="4:9">
      <c r="E24" t="s">
        <v>837</v>
      </c>
      <c r="F24" t="s">
        <v>838</v>
      </c>
      <c r="G24" s="354">
        <v>341</v>
      </c>
      <c r="H24" s="354">
        <v>370.53699999999975</v>
      </c>
      <c r="I24" s="354">
        <v>0</v>
      </c>
    </row>
    <row r="25" spans="4:9">
      <c r="E25" t="s">
        <v>839</v>
      </c>
      <c r="F25" t="s">
        <v>840</v>
      </c>
      <c r="G25" s="354">
        <v>180</v>
      </c>
      <c r="H25" s="354">
        <v>252.99300000000036</v>
      </c>
      <c r="I25" s="354">
        <v>180</v>
      </c>
    </row>
    <row r="26" spans="4:9">
      <c r="D26" t="s">
        <v>841</v>
      </c>
      <c r="G26" s="354">
        <v>82</v>
      </c>
      <c r="H26" s="354">
        <v>205.61999999999989</v>
      </c>
      <c r="I26" s="354">
        <v>82</v>
      </c>
    </row>
    <row r="27" spans="4:9">
      <c r="E27" t="s">
        <v>754</v>
      </c>
      <c r="F27" t="s">
        <v>842</v>
      </c>
      <c r="G27" s="354">
        <v>42</v>
      </c>
      <c r="H27" s="354">
        <v>93.619999999999976</v>
      </c>
      <c r="I27" s="354">
        <v>42</v>
      </c>
    </row>
    <row r="28" spans="4:9">
      <c r="E28" t="s">
        <v>843</v>
      </c>
      <c r="F28" t="s">
        <v>844</v>
      </c>
      <c r="G28" s="354">
        <v>40</v>
      </c>
      <c r="H28" s="354">
        <v>111.99999999999993</v>
      </c>
      <c r="I28" s="354">
        <v>40</v>
      </c>
    </row>
    <row r="29" spans="4:9">
      <c r="D29" t="s">
        <v>845</v>
      </c>
      <c r="G29" s="354">
        <v>45</v>
      </c>
      <c r="H29" s="354">
        <v>80.469999999999928</v>
      </c>
      <c r="I29" s="354">
        <v>45</v>
      </c>
    </row>
    <row r="30" spans="4:9">
      <c r="E30" t="s">
        <v>846</v>
      </c>
      <c r="F30" t="s">
        <v>847</v>
      </c>
      <c r="G30" s="354">
        <v>45</v>
      </c>
      <c r="H30" s="354">
        <v>80.469999999999928</v>
      </c>
      <c r="I30" s="354">
        <v>45</v>
      </c>
    </row>
    <row r="31" spans="4:9">
      <c r="D31" t="s">
        <v>848</v>
      </c>
      <c r="G31" s="354">
        <v>71</v>
      </c>
      <c r="H31" s="354">
        <v>124.88900000000001</v>
      </c>
      <c r="I31" s="354">
        <v>213</v>
      </c>
    </row>
    <row r="32" spans="4:9">
      <c r="E32" t="s">
        <v>756</v>
      </c>
      <c r="F32" t="s">
        <v>849</v>
      </c>
      <c r="G32" s="354">
        <v>71</v>
      </c>
      <c r="H32" s="354">
        <v>124.88900000000001</v>
      </c>
      <c r="I32" s="354">
        <v>213</v>
      </c>
    </row>
    <row r="33" spans="2:9">
      <c r="D33" t="s">
        <v>850</v>
      </c>
      <c r="G33" s="354">
        <v>39</v>
      </c>
      <c r="H33" s="354">
        <v>73.289999999999992</v>
      </c>
      <c r="I33" s="354">
        <v>90</v>
      </c>
    </row>
    <row r="34" spans="2:9">
      <c r="E34" t="s">
        <v>851</v>
      </c>
      <c r="F34" t="s">
        <v>852</v>
      </c>
      <c r="G34" s="354">
        <v>6</v>
      </c>
      <c r="H34" s="354">
        <v>1.1879999999999999</v>
      </c>
      <c r="I34" s="354">
        <v>0</v>
      </c>
    </row>
    <row r="35" spans="2:9">
      <c r="E35" t="s">
        <v>757</v>
      </c>
      <c r="F35" t="s">
        <v>853</v>
      </c>
      <c r="G35" s="354">
        <v>24</v>
      </c>
      <c r="H35" s="354">
        <v>39.360000000000007</v>
      </c>
      <c r="I35" s="354">
        <v>72</v>
      </c>
    </row>
    <row r="36" spans="2:9">
      <c r="E36" t="s">
        <v>760</v>
      </c>
      <c r="F36" t="s">
        <v>854</v>
      </c>
      <c r="G36" s="354">
        <v>9</v>
      </c>
      <c r="H36" s="354">
        <v>32.74199999999999</v>
      </c>
      <c r="I36" s="354">
        <v>18</v>
      </c>
    </row>
    <row r="37" spans="2:9">
      <c r="D37" t="s">
        <v>855</v>
      </c>
      <c r="G37" s="354">
        <v>5</v>
      </c>
      <c r="H37" s="354">
        <v>0</v>
      </c>
      <c r="I37" s="354">
        <v>0</v>
      </c>
    </row>
    <row r="38" spans="2:9">
      <c r="E38" t="s">
        <v>856</v>
      </c>
      <c r="F38" t="s">
        <v>857</v>
      </c>
      <c r="G38" s="354">
        <v>5</v>
      </c>
      <c r="H38" s="354">
        <v>0</v>
      </c>
      <c r="I38" s="354">
        <v>0</v>
      </c>
    </row>
    <row r="39" spans="2:9">
      <c r="C39" t="s">
        <v>858</v>
      </c>
      <c r="G39" s="354">
        <v>13</v>
      </c>
      <c r="H39" s="354">
        <v>0</v>
      </c>
      <c r="I39" s="354">
        <v>0</v>
      </c>
    </row>
    <row r="40" spans="2:9">
      <c r="D40" t="s">
        <v>859</v>
      </c>
      <c r="G40" s="354">
        <v>13</v>
      </c>
      <c r="H40" s="354">
        <v>0</v>
      </c>
      <c r="I40" s="354">
        <v>0</v>
      </c>
    </row>
    <row r="41" spans="2:9">
      <c r="E41" t="s">
        <v>860</v>
      </c>
      <c r="F41" t="s">
        <v>861</v>
      </c>
      <c r="G41" s="354">
        <v>13</v>
      </c>
      <c r="H41" s="354">
        <v>0</v>
      </c>
      <c r="I41" s="354">
        <v>0</v>
      </c>
    </row>
    <row r="42" spans="2:9">
      <c r="B42" t="s">
        <v>862</v>
      </c>
      <c r="G42" s="354">
        <v>93</v>
      </c>
      <c r="H42" s="354">
        <v>0</v>
      </c>
      <c r="I42" s="354">
        <v>0</v>
      </c>
    </row>
    <row r="43" spans="2:9">
      <c r="C43" t="s">
        <v>821</v>
      </c>
      <c r="G43" s="354">
        <v>85</v>
      </c>
      <c r="H43" s="354">
        <v>0</v>
      </c>
      <c r="I43" s="354">
        <v>0</v>
      </c>
    </row>
    <row r="44" spans="2:9">
      <c r="D44">
        <v>0</v>
      </c>
      <c r="G44" s="354">
        <v>85</v>
      </c>
      <c r="H44" s="354">
        <v>0</v>
      </c>
      <c r="I44" s="354">
        <v>0</v>
      </c>
    </row>
    <row r="45" spans="2:9">
      <c r="E45" t="s">
        <v>863</v>
      </c>
      <c r="G45" s="354">
        <v>76</v>
      </c>
      <c r="H45" s="354">
        <v>0</v>
      </c>
      <c r="I45" s="354">
        <v>0</v>
      </c>
    </row>
    <row r="46" spans="2:9">
      <c r="E46" t="s">
        <v>864</v>
      </c>
      <c r="G46" s="354">
        <v>9</v>
      </c>
      <c r="H46" s="354">
        <v>0</v>
      </c>
      <c r="I46" s="354">
        <v>0</v>
      </c>
    </row>
    <row r="47" spans="2:9">
      <c r="C47" t="s">
        <v>865</v>
      </c>
      <c r="G47" s="354">
        <v>8</v>
      </c>
      <c r="H47" s="354">
        <v>0</v>
      </c>
      <c r="I47" s="354">
        <v>0</v>
      </c>
    </row>
    <row r="48" spans="2:9">
      <c r="D48">
        <v>0</v>
      </c>
      <c r="G48" s="354">
        <v>8</v>
      </c>
      <c r="H48" s="354">
        <v>0</v>
      </c>
      <c r="I48" s="354">
        <v>0</v>
      </c>
    </row>
    <row r="49" spans="5:9">
      <c r="E49" t="s">
        <v>866</v>
      </c>
      <c r="G49" s="354">
        <v>8</v>
      </c>
      <c r="H49" s="354">
        <v>0</v>
      </c>
      <c r="I49" s="354">
        <v>0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cmd_clear_BOM_Pivot">
          <controlPr defaultSize="0" autoLine="0" autoPict="0" r:id="rId5">
            <anchor moveWithCells="1">
              <from>
                <xdr:col>6</xdr:col>
                <xdr:colOff>234950</xdr:colOff>
                <xdr:row>0</xdr:row>
                <xdr:rowOff>571500</xdr:rowOff>
              </from>
              <to>
                <xdr:col>7</xdr:col>
                <xdr:colOff>692150</xdr:colOff>
                <xdr:row>0</xdr:row>
                <xdr:rowOff>1066800</xdr:rowOff>
              </to>
            </anchor>
          </controlPr>
        </control>
      </mc:Choice>
      <mc:Fallback>
        <control shapeId="50179" r:id="rId4" name="cmd_clear_BOM_Pivot"/>
      </mc:Fallback>
    </mc:AlternateContent>
    <mc:AlternateContent xmlns:mc="http://schemas.openxmlformats.org/markup-compatibility/2006">
      <mc:Choice Requires="x14">
        <control shapeId="50178" r:id="rId6" name="cmd_test">
          <controlPr defaultSize="0" autoLine="0" autoPict="0" r:id="rId7">
            <anchor moveWithCells="1">
              <from>
                <xdr:col>8</xdr:col>
                <xdr:colOff>101600</xdr:colOff>
                <xdr:row>0</xdr:row>
                <xdr:rowOff>679450</xdr:rowOff>
              </from>
              <to>
                <xdr:col>9</xdr:col>
                <xdr:colOff>368300</xdr:colOff>
                <xdr:row>0</xdr:row>
                <xdr:rowOff>1365250</xdr:rowOff>
              </to>
            </anchor>
          </controlPr>
        </control>
      </mc:Choice>
      <mc:Fallback>
        <control shapeId="50178" r:id="rId6" name="cmd_test"/>
      </mc:Fallback>
    </mc:AlternateContent>
    <mc:AlternateContent xmlns:mc="http://schemas.openxmlformats.org/markup-compatibility/2006">
      <mc:Choice Requires="x14">
        <control shapeId="50177" r:id="rId8" name="cmd_get_Bom_pivot">
          <controlPr defaultSize="0" autoLine="0" r:id="rId9">
            <anchor moveWithCells="1">
              <from>
                <xdr:col>8</xdr:col>
                <xdr:colOff>107950</xdr:colOff>
                <xdr:row>0</xdr:row>
                <xdr:rowOff>101600</xdr:rowOff>
              </from>
              <to>
                <xdr:col>9</xdr:col>
                <xdr:colOff>292100</xdr:colOff>
                <xdr:row>0</xdr:row>
                <xdr:rowOff>622300</xdr:rowOff>
              </to>
            </anchor>
          </controlPr>
        </control>
      </mc:Choice>
      <mc:Fallback>
        <control shapeId="50177" r:id="rId8" name="cmd_get_Bom_pivo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3848-8C24-4010-BD52-A4FE2D7721AB}">
  <sheetPr codeName="Tabelle1"/>
  <dimension ref="A1:C12"/>
  <sheetViews>
    <sheetView workbookViewId="0">
      <pane ySplit="1" topLeftCell="A2" activePane="bottomLeft" state="frozen"/>
      <selection pane="bottomLeft" activeCell="B6" sqref="B6"/>
    </sheetView>
  </sheetViews>
  <sheetFormatPr defaultColWidth="11.453125" defaultRowHeight="14.5"/>
  <cols>
    <col min="1" max="1" width="26.08984375" customWidth="1"/>
    <col min="2" max="2" width="21.36328125" customWidth="1"/>
    <col min="3" max="3" width="45.08984375" customWidth="1"/>
  </cols>
  <sheetData>
    <row r="1" spans="1:3" ht="51" customHeight="1">
      <c r="A1" s="50" t="s">
        <v>2</v>
      </c>
      <c r="B1" s="50" t="s">
        <v>3</v>
      </c>
      <c r="C1" s="51" t="s">
        <v>4</v>
      </c>
    </row>
    <row r="2" spans="1:3" ht="15.5">
      <c r="A2" s="49" t="s">
        <v>5</v>
      </c>
      <c r="B2" s="48"/>
      <c r="C2" s="32"/>
    </row>
    <row r="3" spans="1:3">
      <c r="A3" s="49" t="s">
        <v>6</v>
      </c>
      <c r="B3" s="351"/>
      <c r="C3" s="318"/>
    </row>
    <row r="4" spans="1:3">
      <c r="A4" s="49" t="s">
        <v>7</v>
      </c>
      <c r="B4" s="33">
        <f>Qty_Typicals!C120</f>
        <v>0</v>
      </c>
      <c r="C4" s="32"/>
    </row>
    <row r="5" spans="1:3">
      <c r="A5" s="49" t="s">
        <v>108</v>
      </c>
      <c r="B5" s="33">
        <f>Qty_Typicals!C118</f>
        <v>0</v>
      </c>
      <c r="C5" s="32"/>
    </row>
    <row r="6" spans="1:3">
      <c r="A6" s="49" t="s">
        <v>735</v>
      </c>
      <c r="B6" s="33">
        <f>Qty_Typicals!C119</f>
        <v>0</v>
      </c>
      <c r="C6" s="32"/>
    </row>
    <row r="7" spans="1:3" ht="14" customHeight="1">
      <c r="A7" s="49" t="s">
        <v>8</v>
      </c>
      <c r="B7" s="34"/>
      <c r="C7" s="35" t="s">
        <v>9</v>
      </c>
    </row>
    <row r="8" spans="1:3">
      <c r="A8" s="49" t="s">
        <v>8</v>
      </c>
      <c r="B8" s="34"/>
      <c r="C8" s="35" t="s">
        <v>10</v>
      </c>
    </row>
    <row r="9" spans="1:3">
      <c r="A9" s="166" t="s">
        <v>8</v>
      </c>
      <c r="B9" s="221"/>
      <c r="C9" s="167" t="s">
        <v>11</v>
      </c>
    </row>
    <row r="10" spans="1:3">
      <c r="A10" s="166" t="s">
        <v>8</v>
      </c>
      <c r="B10" s="222"/>
      <c r="C10" s="167" t="s">
        <v>12</v>
      </c>
    </row>
    <row r="11" spans="1:3">
      <c r="A11" s="49" t="s">
        <v>13</v>
      </c>
      <c r="B11" s="36">
        <f>IF(Qty_Typicals!C123&gt;0,(B7+B8)/B4,0)</f>
        <v>0</v>
      </c>
      <c r="C11" s="32"/>
    </row>
    <row r="12" spans="1:3">
      <c r="A12" s="32"/>
      <c r="B12" s="37"/>
      <c r="C12" s="32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cmd_count_convLength">
          <controlPr defaultSize="0" autoLine="0" autoPict="0" r:id="rId5">
            <anchor moveWithCells="1">
              <from>
                <xdr:col>4</xdr:col>
                <xdr:colOff>107950</xdr:colOff>
                <xdr:row>0</xdr:row>
                <xdr:rowOff>158750</xdr:rowOff>
              </from>
              <to>
                <xdr:col>5</xdr:col>
                <xdr:colOff>571500</xdr:colOff>
                <xdr:row>0</xdr:row>
                <xdr:rowOff>603250</xdr:rowOff>
              </to>
            </anchor>
          </controlPr>
        </control>
      </mc:Choice>
      <mc:Fallback>
        <control shapeId="59393" r:id="rId4" name="cmd_count_convLengt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86CBA-E26E-4C47-86A8-B5A642002518}">
  <sheetPr codeName="Tabelle2"/>
  <dimension ref="A1:BS128"/>
  <sheetViews>
    <sheetView zoomScale="70" zoomScaleNormal="70" workbookViewId="0">
      <pane xSplit="4" ySplit="2" topLeftCell="E99" activePane="bottomRight" state="frozen"/>
      <selection pane="topRight" activeCell="D1" sqref="D1"/>
      <selection pane="bottomLeft" activeCell="A3" sqref="A3"/>
      <selection pane="bottomRight" activeCell="D78" sqref="D78"/>
    </sheetView>
  </sheetViews>
  <sheetFormatPr defaultColWidth="11.453125" defaultRowHeight="14.5" outlineLevelRow="1"/>
  <cols>
    <col min="1" max="1" width="12.90625" customWidth="1"/>
    <col min="2" max="2" width="32.36328125" style="179" customWidth="1"/>
    <col min="3" max="3" width="7.453125" customWidth="1"/>
    <col min="4" max="4" width="37.36328125" customWidth="1"/>
    <col min="5" max="5" width="21.90625" customWidth="1"/>
    <col min="6" max="7" width="6.36328125" customWidth="1"/>
    <col min="8" max="8" width="7.08984375" customWidth="1"/>
    <col min="9" max="63" width="6.36328125" customWidth="1"/>
    <col min="64" max="64" width="7.08984375" customWidth="1"/>
    <col min="65" max="65" width="6.54296875" customWidth="1"/>
    <col min="66" max="71" width="6.36328125" customWidth="1"/>
  </cols>
  <sheetData>
    <row r="1" spans="1:71" s="99" customFormat="1" ht="112.25" customHeight="1" thickBot="1">
      <c r="A1" s="98"/>
      <c r="B1" s="169"/>
    </row>
    <row r="2" spans="1:71" s="79" customFormat="1" ht="44.4" customHeight="1" thickBot="1">
      <c r="A2" s="100" t="s">
        <v>14</v>
      </c>
      <c r="B2" s="170" t="s">
        <v>15</v>
      </c>
      <c r="C2" s="101" t="s">
        <v>16</v>
      </c>
      <c r="D2" s="101" t="s">
        <v>17</v>
      </c>
      <c r="E2" s="245" t="str">
        <f>Conveyor_Types!E7</f>
        <v>M&gt;</v>
      </c>
      <c r="F2" s="120" t="str">
        <f>Conveyor_Types!F7</f>
        <v>&lt;M&gt;</v>
      </c>
      <c r="G2" s="120" t="str">
        <f>Conveyor_Types!G7</f>
        <v>M&gt;&gt;</v>
      </c>
      <c r="H2" s="258" t="str">
        <f>Conveyor_Types!H7</f>
        <v>&lt;&lt;M&gt;&gt;</v>
      </c>
      <c r="I2" s="245" t="str">
        <f>Conveyor_Types!I7</f>
        <v>PE</v>
      </c>
      <c r="J2" s="120" t="str">
        <f>Conveyor_Types!J7</f>
        <v>PEP</v>
      </c>
      <c r="K2" s="120" t="str">
        <f>Conveyor_Types!K7</f>
        <v>S/Tr</v>
      </c>
      <c r="L2" s="120" t="str">
        <f>Conveyor_Types!L7</f>
        <v>LC</v>
      </c>
      <c r="M2" s="119" t="str">
        <f>Conveyor_Types!M7</f>
        <v>Prox Ø 30</v>
      </c>
      <c r="N2" s="120" t="str">
        <f>Conveyor_Types!N7</f>
        <v>Prox Ø 18</v>
      </c>
      <c r="O2" s="120" t="str">
        <f>Conveyor_Types!O7</f>
        <v>LS</v>
      </c>
      <c r="P2" s="120" t="str">
        <f>Conveyor_Types!P7</f>
        <v>FS</v>
      </c>
      <c r="Q2" s="121" t="str">
        <f>Conveyor_Types!Q7</f>
        <v>PG</v>
      </c>
      <c r="R2" s="121" t="str">
        <f>Conveyor_Types!R7</f>
        <v>SA</v>
      </c>
      <c r="S2" s="121" t="str">
        <f>Conveyor_Types!S7</f>
        <v>TL1</v>
      </c>
      <c r="T2" s="121" t="str">
        <f>Conveyor_Types!T7</f>
        <v>TL2</v>
      </c>
      <c r="U2" s="121" t="str">
        <f>Conveyor_Types!U7</f>
        <v>TL3</v>
      </c>
      <c r="V2" s="121" t="str">
        <f>Conveyor_Types!V7</f>
        <v>TL4</v>
      </c>
      <c r="W2" s="121" t="str">
        <f>Conveyor_Types!W7</f>
        <v>TL5</v>
      </c>
      <c r="X2" s="121" t="str">
        <f>Conveyor_Types!X7</f>
        <v>ES</v>
      </c>
      <c r="Y2" s="121" t="str">
        <f>Conveyor_Types!Y7</f>
        <v>ESCI</v>
      </c>
      <c r="Z2" s="121" t="str">
        <f>Conveyor_Types!Z7</f>
        <v>ESRT</v>
      </c>
      <c r="AA2" s="121" t="str">
        <f>Conveyor_Types!AA7</f>
        <v>ESPW</v>
      </c>
      <c r="AB2" s="121" t="str">
        <f>Conveyor_Types!AB7</f>
        <v>SF</v>
      </c>
      <c r="AC2" s="120" t="str">
        <f>Conveyor_Types!AC7</f>
        <v>PBCI</v>
      </c>
      <c r="AD2" s="121" t="str">
        <f>Conveyor_Types!AD7</f>
        <v>CS1</v>
      </c>
      <c r="AE2" s="121" t="str">
        <f>Conveyor_Types!AE7</f>
        <v>CS2</v>
      </c>
      <c r="AF2" s="121" t="str">
        <f>Conveyor_Types!AF7</f>
        <v>CS3</v>
      </c>
      <c r="AG2" s="121" t="str">
        <f>Conveyor_Types!AG7</f>
        <v>CS4</v>
      </c>
      <c r="AH2" s="121" t="str">
        <f>Conveyor_Types!AH7</f>
        <v>CS5</v>
      </c>
      <c r="AI2" s="259" t="str">
        <f>Conveyor_Types!AI7</f>
        <v>ATR-
L1</v>
      </c>
      <c r="AJ2" s="259" t="str">
        <f>Conveyor_Types!AJ7</f>
        <v>ATR-
L2</v>
      </c>
      <c r="AK2" s="259" t="str">
        <f>Conveyor_Types!AK7</f>
        <v>ATR-
L3</v>
      </c>
      <c r="AL2" s="259" t="str">
        <f>Conveyor_Types!AL7</f>
        <v>ATR-
R1</v>
      </c>
      <c r="AM2" s="259" t="str">
        <f>Conveyor_Types!AM7</f>
        <v>ATR-
R2</v>
      </c>
      <c r="AN2" s="259" t="str">
        <f>Conveyor_Types!AN7</f>
        <v>ATR-
C1</v>
      </c>
      <c r="AO2" s="259" t="str">
        <f>Conveyor_Types!AO7</f>
        <v>ATR-
C2</v>
      </c>
      <c r="AP2" s="259" t="str">
        <f>Conveyor_Types!AP7</f>
        <v>ATR-
D</v>
      </c>
      <c r="AQ2" s="259" t="str">
        <f>Conveyor_Types!AQ7</f>
        <v>ALIS-
DIM</v>
      </c>
      <c r="AR2" s="121" t="str">
        <f>Conveyor_Types!AR7</f>
        <v>Ctr</v>
      </c>
      <c r="AS2" s="121" t="str">
        <f>Conveyor_Types!AS7</f>
        <v>RI</v>
      </c>
      <c r="AT2" s="121" t="str">
        <f>Conveyor_Types!AT7</f>
        <v>8I/8O</v>
      </c>
      <c r="AU2" s="121" t="str">
        <f>Conveyor_Types!AU7</f>
        <v>4I/4O</v>
      </c>
      <c r="AV2" s="120" t="str">
        <f>Conveyor_Types!AV7</f>
        <v>TrMD</v>
      </c>
      <c r="AW2" s="121" t="str">
        <f>Conveyor_Types!AW7</f>
        <v>FC
0,75</v>
      </c>
      <c r="AX2" s="121" t="str">
        <f>Conveyor_Types!AX7</f>
        <v>FC
1,1</v>
      </c>
      <c r="AY2" s="121" t="str">
        <f>Conveyor_Types!AY7</f>
        <v>FC
1,5</v>
      </c>
      <c r="AZ2" s="121" t="str">
        <f>Conveyor_Types!AZ7</f>
        <v>FC
2,2</v>
      </c>
      <c r="BA2" s="121" t="str">
        <f>Conveyor_Types!BA7</f>
        <v>FC
3,0</v>
      </c>
      <c r="BB2" s="121" t="str">
        <f>Conveyor_Types!BB7</f>
        <v>FC
4,0</v>
      </c>
      <c r="BC2" s="121" t="str">
        <f>Conveyor_Types!BC7</f>
        <v>FC
5,5</v>
      </c>
      <c r="BD2" s="121" t="str">
        <f>Conveyor_Types!BD7</f>
        <v>FC
7,5</v>
      </c>
      <c r="BE2" s="243" t="str">
        <f>Conveyor_Types!BE7</f>
        <v>Spare 1</v>
      </c>
      <c r="BF2" s="243" t="str">
        <f>Conveyor_Types!BF7</f>
        <v>Spare 2</v>
      </c>
      <c r="BG2" s="243" t="str">
        <f>Conveyor_Types!BG7</f>
        <v>Spare 3</v>
      </c>
      <c r="BH2" s="243" t="str">
        <f>Conveyor_Types!BH7</f>
        <v>Spare 4</v>
      </c>
      <c r="BI2" s="243" t="str">
        <f>Conveyor_Types!BI7</f>
        <v>Spare 5</v>
      </c>
      <c r="BJ2" s="243" t="str">
        <f>Conveyor_Types!BJ7</f>
        <v>Spare 6</v>
      </c>
      <c r="BK2" s="243" t="str">
        <f>Conveyor_Types!BK7</f>
        <v>Spare 7</v>
      </c>
      <c r="BL2" s="243" t="str">
        <f>Conveyor_Types!BL7</f>
        <v>Spare 8</v>
      </c>
      <c r="BM2" s="243" t="str">
        <f>Conveyor_Types!BM7</f>
        <v>Spare 9</v>
      </c>
      <c r="BN2" s="243" t="str">
        <f>Conveyor_Types!BN7</f>
        <v>Spare 10</v>
      </c>
      <c r="BO2" s="243" t="str">
        <f>Conveyor_Types!BO7</f>
        <v>Spare 11</v>
      </c>
      <c r="BP2" s="243" t="str">
        <f>Conveyor_Types!BP7</f>
        <v>Spare 12</v>
      </c>
      <c r="BQ2" s="243" t="str">
        <f>Conveyor_Types!BQ7</f>
        <v>Spare 13</v>
      </c>
      <c r="BR2" s="246" t="str">
        <f>Conveyor_Types!BR7</f>
        <v>Spare 14</v>
      </c>
      <c r="BS2" s="244" t="str">
        <f>Conveyor_Types!BS7</f>
        <v>End</v>
      </c>
    </row>
    <row r="3" spans="1:71" s="28" customFormat="1" ht="27" customHeight="1">
      <c r="A3" s="102" t="s">
        <v>59</v>
      </c>
      <c r="B3" s="266"/>
      <c r="C3" s="29"/>
      <c r="D3" s="29"/>
      <c r="E3" s="103"/>
      <c r="F3" s="104"/>
      <c r="G3" s="104"/>
      <c r="H3" s="104"/>
      <c r="I3" s="247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4"/>
      <c r="AU3" s="104"/>
      <c r="AV3" s="104"/>
      <c r="AW3" s="104"/>
      <c r="AX3" s="104"/>
      <c r="AY3" s="104"/>
      <c r="AZ3" s="104"/>
      <c r="BA3" s="104"/>
      <c r="BB3" s="104"/>
      <c r="BC3" s="104"/>
      <c r="BD3" s="104"/>
      <c r="BE3" s="104"/>
      <c r="BF3" s="104"/>
      <c r="BG3" s="104"/>
      <c r="BH3" s="104"/>
      <c r="BI3" s="104"/>
      <c r="BJ3" s="104"/>
      <c r="BK3" s="104"/>
      <c r="BL3" s="104"/>
      <c r="BM3" s="104"/>
      <c r="BN3" s="104"/>
      <c r="BO3" s="104"/>
      <c r="BP3" s="104"/>
      <c r="BQ3" s="104"/>
      <c r="BR3" s="248"/>
    </row>
    <row r="4" spans="1:71" s="28" customFormat="1" ht="12.9" customHeight="1" outlineLevel="1">
      <c r="A4" s="185" t="str">
        <f>Conveyor_Types!C8</f>
        <v>BLWC001</v>
      </c>
      <c r="B4" s="168" t="s">
        <v>795</v>
      </c>
      <c r="C4" s="132"/>
      <c r="D4" s="134" t="str">
        <f>Conveyor_Types!D8</f>
        <v>Check-In Weighing</v>
      </c>
      <c r="E4" s="103"/>
      <c r="F4" s="104"/>
      <c r="G4" s="104"/>
      <c r="H4" s="104"/>
      <c r="I4" s="247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04"/>
      <c r="AM4" s="104"/>
      <c r="AN4" s="104"/>
      <c r="AO4" s="104"/>
      <c r="AP4" s="104"/>
      <c r="AQ4" s="104"/>
      <c r="AR4" s="104"/>
      <c r="AS4" s="104"/>
      <c r="AT4" s="104"/>
      <c r="AU4" s="104"/>
      <c r="AV4" s="104"/>
      <c r="AW4" s="104"/>
      <c r="AX4" s="104"/>
      <c r="AY4" s="104"/>
      <c r="AZ4" s="104"/>
      <c r="BA4" s="104"/>
      <c r="BB4" s="104"/>
      <c r="BC4" s="104"/>
      <c r="BD4" s="104"/>
      <c r="BE4" s="104"/>
      <c r="BF4" s="104"/>
      <c r="BG4" s="104"/>
      <c r="BH4" s="104"/>
      <c r="BI4" s="104"/>
      <c r="BJ4" s="104"/>
      <c r="BK4" s="104"/>
      <c r="BL4" s="104"/>
      <c r="BM4" s="104"/>
      <c r="BN4" s="104"/>
      <c r="BO4" s="104"/>
      <c r="BP4" s="104"/>
      <c r="BQ4" s="104"/>
      <c r="BR4" s="248"/>
    </row>
    <row r="5" spans="1:71" s="28" customFormat="1" ht="12.9" customHeight="1" outlineLevel="1">
      <c r="A5" s="197" t="str">
        <f>Conveyor_Types!C9</f>
        <v>Bnnnxxx</v>
      </c>
      <c r="B5" s="168" t="s">
        <v>796</v>
      </c>
      <c r="C5" s="132"/>
      <c r="D5" s="134" t="str">
        <f>Conveyor_Types!D9</f>
        <v>Check-In Labelling</v>
      </c>
      <c r="E5" s="103"/>
      <c r="F5" s="104"/>
      <c r="G5" s="104"/>
      <c r="H5" s="104"/>
      <c r="I5" s="247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4"/>
      <c r="BM5" s="104"/>
      <c r="BN5" s="104"/>
      <c r="BO5" s="104"/>
      <c r="BP5" s="104"/>
      <c r="BQ5" s="104"/>
      <c r="BR5" s="248"/>
    </row>
    <row r="6" spans="1:71" s="28" customFormat="1" ht="12.9" customHeight="1" outlineLevel="1">
      <c r="A6" s="197" t="str">
        <f>Conveyor_Types!C10</f>
        <v>Bnnnxxx</v>
      </c>
      <c r="B6" s="168" t="s">
        <v>797</v>
      </c>
      <c r="C6" s="132"/>
      <c r="D6" s="134" t="str">
        <f>Conveyor_Types!D10</f>
        <v>Check-In Dispatch</v>
      </c>
      <c r="E6" s="103"/>
      <c r="F6" s="104"/>
      <c r="G6" s="104"/>
      <c r="H6" s="104"/>
      <c r="I6" s="247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248"/>
    </row>
    <row r="7" spans="1:71" s="28" customFormat="1" ht="12.9" customHeight="1" outlineLevel="1">
      <c r="A7" s="197" t="str">
        <f>Conveyor_Types!C11</f>
        <v>Bnnnxxx</v>
      </c>
      <c r="B7" s="168" t="s">
        <v>763</v>
      </c>
      <c r="C7" s="132"/>
      <c r="D7" s="134" t="str">
        <f>Conveyor_Types!D11</f>
        <v>Check-In Take Away</v>
      </c>
      <c r="E7" s="103"/>
      <c r="F7" s="104"/>
      <c r="G7" s="104"/>
      <c r="H7" s="104"/>
      <c r="I7" s="247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248"/>
    </row>
    <row r="8" spans="1:71" s="28" customFormat="1" ht="12.9" customHeight="1" outlineLevel="1">
      <c r="A8" s="197" t="str">
        <f>Conveyor_Types!C12</f>
        <v>Bnnnxxx</v>
      </c>
      <c r="B8" s="168" t="s">
        <v>750</v>
      </c>
      <c r="C8" s="132"/>
      <c r="D8" s="134" t="str">
        <f>Conveyor_Types!D12</f>
        <v xml:space="preserve">SBD AutoCheck-In </v>
      </c>
      <c r="E8" s="103"/>
      <c r="F8" s="104"/>
      <c r="G8" s="104"/>
      <c r="H8" s="104"/>
      <c r="I8" s="247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248"/>
    </row>
    <row r="9" spans="1:71" s="28" customFormat="1" ht="26.15" customHeight="1" outlineLevel="1">
      <c r="A9" s="131" t="str">
        <f>Conveyor_Types!C13</f>
        <v>BMSC001</v>
      </c>
      <c r="B9" s="168" t="s">
        <v>764</v>
      </c>
      <c r="C9" s="132"/>
      <c r="D9" s="134" t="str">
        <f>Conveyor_Types!D13</f>
        <v>Belt Metering</v>
      </c>
      <c r="E9" s="103"/>
      <c r="F9" s="104"/>
      <c r="G9" s="104"/>
      <c r="H9" s="104"/>
      <c r="I9" s="247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248"/>
    </row>
    <row r="10" spans="1:71" s="28" customFormat="1" ht="39" customHeight="1" outlineLevel="1">
      <c r="A10" s="131" t="str">
        <f>Conveyor_Types!C14</f>
        <v>BMSC001</v>
      </c>
      <c r="B10" s="168" t="s">
        <v>765</v>
      </c>
      <c r="C10" s="132"/>
      <c r="D10" s="134" t="str">
        <f>Conveyor_Types!D14</f>
        <v>Belt Straight</v>
      </c>
      <c r="E10" s="103"/>
      <c r="F10" s="104"/>
      <c r="G10" s="104"/>
      <c r="H10" s="104"/>
      <c r="I10" s="247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4"/>
      <c r="BQ10" s="104"/>
      <c r="BR10" s="248"/>
    </row>
    <row r="11" spans="1:71" s="28" customFormat="1" ht="39" customHeight="1" outlineLevel="1">
      <c r="A11" s="131" t="str">
        <f>Conveyor_Types!C15</f>
        <v>BTNC001</v>
      </c>
      <c r="B11" s="168" t="s">
        <v>766</v>
      </c>
      <c r="C11" s="132"/>
      <c r="D11" s="134" t="str">
        <f>Conveyor_Types!D15</f>
        <v>Belt Turn (Curve)</v>
      </c>
      <c r="E11" s="103"/>
      <c r="F11" s="104"/>
      <c r="G11" s="104"/>
      <c r="H11" s="104"/>
      <c r="I11" s="247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I11" s="104"/>
      <c r="AJ11" s="104"/>
      <c r="AK11" s="104"/>
      <c r="AL11" s="104"/>
      <c r="AM11" s="104"/>
      <c r="AN11" s="104"/>
      <c r="AO11" s="104"/>
      <c r="AP11" s="104"/>
      <c r="AQ11" s="104"/>
      <c r="AR11" s="104"/>
      <c r="AS11" s="104"/>
      <c r="AT11" s="104"/>
      <c r="AU11" s="104"/>
      <c r="AV11" s="104"/>
      <c r="AW11" s="104"/>
      <c r="AX11" s="104"/>
      <c r="AY11" s="104"/>
      <c r="AZ11" s="104"/>
      <c r="BA11" s="104"/>
      <c r="BB11" s="104"/>
      <c r="BC11" s="104"/>
      <c r="BD11" s="104"/>
      <c r="BE11" s="104"/>
      <c r="BF11" s="10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104"/>
      <c r="BR11" s="248"/>
    </row>
    <row r="12" spans="1:71" s="28" customFormat="1" ht="39" customHeight="1" outlineLevel="1">
      <c r="A12" s="180" t="str">
        <f>Conveyor_Types!C16</f>
        <v>BMGC001; BDDV001</v>
      </c>
      <c r="B12" s="168" t="s">
        <v>767</v>
      </c>
      <c r="C12" s="132"/>
      <c r="D12" s="134" t="str">
        <f>Conveyor_Types!D16</f>
        <v>Belt Merge/Divert</v>
      </c>
      <c r="E12" s="103"/>
      <c r="F12" s="104"/>
      <c r="G12" s="104"/>
      <c r="H12" s="104"/>
      <c r="I12" s="247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248"/>
    </row>
    <row r="13" spans="1:71" s="28" customFormat="1" ht="12.9" customHeight="1" outlineLevel="1">
      <c r="A13" s="131" t="str">
        <f>Conveyor_Types!C17</f>
        <v>BICC001</v>
      </c>
      <c r="B13" s="217" t="s">
        <v>768</v>
      </c>
      <c r="C13" s="132"/>
      <c r="D13" s="134" t="str">
        <f>Conveyor_Types!D17</f>
        <v>Belt Incline Conveyor</v>
      </c>
      <c r="E13" s="103"/>
      <c r="F13" s="104"/>
      <c r="G13" s="104"/>
      <c r="H13" s="104"/>
      <c r="I13" s="247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248"/>
    </row>
    <row r="14" spans="1:71" s="28" customFormat="1" ht="12.9" customHeight="1" outlineLevel="1">
      <c r="A14" s="131" t="str">
        <f>Conveyor_Types!C18</f>
        <v>BDCC001</v>
      </c>
      <c r="B14" s="217" t="s">
        <v>769</v>
      </c>
      <c r="C14" s="132"/>
      <c r="D14" s="134" t="str">
        <f>Conveyor_Types!D18</f>
        <v>Belt Decline Conveyor</v>
      </c>
      <c r="E14" s="103"/>
      <c r="F14" s="104"/>
      <c r="G14" s="104"/>
      <c r="H14" s="104"/>
      <c r="I14" s="247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248"/>
    </row>
    <row r="15" spans="1:71" s="28" customFormat="1" ht="12.9" customHeight="1" outlineLevel="1">
      <c r="A15" s="131" t="str">
        <f>Conveyor_Types!C19</f>
        <v>BPRC001</v>
      </c>
      <c r="B15" s="217" t="s">
        <v>770</v>
      </c>
      <c r="C15" s="132"/>
      <c r="D15" s="134" t="str">
        <f>Conveyor_Types!D19</f>
        <v>Belt Pier Conveyor</v>
      </c>
      <c r="E15" s="103"/>
      <c r="F15" s="104"/>
      <c r="G15" s="104"/>
      <c r="H15" s="104"/>
      <c r="I15" s="247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248"/>
    </row>
    <row r="16" spans="1:71" s="28" customFormat="1" ht="12.9" customHeight="1" outlineLevel="1">
      <c r="A16" s="131" t="str">
        <f>Conveyor_Types!C20</f>
        <v>BTLS001</v>
      </c>
      <c r="B16" s="217" t="s">
        <v>746</v>
      </c>
      <c r="C16" s="132"/>
      <c r="D16" s="134" t="str">
        <f>Conveyor_Types!D20</f>
        <v>Belt Load Conveyor</v>
      </c>
      <c r="E16" s="103"/>
      <c r="F16" s="104"/>
      <c r="G16" s="104"/>
      <c r="H16" s="104"/>
      <c r="I16" s="247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248"/>
    </row>
    <row r="17" spans="1:70" s="28" customFormat="1" ht="12.9" customHeight="1" outlineLevel="1">
      <c r="A17" s="131" t="str">
        <f>Conveyor_Types!C21</f>
        <v>BHSD001</v>
      </c>
      <c r="B17" s="217" t="s">
        <v>771</v>
      </c>
      <c r="C17" s="132"/>
      <c r="D17" s="341" t="str">
        <f>Conveyor_Types!D21</f>
        <v>High Speed Diverter (HSD/HDU)</v>
      </c>
      <c r="E17" s="103"/>
      <c r="F17" s="104"/>
      <c r="G17" s="104"/>
      <c r="H17" s="104"/>
      <c r="I17" s="247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248"/>
    </row>
    <row r="18" spans="1:70" s="28" customFormat="1" ht="12.9" customHeight="1" outlineLevel="1">
      <c r="A18" s="131" t="str">
        <f>Conveyor_Types!C22</f>
        <v>BHDC001</v>
      </c>
      <c r="B18" s="217" t="s">
        <v>772</v>
      </c>
      <c r="C18" s="132"/>
      <c r="D18" s="341" t="str">
        <f>Conveyor_Types!D22</f>
        <v>Plough (Single Arm) Divert</v>
      </c>
      <c r="E18" s="103"/>
      <c r="F18" s="104"/>
      <c r="G18" s="104"/>
      <c r="H18" s="104"/>
      <c r="I18" s="247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248"/>
    </row>
    <row r="19" spans="1:70" s="28" customFormat="1" ht="12.9" customHeight="1" outlineLevel="1">
      <c r="A19" s="131" t="str">
        <f>Conveyor_Types!C23</f>
        <v>BSTT001</v>
      </c>
      <c r="B19" s="217" t="s">
        <v>747</v>
      </c>
      <c r="C19" s="132"/>
      <c r="D19" s="341" t="str">
        <f>Conveyor_Types!D23</f>
        <v>Belt Tilter Plus</v>
      </c>
      <c r="E19" s="103"/>
      <c r="F19" s="104"/>
      <c r="G19" s="104"/>
      <c r="H19" s="104"/>
      <c r="I19" s="247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248"/>
    </row>
    <row r="20" spans="1:70" s="28" customFormat="1" ht="12.9" customHeight="1" outlineLevel="1">
      <c r="A20" s="131" t="str">
        <f>Conveyor_Types!C24</f>
        <v>BVSU001</v>
      </c>
      <c r="B20" s="217" t="s">
        <v>773</v>
      </c>
      <c r="C20" s="132"/>
      <c r="D20" s="341" t="str">
        <f>Conveyor_Types!D24</f>
        <v>Verti-Sorter - one Arm</v>
      </c>
      <c r="E20" s="103"/>
      <c r="F20" s="104"/>
      <c r="G20" s="104"/>
      <c r="H20" s="104"/>
      <c r="I20" s="247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248"/>
    </row>
    <row r="21" spans="1:70" s="28" customFormat="1" ht="12.9" customHeight="1" outlineLevel="1">
      <c r="A21" s="131" t="str">
        <f>Conveyor_Types!C25</f>
        <v>BVMU001</v>
      </c>
      <c r="B21" s="182"/>
      <c r="C21" s="132"/>
      <c r="D21" s="341" t="str">
        <f>Conveyor_Types!D25</f>
        <v>Verti-Merge - one Arm</v>
      </c>
      <c r="E21" s="103"/>
      <c r="F21" s="104"/>
      <c r="G21" s="104"/>
      <c r="H21" s="104"/>
      <c r="I21" s="247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248"/>
    </row>
    <row r="22" spans="1:70" s="28" customFormat="1" ht="12.9" customHeight="1" outlineLevel="1">
      <c r="A22" s="197" t="str">
        <f>Conveyor_Types!C26</f>
        <v>Bnnnxxx</v>
      </c>
      <c r="B22" s="182"/>
      <c r="C22" s="132"/>
      <c r="D22" s="341" t="str">
        <f>Conveyor_Types!D26</f>
        <v>Verti-Sorter - three Arm</v>
      </c>
      <c r="E22" s="103"/>
      <c r="F22" s="104"/>
      <c r="G22" s="104"/>
      <c r="H22" s="104"/>
      <c r="I22" s="247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248"/>
    </row>
    <row r="23" spans="1:70" s="28" customFormat="1" ht="12.9" customHeight="1" outlineLevel="1">
      <c r="A23" s="197" t="str">
        <f>Conveyor_Types!C32</f>
        <v>Bnnnxxx</v>
      </c>
      <c r="B23" s="217" t="s">
        <v>779</v>
      </c>
      <c r="C23" s="132"/>
      <c r="D23" s="341" t="str">
        <f>Conveyor_Types!D32</f>
        <v>Belt Lift</v>
      </c>
      <c r="E23" s="103"/>
      <c r="F23" s="104"/>
      <c r="G23" s="104"/>
      <c r="H23" s="104"/>
      <c r="I23" s="247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248"/>
    </row>
    <row r="24" spans="1:70" s="28" customFormat="1" ht="12.9" customHeight="1" outlineLevel="1">
      <c r="A24" s="197" t="str">
        <f>Conveyor_Types!C33</f>
        <v>Bnnnxxx</v>
      </c>
      <c r="B24" s="217" t="s">
        <v>780</v>
      </c>
      <c r="C24" s="132"/>
      <c r="D24" s="341" t="str">
        <f>Conveyor_Types!D33</f>
        <v>Belt S/C - Lift</v>
      </c>
      <c r="E24" s="103"/>
      <c r="F24" s="104"/>
      <c r="G24" s="104"/>
      <c r="H24" s="104"/>
      <c r="I24" s="247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248"/>
    </row>
    <row r="25" spans="1:70" s="28" customFormat="1" ht="12.9" customHeight="1" outlineLevel="1">
      <c r="A25" s="197" t="str">
        <f>Conveyor_Types!C34</f>
        <v>Bnnnxxx</v>
      </c>
      <c r="B25" s="217" t="s">
        <v>744</v>
      </c>
      <c r="C25" s="132"/>
      <c r="D25" s="341" t="str">
        <f>Conveyor_Types!D34</f>
        <v>Belt Pusher</v>
      </c>
      <c r="E25" s="103"/>
      <c r="F25" s="104"/>
      <c r="G25" s="104"/>
      <c r="H25" s="104"/>
      <c r="I25" s="247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248"/>
    </row>
    <row r="26" spans="1:70" s="28" customFormat="1" ht="12.9" customHeight="1" outlineLevel="1">
      <c r="A26" s="197" t="str">
        <f>Conveyor_Types!C35</f>
        <v>Bnnnxxx</v>
      </c>
      <c r="B26" s="217" t="s">
        <v>745</v>
      </c>
      <c r="C26" s="132"/>
      <c r="D26" s="341" t="str">
        <f>Conveyor_Types!D35</f>
        <v>Belt Vario Flip</v>
      </c>
      <c r="E26" s="103"/>
      <c r="F26" s="104"/>
      <c r="G26" s="104"/>
      <c r="H26" s="104"/>
      <c r="I26" s="247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248"/>
    </row>
    <row r="27" spans="1:70" s="28" customFormat="1" ht="12.9" customHeight="1" outlineLevel="1">
      <c r="A27" s="197" t="str">
        <f>Conveyor_Types!C27</f>
        <v>Bnnnxxx</v>
      </c>
      <c r="B27" s="217" t="s">
        <v>774</v>
      </c>
      <c r="C27" s="132"/>
      <c r="D27" s="134" t="str">
        <f>Conveyor_Types!D27</f>
        <v>Carousel Arrival 2 Drives</v>
      </c>
      <c r="E27" s="103"/>
      <c r="F27" s="104"/>
      <c r="G27" s="104"/>
      <c r="H27" s="104"/>
      <c r="I27" s="247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248"/>
    </row>
    <row r="28" spans="1:70" s="28" customFormat="1" ht="12.9" customHeight="1" outlineLevel="1">
      <c r="A28" s="197" t="str">
        <f>Conveyor_Types!C28</f>
        <v>Bnnnxxx</v>
      </c>
      <c r="B28" s="217" t="s">
        <v>775</v>
      </c>
      <c r="C28" s="132"/>
      <c r="D28" s="134" t="str">
        <f>Conveyor_Types!D28</f>
        <v>Carousel Departure 2 Drives</v>
      </c>
      <c r="E28" s="103"/>
      <c r="F28" s="104"/>
      <c r="G28" s="104"/>
      <c r="H28" s="104"/>
      <c r="I28" s="247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248"/>
    </row>
    <row r="29" spans="1:70" s="28" customFormat="1" ht="26.15" customHeight="1" outlineLevel="1">
      <c r="A29" s="197" t="str">
        <f>Conveyor_Types!C29</f>
        <v>Bnnnxxx</v>
      </c>
      <c r="B29" s="217" t="s">
        <v>776</v>
      </c>
      <c r="C29" s="132"/>
      <c r="D29" s="134" t="str">
        <f>Conveyor_Types!D29</f>
        <v>Roller Conv./Turn</v>
      </c>
      <c r="E29" s="103"/>
      <c r="F29" s="104"/>
      <c r="G29" s="104"/>
      <c r="H29" s="104"/>
      <c r="I29" s="247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248"/>
    </row>
    <row r="30" spans="1:70" s="28" customFormat="1" ht="39" customHeight="1" outlineLevel="1">
      <c r="A30" s="197" t="str">
        <f>Conveyor_Types!C30</f>
        <v>Bnnnxxx</v>
      </c>
      <c r="B30" s="217" t="s">
        <v>777</v>
      </c>
      <c r="C30" s="132"/>
      <c r="D30" s="134" t="str">
        <f>Conveyor_Types!D30</f>
        <v>X-Ray L1</v>
      </c>
      <c r="E30" s="103"/>
      <c r="F30" s="104"/>
      <c r="G30" s="104"/>
      <c r="H30" s="104"/>
      <c r="I30" s="247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248"/>
    </row>
    <row r="31" spans="1:70" s="28" customFormat="1" ht="35.4" customHeight="1" outlineLevel="1">
      <c r="A31" s="197" t="str">
        <f>Conveyor_Types!C31</f>
        <v>Bnnnxxx</v>
      </c>
      <c r="B31" s="217" t="s">
        <v>778</v>
      </c>
      <c r="C31" s="132"/>
      <c r="D31" s="134" t="str">
        <f>Conveyor_Types!D31</f>
        <v>X-Ray L3</v>
      </c>
      <c r="E31" s="103"/>
      <c r="F31" s="104"/>
      <c r="G31" s="104"/>
      <c r="H31" s="104"/>
      <c r="I31" s="247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248"/>
    </row>
    <row r="32" spans="1:70" s="28" customFormat="1" ht="12.9" customHeight="1" outlineLevel="1">
      <c r="A32" s="197" t="str">
        <f>Conveyor_Types!C36</f>
        <v>Bnnnxxx</v>
      </c>
      <c r="B32" s="182"/>
      <c r="C32" s="132"/>
      <c r="D32" s="133" t="str">
        <f>Conveyor_Types!D36</f>
        <v>???? Spare Conveyor ????</v>
      </c>
      <c r="E32" s="103"/>
      <c r="F32" s="104"/>
      <c r="G32" s="104"/>
      <c r="H32" s="104"/>
      <c r="I32" s="247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248"/>
    </row>
    <row r="33" spans="1:70" s="28" customFormat="1" ht="12.9" customHeight="1" outlineLevel="1">
      <c r="A33" s="197" t="str">
        <f>Conveyor_Types!C37</f>
        <v>Bnnnxxx</v>
      </c>
      <c r="B33" s="168" t="s">
        <v>781</v>
      </c>
      <c r="C33" s="132"/>
      <c r="D33" s="134" t="str">
        <f>Conveyor_Types!D37</f>
        <v>Belt Manual Encoding Station</v>
      </c>
      <c r="E33" s="103"/>
      <c r="F33" s="104"/>
      <c r="G33" s="104"/>
      <c r="H33" s="104"/>
      <c r="I33" s="247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248"/>
    </row>
    <row r="34" spans="1:70" s="28" customFormat="1" ht="12.9" customHeight="1" outlineLevel="1">
      <c r="A34" s="198" t="str">
        <f>Conveyor_Types!C39</f>
        <v>Bnnnxxx</v>
      </c>
      <c r="B34" s="216" t="s">
        <v>749</v>
      </c>
      <c r="C34" s="199"/>
      <c r="D34" s="220" t="str">
        <f>Conveyor_Types!D39</f>
        <v>Customs-Workstation</v>
      </c>
      <c r="E34" s="103"/>
      <c r="F34" s="104"/>
      <c r="G34" s="104"/>
      <c r="H34" s="104"/>
      <c r="I34" s="247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248"/>
    </row>
    <row r="35" spans="1:70" s="28" customFormat="1" ht="12.9" customHeight="1" outlineLevel="1">
      <c r="A35" s="185" t="str">
        <f>Conveyor_Types!C63</f>
        <v>BSCR001</v>
      </c>
      <c r="B35" s="168" t="s">
        <v>60</v>
      </c>
      <c r="C35" s="132"/>
      <c r="D35" s="134" t="str">
        <f>Conveyor_Types!D63</f>
        <v>Laser 360° LCB750/10</v>
      </c>
      <c r="E35" s="103"/>
      <c r="F35" s="104"/>
      <c r="G35" s="104"/>
      <c r="H35" s="104"/>
      <c r="I35" s="247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248"/>
    </row>
    <row r="36" spans="1:70" s="28" customFormat="1" ht="12.9" customHeight="1" outlineLevel="1">
      <c r="A36" s="131" t="str">
        <f>Conveyor_Types!C64</f>
        <v>BSCR002</v>
      </c>
      <c r="B36" s="168" t="s">
        <v>61</v>
      </c>
      <c r="C36" s="340"/>
      <c r="D36" s="134" t="str">
        <f>Conveyor_Types!D64</f>
        <v>Laser 360° LCB750/12</v>
      </c>
      <c r="E36" s="103"/>
      <c r="F36" s="104"/>
      <c r="G36" s="104"/>
      <c r="H36" s="104"/>
      <c r="I36" s="247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248"/>
    </row>
    <row r="37" spans="1:70" s="28" customFormat="1" ht="12.9" customHeight="1" outlineLevel="1">
      <c r="A37" s="131" t="str">
        <f>Conveyor_Types!C65</f>
        <v>BSCR003</v>
      </c>
      <c r="B37" s="168" t="s">
        <v>62</v>
      </c>
      <c r="C37" s="340"/>
      <c r="D37" s="134" t="str">
        <f>Conveyor_Types!D65</f>
        <v>Laser 360° LCB750/14</v>
      </c>
      <c r="E37" s="103"/>
      <c r="F37" s="104"/>
      <c r="G37" s="104"/>
      <c r="H37" s="104"/>
      <c r="I37" s="247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248"/>
    </row>
    <row r="38" spans="1:70" s="28" customFormat="1" ht="12.9" customHeight="1" outlineLevel="1">
      <c r="A38" s="131"/>
      <c r="B38" s="168" t="s">
        <v>63</v>
      </c>
      <c r="C38" s="132"/>
      <c r="D38" s="134" t="str">
        <f>Conveyor_Types!D66</f>
        <v>RFID Add-on</v>
      </c>
      <c r="E38" s="103"/>
      <c r="F38" s="104"/>
      <c r="G38" s="104"/>
      <c r="H38" s="104"/>
      <c r="I38" s="247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248"/>
    </row>
    <row r="39" spans="1:70" s="28" customFormat="1" ht="12.9" customHeight="1" outlineLevel="1">
      <c r="A39" s="131" t="str">
        <f>Conveyor_Types!C67</f>
        <v>BSCR004</v>
      </c>
      <c r="B39" s="168" t="s">
        <v>64</v>
      </c>
      <c r="C39" s="132"/>
      <c r="D39" s="134" t="str">
        <f>Conveyor_Types!D67</f>
        <v>RFID Standalone System</v>
      </c>
      <c r="E39" s="103"/>
      <c r="F39" s="104"/>
      <c r="G39" s="104"/>
      <c r="H39" s="104"/>
      <c r="I39" s="247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248"/>
    </row>
    <row r="40" spans="1:70" s="28" customFormat="1" ht="12.9" customHeight="1" outlineLevel="1">
      <c r="A40" s="131" t="str">
        <f>Conveyor_Types!C68</f>
        <v>BSCR005</v>
      </c>
      <c r="B40" s="168" t="s">
        <v>65</v>
      </c>
      <c r="C40" s="132"/>
      <c r="D40" s="134" t="str">
        <f>Conveyor_Types!D68</f>
        <v>ALIS Hybrid System ATR+RFID</v>
      </c>
      <c r="E40" s="103"/>
      <c r="F40" s="104"/>
      <c r="G40" s="104"/>
      <c r="H40" s="104"/>
      <c r="I40" s="247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248"/>
    </row>
    <row r="41" spans="1:70" s="28" customFormat="1" ht="12.9" customHeight="1" outlineLevel="1">
      <c r="A41" s="131" t="str">
        <f>Conveyor_Types!C69</f>
        <v>BSCR006</v>
      </c>
      <c r="B41" s="168" t="s">
        <v>66</v>
      </c>
      <c r="C41" s="132"/>
      <c r="D41" s="134" t="str">
        <f>Conveyor_Types!D69</f>
        <v>ALIS CAM: Add-on  8 x cameras</v>
      </c>
      <c r="E41" s="103"/>
      <c r="F41" s="104"/>
      <c r="G41" s="104"/>
      <c r="H41" s="104"/>
      <c r="I41" s="247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248"/>
    </row>
    <row r="42" spans="1:70" s="28" customFormat="1" ht="12.9" customHeight="1" outlineLevel="1">
      <c r="A42" s="338" t="s">
        <v>67</v>
      </c>
      <c r="B42" s="182" t="s">
        <v>71</v>
      </c>
      <c r="C42" s="339"/>
      <c r="D42" s="134" t="str">
        <f>Conveyor_Types!D70</f>
        <v>ATR Diagnostic RTD 400</v>
      </c>
      <c r="E42" s="103"/>
      <c r="F42" s="104"/>
      <c r="G42" s="104"/>
      <c r="H42" s="104"/>
      <c r="I42" s="247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248"/>
    </row>
    <row r="43" spans="1:70" s="28" customFormat="1" ht="12.9" customHeight="1" outlineLevel="1">
      <c r="A43" s="131">
        <f>Conveyor_Types!C71</f>
        <v>0</v>
      </c>
      <c r="B43" s="168" t="s">
        <v>762</v>
      </c>
      <c r="C43" s="132"/>
      <c r="D43" s="134" t="str">
        <f>Conveyor_Types!D71</f>
        <v>Volume Scanner ALIS DIM</v>
      </c>
      <c r="E43" s="103"/>
      <c r="F43" s="104"/>
      <c r="G43" s="104"/>
      <c r="H43" s="104"/>
      <c r="I43" s="247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248"/>
    </row>
    <row r="44" spans="1:70" s="28" customFormat="1" ht="12.9" customHeight="1" outlineLevel="1">
      <c r="A44" s="131" t="str">
        <f>Conveyor_Types!C72</f>
        <v>BOHD001</v>
      </c>
      <c r="B44" s="168" t="s">
        <v>748</v>
      </c>
      <c r="C44" s="132"/>
      <c r="D44" s="134" t="str">
        <f>Conveyor_Types!D72</f>
        <v>Height/Length Check</v>
      </c>
      <c r="E44" s="103"/>
      <c r="F44" s="104"/>
      <c r="G44" s="104"/>
      <c r="H44" s="104"/>
      <c r="I44" s="247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248"/>
    </row>
    <row r="45" spans="1:70" s="28" customFormat="1" ht="12.9" customHeight="1" outlineLevel="1">
      <c r="A45" s="338" t="s">
        <v>67</v>
      </c>
      <c r="B45" s="168"/>
      <c r="C45" s="339"/>
      <c r="D45" s="134" t="str">
        <f>Conveyor_Types!D73</f>
        <v>Width Check</v>
      </c>
      <c r="E45" s="103"/>
      <c r="F45" s="104"/>
      <c r="G45" s="104"/>
      <c r="H45" s="104"/>
      <c r="I45" s="247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248"/>
    </row>
    <row r="46" spans="1:70" s="28" customFormat="1" ht="12.9" customHeight="1" outlineLevel="1">
      <c r="A46" s="136" t="s">
        <v>68</v>
      </c>
      <c r="B46" s="168"/>
      <c r="C46" s="137">
        <f>C12+C13+C14+C17+C18+C19+C20+C21+C22+C23+C24</f>
        <v>0</v>
      </c>
      <c r="D46" s="134" t="str">
        <f>Conveyor_Types!D75</f>
        <v>Jam Add on</v>
      </c>
      <c r="E46" s="103"/>
      <c r="F46" s="104"/>
      <c r="G46" s="104"/>
      <c r="H46" s="104"/>
      <c r="I46" s="247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248"/>
    </row>
    <row r="47" spans="1:70" s="28" customFormat="1" ht="12.9" customHeight="1" outlineLevel="1">
      <c r="A47" s="136" t="s">
        <v>68</v>
      </c>
      <c r="B47" s="168"/>
      <c r="C47" s="137">
        <f>(C9+C10+C11+C12+C13+C14+C20+C21+C22)*0.1</f>
        <v>0</v>
      </c>
      <c r="D47" s="134" t="str">
        <f>Conveyor_Types!D76</f>
        <v xml:space="preserve">Track. Devices PG (addit.) </v>
      </c>
      <c r="E47" s="103"/>
      <c r="F47" s="104"/>
      <c r="G47" s="104"/>
      <c r="H47" s="104"/>
      <c r="I47" s="247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248"/>
    </row>
    <row r="48" spans="1:70" s="28" customFormat="1" ht="12.9" customHeight="1" outlineLevel="1">
      <c r="A48" s="136" t="s">
        <v>68</v>
      </c>
      <c r="B48" s="168"/>
      <c r="C48" s="137">
        <f>(C9+C10+C11+C12+C13+C14+C20+C21+C22)*0.1</f>
        <v>0</v>
      </c>
      <c r="D48" s="134" t="str">
        <f>Conveyor_Types!D77</f>
        <v xml:space="preserve">Track. Devices PE (addit.) </v>
      </c>
      <c r="E48" s="103"/>
      <c r="F48" s="104"/>
      <c r="G48" s="104"/>
      <c r="H48" s="104"/>
      <c r="I48" s="247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248"/>
    </row>
    <row r="49" spans="1:70" s="28" customFormat="1" ht="12.9" customHeight="1" outlineLevel="1">
      <c r="A49" s="136" t="s">
        <v>68</v>
      </c>
      <c r="B49" s="168"/>
      <c r="C49" s="137">
        <f>ROUNDUP(Parameter!B7/15,0)*1</f>
        <v>0</v>
      </c>
      <c r="D49" s="134" t="str">
        <f>Conveyor_Types!D38</f>
        <v>Additional E-Stop Belt</v>
      </c>
      <c r="E49" s="103"/>
      <c r="F49" s="104"/>
      <c r="G49" s="104"/>
      <c r="H49" s="104"/>
      <c r="I49" s="247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8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248"/>
    </row>
    <row r="50" spans="1:70" s="28" customFormat="1" ht="12.9" customHeight="1" outlineLevel="1">
      <c r="A50" s="330"/>
      <c r="B50" s="331"/>
      <c r="C50" s="332"/>
      <c r="D50" s="333" t="s">
        <v>737</v>
      </c>
      <c r="E50" s="103"/>
      <c r="F50" s="104"/>
      <c r="G50" s="104"/>
      <c r="H50" s="104"/>
      <c r="I50" s="247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248"/>
    </row>
    <row r="51" spans="1:70" s="28" customFormat="1" ht="12" customHeight="1">
      <c r="A51" s="139" t="s">
        <v>69</v>
      </c>
      <c r="B51" s="171"/>
      <c r="C51" s="140">
        <f>SUM(C4:C50)</f>
        <v>0</v>
      </c>
      <c r="D51" s="141">
        <f>SUM(E4:H50)</f>
        <v>0</v>
      </c>
      <c r="E51" s="103"/>
      <c r="F51" s="104"/>
      <c r="G51" s="104"/>
      <c r="H51" s="104"/>
      <c r="I51" s="247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248"/>
    </row>
    <row r="52" spans="1:70" s="28" customFormat="1" ht="9.9" customHeight="1" thickBot="1">
      <c r="A52" s="142"/>
      <c r="B52" s="172"/>
      <c r="C52" s="143"/>
      <c r="D52" s="143"/>
      <c r="E52" s="105"/>
      <c r="F52" s="106"/>
      <c r="G52" s="106"/>
      <c r="H52" s="106"/>
      <c r="I52" s="249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06"/>
      <c r="AV52" s="106"/>
      <c r="AW52" s="106"/>
      <c r="AX52" s="106"/>
      <c r="AY52" s="106"/>
      <c r="AZ52" s="106"/>
      <c r="BA52" s="106"/>
      <c r="BB52" s="106"/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250"/>
    </row>
    <row r="53" spans="1:70" s="28" customFormat="1" ht="19.5" customHeight="1">
      <c r="A53" s="144" t="s">
        <v>70</v>
      </c>
      <c r="B53" s="266"/>
      <c r="C53" s="145"/>
      <c r="D53" s="145"/>
      <c r="E53" s="103"/>
      <c r="F53" s="104"/>
      <c r="G53" s="104"/>
      <c r="H53" s="104"/>
      <c r="I53" s="247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248"/>
    </row>
    <row r="54" spans="1:70" s="28" customFormat="1" ht="26.15" customHeight="1" outlineLevel="1">
      <c r="A54" s="200" t="str">
        <f>Conveyor_Types!C40</f>
        <v>TDDV001 / TIMG001</v>
      </c>
      <c r="B54" s="267" t="s">
        <v>782</v>
      </c>
      <c r="C54" s="201"/>
      <c r="D54" s="263" t="str">
        <f>Conveyor_Types!D40</f>
        <v>Tray Metering Conveyor</v>
      </c>
      <c r="E54" s="103"/>
      <c r="F54" s="104"/>
      <c r="G54" s="104"/>
      <c r="H54" s="104"/>
      <c r="I54" s="247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248"/>
    </row>
    <row r="55" spans="1:70" s="28" customFormat="1" ht="26.15" customHeight="1" outlineLevel="1">
      <c r="A55" s="131" t="str">
        <f>Conveyor_Types!C41</f>
        <v>TSTR001 / TSRV001</v>
      </c>
      <c r="B55" s="217" t="s">
        <v>783</v>
      </c>
      <c r="C55" s="132"/>
      <c r="D55" s="264" t="str">
        <f>Conveyor_Types!D41</f>
        <v>Tray Straight Conveyor</v>
      </c>
      <c r="E55" s="103"/>
      <c r="F55" s="104"/>
      <c r="G55" s="104"/>
      <c r="H55" s="104"/>
      <c r="I55" s="247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248"/>
    </row>
    <row r="56" spans="1:70" s="28" customFormat="1" ht="12.9" customHeight="1" outlineLevel="1">
      <c r="A56" s="131" t="str">
        <f>Conveyor_Types!C42</f>
        <v>TCRV001</v>
      </c>
      <c r="B56" s="217" t="s">
        <v>784</v>
      </c>
      <c r="C56" s="132"/>
      <c r="D56" s="264" t="str">
        <f>Conveyor_Types!D42</f>
        <v>Tray Turn Active</v>
      </c>
      <c r="E56" s="103"/>
      <c r="F56" s="104"/>
      <c r="G56" s="104"/>
      <c r="H56" s="104"/>
      <c r="I56" s="247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248"/>
    </row>
    <row r="57" spans="1:70" s="28" customFormat="1" ht="12.9" customHeight="1" outlineLevel="1">
      <c r="A57" s="131" t="str">
        <f>Conveyor_Types!C43</f>
        <v>TMRG001</v>
      </c>
      <c r="B57" s="217" t="s">
        <v>755</v>
      </c>
      <c r="C57" s="132"/>
      <c r="D57" s="264" t="str">
        <f>Conveyor_Types!D43</f>
        <v>Tray Merge Conveyor</v>
      </c>
      <c r="E57" s="103"/>
      <c r="F57" s="104"/>
      <c r="G57" s="104"/>
      <c r="H57" s="104"/>
      <c r="I57" s="247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248"/>
    </row>
    <row r="58" spans="1:70" s="28" customFormat="1" ht="12.9" customHeight="1" outlineLevel="1">
      <c r="A58" s="131" t="str">
        <f>Conveyor_Types!C44</f>
        <v>TDIV001</v>
      </c>
      <c r="B58" s="217" t="s">
        <v>754</v>
      </c>
      <c r="C58" s="132"/>
      <c r="D58" s="264" t="str">
        <f>Conveyor_Types!D44</f>
        <v>Tray Divert Conveyor</v>
      </c>
      <c r="E58" s="103"/>
      <c r="F58" s="104"/>
      <c r="G58" s="104"/>
      <c r="H58" s="104"/>
      <c r="I58" s="247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248"/>
    </row>
    <row r="59" spans="1:70" s="28" customFormat="1" ht="12.9" customHeight="1" outlineLevel="1">
      <c r="A59" s="131" t="str">
        <f>Conveyor_Types!C45</f>
        <v>TICL001 / TDCL001</v>
      </c>
      <c r="B59" s="217" t="s">
        <v>751</v>
      </c>
      <c r="C59" s="132"/>
      <c r="D59" s="264" t="str">
        <f>Conveyor_Types!D45</f>
        <v>Tray Incline/Decline</v>
      </c>
      <c r="E59" s="103"/>
      <c r="F59" s="104"/>
      <c r="G59" s="104"/>
      <c r="H59" s="104"/>
      <c r="I59" s="247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248"/>
    </row>
    <row r="60" spans="1:70" s="28" customFormat="1" ht="12.9" customHeight="1" outlineLevel="1">
      <c r="A60" s="197" t="str">
        <f>Conveyor_Types!C46</f>
        <v>Tnnnxxx</v>
      </c>
      <c r="B60" s="217" t="s">
        <v>759</v>
      </c>
      <c r="C60" s="132"/>
      <c r="D60" s="346" t="str">
        <f>Conveyor_Types!D46</f>
        <v>Tray Tilter</v>
      </c>
      <c r="E60" s="103"/>
      <c r="F60" s="104"/>
      <c r="G60" s="104"/>
      <c r="H60" s="104"/>
      <c r="I60" s="247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248"/>
    </row>
    <row r="61" spans="1:70" s="28" customFormat="1" ht="12.9" customHeight="1" outlineLevel="1">
      <c r="A61" s="131" t="str">
        <f>Conveyor_Types!C47</f>
        <v>TSTT002</v>
      </c>
      <c r="B61" s="217" t="s">
        <v>760</v>
      </c>
      <c r="C61" s="132"/>
      <c r="D61" s="346" t="str">
        <f>Conveyor_Types!D47</f>
        <v>Tray Tilter Plus</v>
      </c>
      <c r="E61" s="103"/>
      <c r="F61" s="104"/>
      <c r="G61" s="104"/>
      <c r="H61" s="104"/>
      <c r="I61" s="247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248"/>
    </row>
    <row r="62" spans="1:70" s="28" customFormat="1" ht="12.9" customHeight="1" outlineLevel="1">
      <c r="A62" s="131" t="str">
        <f>Conveyor_Types!C48</f>
        <v>TSMT001</v>
      </c>
      <c r="B62" s="217" t="s">
        <v>761</v>
      </c>
      <c r="C62" s="132"/>
      <c r="D62" s="346" t="str">
        <f>Conveyor_Types!D48</f>
        <v>Tray SmartTilter</v>
      </c>
      <c r="E62" s="103"/>
      <c r="F62" s="104"/>
      <c r="G62" s="104"/>
      <c r="H62" s="104"/>
      <c r="I62" s="247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248"/>
    </row>
    <row r="63" spans="1:70" s="28" customFormat="1" ht="12.9" customHeight="1" outlineLevel="1">
      <c r="A63" s="131" t="str">
        <f>Conveyor_Types!C49</f>
        <v>TSST001</v>
      </c>
      <c r="B63" s="217" t="s">
        <v>757</v>
      </c>
      <c r="C63" s="132"/>
      <c r="D63" s="346" t="str">
        <f>Conveyor_Types!D49</f>
        <v>Tray Stacker</v>
      </c>
      <c r="E63" s="103"/>
      <c r="F63" s="104"/>
      <c r="G63" s="104"/>
      <c r="H63" s="104"/>
      <c r="I63" s="247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248"/>
    </row>
    <row r="64" spans="1:70" s="28" customFormat="1" ht="12.9" customHeight="1" outlineLevel="1">
      <c r="A64" s="131" t="str">
        <f>Conveyor_Types!C50</f>
        <v>TLST001</v>
      </c>
      <c r="B64" s="217" t="s">
        <v>758</v>
      </c>
      <c r="C64" s="132"/>
      <c r="D64" s="346" t="str">
        <f>Conveyor_Types!D50</f>
        <v>Tray Line Stacker</v>
      </c>
      <c r="E64" s="103"/>
      <c r="F64" s="104"/>
      <c r="G64" s="104"/>
      <c r="H64" s="104"/>
      <c r="I64" s="247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248"/>
    </row>
    <row r="65" spans="1:70" s="28" customFormat="1" ht="12.9" customHeight="1" outlineLevel="1">
      <c r="A65" s="131"/>
      <c r="B65" s="182"/>
      <c r="C65" s="132"/>
      <c r="D65" s="346" t="str">
        <f>Conveyor_Types!D59</f>
        <v>Tray Verti-Sorter - one Arm</v>
      </c>
      <c r="E65" s="103"/>
      <c r="F65" s="104"/>
      <c r="G65" s="104"/>
      <c r="H65" s="104"/>
      <c r="I65" s="247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248"/>
    </row>
    <row r="66" spans="1:70" s="28" customFormat="1" ht="12.9" customHeight="1" outlineLevel="1">
      <c r="A66" s="197" t="str">
        <f>Conveyor_Types!C56</f>
        <v>Tnnnxxx</v>
      </c>
      <c r="B66" s="217" t="s">
        <v>753</v>
      </c>
      <c r="C66" s="132"/>
      <c r="D66" s="346" t="str">
        <f>Conveyor_Types!D56</f>
        <v>Tray Lift</v>
      </c>
      <c r="E66" s="103"/>
      <c r="F66" s="104"/>
      <c r="G66" s="104"/>
      <c r="H66" s="104"/>
      <c r="I66" s="247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248"/>
    </row>
    <row r="67" spans="1:70" s="28" customFormat="1" ht="12.9" customHeight="1" outlineLevel="1">
      <c r="A67" s="197" t="str">
        <f>Conveyor_Types!C57</f>
        <v>Tnnnxxx</v>
      </c>
      <c r="B67" s="217" t="s">
        <v>785</v>
      </c>
      <c r="C67" s="132"/>
      <c r="D67" s="346" t="str">
        <f>Conveyor_Types!D57</f>
        <v>Tray S/C - Lift</v>
      </c>
      <c r="E67" s="103"/>
      <c r="F67" s="104"/>
      <c r="G67" s="104"/>
      <c r="H67" s="104"/>
      <c r="I67" s="247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248"/>
    </row>
    <row r="68" spans="1:70" s="28" customFormat="1" ht="12.9" customHeight="1" outlineLevel="1">
      <c r="A68" s="131" t="str">
        <f>Conveyor_Types!C51</f>
        <v>TRAT001</v>
      </c>
      <c r="B68" s="217" t="s">
        <v>756</v>
      </c>
      <c r="C68" s="132"/>
      <c r="D68" s="264" t="str">
        <f>Conveyor_Types!D51</f>
        <v>Tray Right Angel</v>
      </c>
      <c r="E68" s="103"/>
      <c r="F68" s="104"/>
      <c r="G68" s="104"/>
      <c r="H68" s="104"/>
      <c r="I68" s="247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248"/>
    </row>
    <row r="69" spans="1:70" s="28" customFormat="1" ht="12.9" customHeight="1" outlineLevel="1">
      <c r="A69" s="131" t="str">
        <f>Conveyor_Types!C52</f>
        <v>TMSC001</v>
      </c>
      <c r="B69" s="217" t="s">
        <v>72</v>
      </c>
      <c r="C69" s="132"/>
      <c r="D69" s="264" t="str">
        <f>Conveyor_Types!D52</f>
        <v>Tray Maintenance Station</v>
      </c>
      <c r="E69" s="103"/>
      <c r="F69" s="104"/>
      <c r="G69" s="104"/>
      <c r="H69" s="104"/>
      <c r="I69" s="247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248"/>
    </row>
    <row r="70" spans="1:70" s="28" customFormat="1" ht="12.9" customHeight="1" outlineLevel="1">
      <c r="A70" s="197" t="str">
        <f>Conveyor_Types!C53</f>
        <v>Tnnnxxx</v>
      </c>
      <c r="B70" s="217" t="s">
        <v>1</v>
      </c>
      <c r="C70" s="132"/>
      <c r="D70" s="264" t="str">
        <f>Conveyor_Types!D53</f>
        <v>Tray Manual Encoding Station</v>
      </c>
      <c r="E70" s="103"/>
      <c r="F70" s="104"/>
      <c r="G70" s="104"/>
      <c r="H70" s="104"/>
      <c r="I70" s="247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248"/>
    </row>
    <row r="71" spans="1:70" s="28" customFormat="1" ht="12.9" customHeight="1" outlineLevel="1">
      <c r="A71" s="131" t="str">
        <f>Conveyor_Types!C54</f>
        <v>THSC001</v>
      </c>
      <c r="B71" s="217" t="s">
        <v>752</v>
      </c>
      <c r="C71" s="132"/>
      <c r="D71" s="264" t="str">
        <f>Conveyor_Types!D54</f>
        <v>Tray High Speed Straight</v>
      </c>
      <c r="E71" s="103"/>
      <c r="F71" s="104"/>
      <c r="G71" s="104"/>
      <c r="H71" s="104"/>
      <c r="I71" s="247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248"/>
    </row>
    <row r="72" spans="1:70" s="28" customFormat="1" ht="12.9" customHeight="1" outlineLevel="1">
      <c r="A72" s="131" t="str">
        <f>Conveyor_Types!C55</f>
        <v>TTLS001</v>
      </c>
      <c r="B72" s="217" t="s">
        <v>0</v>
      </c>
      <c r="C72" s="132"/>
      <c r="D72" s="264" t="str">
        <f>Conveyor_Types!D55</f>
        <v>Top Load Tray</v>
      </c>
      <c r="E72" s="103"/>
      <c r="F72" s="104"/>
      <c r="G72" s="104"/>
      <c r="H72" s="104"/>
      <c r="I72" s="247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248"/>
    </row>
    <row r="73" spans="1:70" s="28" customFormat="1" ht="12.9" customHeight="1" outlineLevel="1">
      <c r="A73" s="215" t="str">
        <f>Conveyor_Types!C60</f>
        <v>Tnnnxxx</v>
      </c>
      <c r="B73" s="268" t="s">
        <v>71</v>
      </c>
      <c r="C73" s="199"/>
      <c r="D73" s="269" t="str">
        <f>Conveyor_Types!D60</f>
        <v>???? Spare Conveyor ????</v>
      </c>
      <c r="E73" s="103"/>
      <c r="F73" s="104"/>
      <c r="G73" s="104"/>
      <c r="H73" s="104"/>
      <c r="I73" s="247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248"/>
    </row>
    <row r="74" spans="1:70" s="28" customFormat="1" ht="12.9" customHeight="1" outlineLevel="1">
      <c r="A74" s="197">
        <f>Conveyor_Types!C62</f>
        <v>0</v>
      </c>
      <c r="B74" s="217" t="s">
        <v>786</v>
      </c>
      <c r="C74" s="132"/>
      <c r="D74" s="264" t="str">
        <f>Conveyor_Types!D62</f>
        <v>Chute with tracking</v>
      </c>
      <c r="E74" s="103"/>
      <c r="F74" s="104"/>
      <c r="G74" s="104"/>
      <c r="H74" s="104"/>
      <c r="I74" s="247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248"/>
    </row>
    <row r="75" spans="1:70" s="28" customFormat="1" ht="12.9" customHeight="1" outlineLevel="1">
      <c r="A75" s="323" t="s">
        <v>67</v>
      </c>
      <c r="B75" s="217"/>
      <c r="C75" s="323"/>
      <c r="D75" s="264" t="str">
        <f>Conveyor_Types!D74</f>
        <v>Tray Step Through</v>
      </c>
      <c r="E75" s="103"/>
      <c r="F75" s="104"/>
      <c r="G75" s="104"/>
      <c r="H75" s="104"/>
      <c r="I75" s="247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248"/>
    </row>
    <row r="76" spans="1:70" s="28" customFormat="1" ht="12.9" customHeight="1" outlineLevel="1">
      <c r="A76" s="323" t="s">
        <v>67</v>
      </c>
      <c r="B76" s="217"/>
      <c r="C76" s="323"/>
      <c r="D76" s="146" t="str">
        <f>Conveyor_Types!D79</f>
        <v xml:space="preserve">Tray Read St. (addit.) </v>
      </c>
      <c r="E76" s="103"/>
      <c r="F76" s="104"/>
      <c r="G76" s="104"/>
      <c r="H76" s="104"/>
      <c r="I76" s="247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248"/>
    </row>
    <row r="77" spans="1:70" s="28" customFormat="1" ht="12.9" customHeight="1" outlineLevel="1">
      <c r="A77" s="323" t="s">
        <v>67</v>
      </c>
      <c r="B77" s="168"/>
      <c r="C77" s="323"/>
      <c r="D77" s="146" t="str">
        <f>Conveyor_Types!D80</f>
        <v xml:space="preserve">Tray Roller Inspection (addit.) </v>
      </c>
      <c r="E77" s="103"/>
      <c r="F77" s="104"/>
      <c r="G77" s="104"/>
      <c r="H77" s="104"/>
      <c r="I77" s="247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248"/>
    </row>
    <row r="78" spans="1:70" s="28" customFormat="1" ht="12.9" customHeight="1" outlineLevel="1">
      <c r="A78" s="136" t="s">
        <v>68</v>
      </c>
      <c r="B78" s="168"/>
      <c r="C78" s="137">
        <f>+C72+C60+C59/3+C70+C62+0</f>
        <v>0</v>
      </c>
      <c r="D78" s="146" t="str">
        <f>Conveyor_Types!D78</f>
        <v>Tray Empty Check</v>
      </c>
      <c r="E78" s="103"/>
      <c r="F78" s="104"/>
      <c r="G78" s="104"/>
      <c r="H78" s="104"/>
      <c r="I78" s="247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248"/>
    </row>
    <row r="79" spans="1:70" s="28" customFormat="1" ht="12.9" customHeight="1" outlineLevel="1">
      <c r="A79" s="136" t="s">
        <v>68</v>
      </c>
      <c r="B79" s="168"/>
      <c r="C79" s="137">
        <f>C57+C58+C59+C62+C60+C64+C63+C68+C72+C66+C67</f>
        <v>0</v>
      </c>
      <c r="D79" s="146" t="s">
        <v>73</v>
      </c>
      <c r="E79" s="103"/>
      <c r="F79" s="104"/>
      <c r="G79" s="104"/>
      <c r="H79" s="104"/>
      <c r="I79" s="247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248"/>
    </row>
    <row r="80" spans="1:70" s="28" customFormat="1" ht="12.9" customHeight="1" outlineLevel="1">
      <c r="A80" s="136" t="s">
        <v>68</v>
      </c>
      <c r="B80" s="168"/>
      <c r="C80" s="137">
        <f>ROUNDUP(Parameter!B8/15,0)*1</f>
        <v>0</v>
      </c>
      <c r="D80" s="146" t="str">
        <f>Conveyor_Types!D58</f>
        <v>Additional E-Stop ICS</v>
      </c>
      <c r="E80" s="103"/>
      <c r="F80" s="104"/>
      <c r="G80" s="104"/>
      <c r="H80" s="104"/>
      <c r="I80" s="247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8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248"/>
    </row>
    <row r="81" spans="1:70" s="28" customFormat="1" ht="12.9" customHeight="1" outlineLevel="1">
      <c r="A81" s="334"/>
      <c r="B81" s="331"/>
      <c r="C81" s="332"/>
      <c r="D81" s="333" t="s">
        <v>738</v>
      </c>
      <c r="E81" s="103"/>
      <c r="F81" s="104"/>
      <c r="G81" s="104"/>
      <c r="H81" s="104"/>
      <c r="I81" s="247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248"/>
    </row>
    <row r="82" spans="1:70" s="28" customFormat="1" ht="12" customHeight="1">
      <c r="A82" s="139" t="s">
        <v>74</v>
      </c>
      <c r="B82" s="171"/>
      <c r="C82" s="140">
        <f>SUM(C54:C81)</f>
        <v>0</v>
      </c>
      <c r="D82" s="141">
        <f>SUM(E54:H81)</f>
        <v>0</v>
      </c>
      <c r="E82" s="103"/>
      <c r="F82" s="104"/>
      <c r="G82" s="104"/>
      <c r="H82" s="104"/>
      <c r="I82" s="247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248"/>
    </row>
    <row r="83" spans="1:70" s="28" customFormat="1" ht="9.9" customHeight="1" thickBot="1">
      <c r="A83" s="142"/>
      <c r="B83" s="172"/>
      <c r="C83" s="143"/>
      <c r="D83" s="143"/>
      <c r="E83" s="105"/>
      <c r="F83" s="106"/>
      <c r="G83" s="106"/>
      <c r="H83" s="106"/>
      <c r="I83" s="249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/>
      <c r="AV83" s="106"/>
      <c r="AW83" s="106"/>
      <c r="AX83" s="106"/>
      <c r="AY83" s="106"/>
      <c r="AZ83" s="106"/>
      <c r="BA83" s="106"/>
      <c r="BB83" s="106"/>
      <c r="BC83" s="106"/>
      <c r="BD83" s="106"/>
      <c r="BE83" s="106"/>
      <c r="BF83" s="106"/>
      <c r="BG83" s="106"/>
      <c r="BH83" s="106"/>
      <c r="BI83" s="106"/>
      <c r="BJ83" s="106"/>
      <c r="BK83" s="106"/>
      <c r="BL83" s="106"/>
      <c r="BM83" s="106"/>
      <c r="BN83" s="106"/>
      <c r="BO83" s="106"/>
      <c r="BP83" s="106"/>
      <c r="BQ83" s="106"/>
      <c r="BR83" s="250"/>
    </row>
    <row r="84" spans="1:70" s="28" customFormat="1" ht="24" customHeight="1" thickBot="1">
      <c r="A84" s="147"/>
      <c r="B84" s="173" t="s">
        <v>75</v>
      </c>
      <c r="C84" s="148" t="s">
        <v>75</v>
      </c>
      <c r="D84" s="149"/>
      <c r="E84" s="109"/>
      <c r="F84" s="109"/>
      <c r="G84" s="109"/>
      <c r="H84" s="109"/>
      <c r="I84" s="251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  <c r="BR84" s="252"/>
    </row>
    <row r="85" spans="1:70" s="28" customFormat="1" ht="12.9" customHeight="1" thickTop="1">
      <c r="A85" s="150"/>
      <c r="B85" s="174"/>
      <c r="C85" s="151"/>
      <c r="D85" s="151" t="s">
        <v>76</v>
      </c>
      <c r="E85" s="110"/>
      <c r="F85" s="111"/>
      <c r="G85" s="111"/>
      <c r="H85" s="111"/>
      <c r="I85" s="253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1"/>
      <c r="AS85" s="111"/>
      <c r="AT85" s="111"/>
      <c r="AU85" s="111"/>
      <c r="AV85" s="111"/>
      <c r="AW85" s="111"/>
      <c r="AX85" s="111"/>
      <c r="AY85" s="111"/>
      <c r="AZ85" s="111"/>
      <c r="BA85" s="111"/>
      <c r="BB85" s="111"/>
      <c r="BC85" s="111"/>
      <c r="BD85" s="111"/>
      <c r="BE85" s="111"/>
      <c r="BF85" s="111"/>
      <c r="BG85" s="111"/>
      <c r="BH85" s="111"/>
      <c r="BI85" s="111"/>
      <c r="BJ85" s="111"/>
      <c r="BK85" s="111"/>
      <c r="BL85" s="111"/>
      <c r="BM85" s="111"/>
      <c r="BN85" s="111"/>
      <c r="BO85" s="111"/>
      <c r="BP85" s="111"/>
      <c r="BQ85" s="111"/>
      <c r="BR85" s="254"/>
    </row>
    <row r="86" spans="1:70" s="28" customFormat="1" ht="12.9" customHeight="1">
      <c r="A86" s="136" t="s">
        <v>68</v>
      </c>
      <c r="B86" s="175"/>
      <c r="C86" s="137">
        <f>Qty_all_Devices_Belt!E10+Qty_all_Devices_ICS!E11</f>
        <v>0</v>
      </c>
      <c r="D86" s="138" t="s">
        <v>77</v>
      </c>
      <c r="E86" s="103"/>
      <c r="F86" s="104"/>
      <c r="G86" s="104"/>
      <c r="H86" s="104"/>
      <c r="I86" s="247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349"/>
    </row>
    <row r="87" spans="1:70" s="28" customFormat="1" ht="12.9" customHeight="1">
      <c r="A87" s="338" t="s">
        <v>67</v>
      </c>
      <c r="B87" s="175"/>
      <c r="C87" s="339"/>
      <c r="D87" s="138" t="str">
        <f>Conveyor_Types!D82</f>
        <v>PLC/PLC(Sorter) Interface</v>
      </c>
      <c r="E87" s="103"/>
      <c r="F87" s="104"/>
      <c r="G87" s="104"/>
      <c r="H87" s="104"/>
      <c r="I87" s="247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248"/>
    </row>
    <row r="88" spans="1:70" s="28" customFormat="1" ht="25.5" customHeight="1" outlineLevel="1">
      <c r="A88" s="138" t="s">
        <v>80</v>
      </c>
      <c r="B88" s="168" t="s">
        <v>81</v>
      </c>
      <c r="C88" s="132"/>
      <c r="D88" s="138" t="s">
        <v>82</v>
      </c>
      <c r="E88" s="103"/>
      <c r="F88" s="104"/>
      <c r="G88" s="104"/>
      <c r="H88" s="104"/>
      <c r="I88" s="247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248"/>
    </row>
    <row r="89" spans="1:70" s="28" customFormat="1" ht="12.9" customHeight="1">
      <c r="A89" s="334"/>
      <c r="B89" s="331"/>
      <c r="C89" s="332"/>
      <c r="D89" s="333" t="s">
        <v>739</v>
      </c>
      <c r="E89" s="103"/>
      <c r="F89" s="104"/>
      <c r="G89" s="104"/>
      <c r="H89" s="104"/>
      <c r="I89" s="247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248"/>
    </row>
    <row r="90" spans="1:70" s="28" customFormat="1" ht="12.9" customHeight="1">
      <c r="A90" s="152"/>
      <c r="B90" s="176"/>
      <c r="C90" s="153">
        <v>0</v>
      </c>
      <c r="D90" s="151" t="s">
        <v>79</v>
      </c>
      <c r="E90" s="103"/>
      <c r="F90" s="104"/>
      <c r="G90" s="104"/>
      <c r="H90" s="104"/>
      <c r="I90" s="247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248"/>
    </row>
    <row r="91" spans="1:70" s="28" customFormat="1" ht="12.9" customHeight="1" outlineLevel="1">
      <c r="A91" s="138" t="s">
        <v>80</v>
      </c>
      <c r="B91" s="175"/>
      <c r="C91" s="137">
        <f>C35+C36+C37</f>
        <v>0</v>
      </c>
      <c r="D91" s="138" t="s">
        <v>83</v>
      </c>
      <c r="E91" s="103"/>
      <c r="F91" s="104"/>
      <c r="G91" s="104"/>
      <c r="H91" s="104"/>
      <c r="I91" s="247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248"/>
    </row>
    <row r="92" spans="1:70" s="28" customFormat="1" ht="12.9" customHeight="1" outlineLevel="1">
      <c r="A92" s="138" t="s">
        <v>80</v>
      </c>
      <c r="B92" s="175"/>
      <c r="C92" s="137">
        <f>C39+C40+C41</f>
        <v>0</v>
      </c>
      <c r="D92" s="138" t="s">
        <v>84</v>
      </c>
      <c r="E92" s="103"/>
      <c r="F92" s="104"/>
      <c r="G92" s="104"/>
      <c r="H92" s="104"/>
      <c r="I92" s="247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248"/>
    </row>
    <row r="93" spans="1:70" s="28" customFormat="1" ht="12.9" customHeight="1" outlineLevel="1">
      <c r="A93" s="138" t="s">
        <v>85</v>
      </c>
      <c r="B93" s="175"/>
      <c r="C93" s="137">
        <f>C30</f>
        <v>0</v>
      </c>
      <c r="D93" s="138" t="s">
        <v>86</v>
      </c>
      <c r="E93" s="103"/>
      <c r="F93" s="104"/>
      <c r="G93" s="104"/>
      <c r="H93" s="104"/>
      <c r="I93" s="247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248"/>
    </row>
    <row r="94" spans="1:70" s="28" customFormat="1" ht="12.9" customHeight="1" outlineLevel="1">
      <c r="A94" s="138" t="s">
        <v>85</v>
      </c>
      <c r="B94" s="175"/>
      <c r="C94" s="137">
        <f>C31</f>
        <v>0</v>
      </c>
      <c r="D94" s="138" t="s">
        <v>87</v>
      </c>
      <c r="E94" s="103"/>
      <c r="F94" s="104"/>
      <c r="G94" s="104"/>
      <c r="H94" s="104"/>
      <c r="I94" s="247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248"/>
    </row>
    <row r="95" spans="1:70" s="28" customFormat="1" ht="12.9" customHeight="1">
      <c r="A95" s="333"/>
      <c r="B95" s="335"/>
      <c r="C95" s="333"/>
      <c r="D95" s="333" t="s">
        <v>740</v>
      </c>
      <c r="E95" s="103"/>
      <c r="F95" s="104"/>
      <c r="G95" s="104"/>
      <c r="H95" s="104"/>
      <c r="I95" s="247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248"/>
    </row>
    <row r="96" spans="1:70" s="28" customFormat="1" ht="12.9" customHeight="1">
      <c r="A96" s="152"/>
      <c r="B96" s="174"/>
      <c r="C96" s="282" t="s">
        <v>88</v>
      </c>
      <c r="D96" s="151" t="s">
        <v>89</v>
      </c>
      <c r="E96" s="110"/>
      <c r="F96" s="111"/>
      <c r="G96" s="111"/>
      <c r="H96" s="111"/>
      <c r="I96" s="253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1"/>
      <c r="Z96" s="111"/>
      <c r="AA96" s="111"/>
      <c r="AB96" s="111"/>
      <c r="AC96" s="111"/>
      <c r="AD96" s="111"/>
      <c r="AE96" s="111"/>
      <c r="AF96" s="111"/>
      <c r="AG96" s="111"/>
      <c r="AH96" s="111"/>
      <c r="AI96" s="111"/>
      <c r="AJ96" s="111"/>
      <c r="AK96" s="111"/>
      <c r="AL96" s="111"/>
      <c r="AM96" s="111"/>
      <c r="AN96" s="111"/>
      <c r="AO96" s="111"/>
      <c r="AP96" s="111"/>
      <c r="AQ96" s="111"/>
      <c r="AR96" s="111"/>
      <c r="AS96" s="111"/>
      <c r="AT96" s="111"/>
      <c r="AU96" s="111"/>
      <c r="AV96" s="111"/>
      <c r="AW96" s="111"/>
      <c r="AX96" s="111"/>
      <c r="AY96" s="111"/>
      <c r="AZ96" s="111"/>
      <c r="BA96" s="111"/>
      <c r="BB96" s="111"/>
      <c r="BC96" s="111"/>
      <c r="BD96" s="111"/>
      <c r="BE96" s="111"/>
      <c r="BF96" s="111"/>
      <c r="BG96" s="111"/>
      <c r="BH96" s="111"/>
      <c r="BI96" s="111"/>
      <c r="BJ96" s="111"/>
      <c r="BK96" s="111"/>
      <c r="BL96" s="111"/>
      <c r="BM96" s="111"/>
      <c r="BN96" s="111"/>
      <c r="BO96" s="111"/>
      <c r="BP96" s="111"/>
      <c r="BQ96" s="111"/>
      <c r="BR96" s="254"/>
    </row>
    <row r="97" spans="1:70" s="28" customFormat="1" ht="12.9" customHeight="1" outlineLevel="1">
      <c r="A97" s="138"/>
      <c r="B97" s="175"/>
      <c r="C97" s="135">
        <f t="shared" ref="C97:C114" si="0">SUMIF($D$3:$D$83,D97,$C$3:$C$83)*1</f>
        <v>0</v>
      </c>
      <c r="D97" s="134" t="s">
        <v>90</v>
      </c>
      <c r="E97" s="103"/>
      <c r="F97" s="104"/>
      <c r="G97" s="104"/>
      <c r="H97" s="104"/>
      <c r="I97" s="247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248"/>
    </row>
    <row r="98" spans="1:70" s="28" customFormat="1" ht="12.9" customHeight="1" outlineLevel="1">
      <c r="A98" s="138"/>
      <c r="B98" s="175"/>
      <c r="C98" s="135">
        <f t="shared" si="0"/>
        <v>0</v>
      </c>
      <c r="D98" s="134" t="s">
        <v>91</v>
      </c>
      <c r="E98" s="103"/>
      <c r="F98" s="104"/>
      <c r="G98" s="104"/>
      <c r="H98" s="104"/>
      <c r="I98" s="247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248"/>
    </row>
    <row r="99" spans="1:70" s="28" customFormat="1" ht="12.9" customHeight="1" outlineLevel="1">
      <c r="A99" s="138"/>
      <c r="B99" s="175"/>
      <c r="C99" s="135">
        <f t="shared" si="0"/>
        <v>0</v>
      </c>
      <c r="D99" s="134" t="s">
        <v>92</v>
      </c>
      <c r="E99" s="103"/>
      <c r="F99" s="104"/>
      <c r="G99" s="104"/>
      <c r="H99" s="104"/>
      <c r="I99" s="247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248"/>
    </row>
    <row r="100" spans="1:70" s="28" customFormat="1" ht="12.9" customHeight="1" outlineLevel="1">
      <c r="A100" s="138"/>
      <c r="B100" s="175"/>
      <c r="C100" s="135">
        <f t="shared" si="0"/>
        <v>0</v>
      </c>
      <c r="D100" s="134" t="s">
        <v>93</v>
      </c>
      <c r="E100" s="103"/>
      <c r="F100" s="104"/>
      <c r="G100" s="104"/>
      <c r="H100" s="104"/>
      <c r="I100" s="247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248"/>
    </row>
    <row r="101" spans="1:70" s="28" customFormat="1" ht="12.9" customHeight="1" outlineLevel="1">
      <c r="A101" s="138"/>
      <c r="B101" s="175"/>
      <c r="C101" s="135">
        <f t="shared" si="0"/>
        <v>0</v>
      </c>
      <c r="D101" s="134" t="s">
        <v>94</v>
      </c>
      <c r="E101" s="103"/>
      <c r="F101" s="104"/>
      <c r="G101" s="104"/>
      <c r="H101" s="104"/>
      <c r="I101" s="247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248"/>
    </row>
    <row r="102" spans="1:70" s="28" customFormat="1" ht="12.9" customHeight="1" outlineLevel="1">
      <c r="A102" s="138"/>
      <c r="B102" s="175"/>
      <c r="C102" s="135">
        <f t="shared" si="0"/>
        <v>0</v>
      </c>
      <c r="D102" s="134" t="s">
        <v>95</v>
      </c>
      <c r="E102" s="103"/>
      <c r="F102" s="104"/>
      <c r="G102" s="104"/>
      <c r="H102" s="104"/>
      <c r="I102" s="247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248"/>
    </row>
    <row r="103" spans="1:70" s="28" customFormat="1" ht="12.9" customHeight="1" outlineLevel="1">
      <c r="A103" s="138"/>
      <c r="B103" s="175"/>
      <c r="C103" s="135">
        <f t="shared" si="0"/>
        <v>0</v>
      </c>
      <c r="D103" s="134" t="s">
        <v>96</v>
      </c>
      <c r="E103" s="103"/>
      <c r="F103" s="104"/>
      <c r="G103" s="104"/>
      <c r="H103" s="104"/>
      <c r="I103" s="247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248"/>
    </row>
    <row r="104" spans="1:70" s="28" customFormat="1" ht="12.9" customHeight="1" outlineLevel="1">
      <c r="A104" s="138"/>
      <c r="B104" s="175"/>
      <c r="C104" s="135">
        <f t="shared" si="0"/>
        <v>0</v>
      </c>
      <c r="D104" s="134" t="s">
        <v>97</v>
      </c>
      <c r="E104" s="103"/>
      <c r="F104" s="104"/>
      <c r="G104" s="104"/>
      <c r="H104" s="104"/>
      <c r="I104" s="247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248"/>
    </row>
    <row r="105" spans="1:70" s="28" customFormat="1" ht="12.9" customHeight="1" outlineLevel="1">
      <c r="A105" s="138"/>
      <c r="B105" s="175"/>
      <c r="C105" s="135">
        <f t="shared" si="0"/>
        <v>0</v>
      </c>
      <c r="D105" s="134" t="s">
        <v>98</v>
      </c>
      <c r="E105" s="103"/>
      <c r="F105" s="104"/>
      <c r="G105" s="104"/>
      <c r="H105" s="104"/>
      <c r="I105" s="247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248"/>
    </row>
    <row r="106" spans="1:70" s="28" customFormat="1" ht="12.9" customHeight="1" outlineLevel="1">
      <c r="A106" s="138"/>
      <c r="B106" s="175"/>
      <c r="C106" s="135">
        <f t="shared" si="0"/>
        <v>0</v>
      </c>
      <c r="D106" s="134" t="s">
        <v>99</v>
      </c>
      <c r="E106" s="103"/>
      <c r="F106" s="104"/>
      <c r="G106" s="104"/>
      <c r="H106" s="104"/>
      <c r="I106" s="247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248"/>
    </row>
    <row r="107" spans="1:70" s="28" customFormat="1" ht="12.9" customHeight="1" outlineLevel="1">
      <c r="A107" s="138"/>
      <c r="B107" s="175"/>
      <c r="C107" s="135">
        <f t="shared" si="0"/>
        <v>0</v>
      </c>
      <c r="D107" s="146" t="s">
        <v>100</v>
      </c>
      <c r="E107" s="103"/>
      <c r="F107" s="104"/>
      <c r="G107" s="104"/>
      <c r="H107" s="104"/>
      <c r="I107" s="247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248"/>
    </row>
    <row r="108" spans="1:70" s="28" customFormat="1" ht="12.9" customHeight="1" outlineLevel="1">
      <c r="A108" s="138"/>
      <c r="B108" s="175"/>
      <c r="C108" s="135">
        <f t="shared" si="0"/>
        <v>0</v>
      </c>
      <c r="D108" s="146" t="s">
        <v>724</v>
      </c>
      <c r="E108" s="103"/>
      <c r="F108" s="104"/>
      <c r="G108" s="104"/>
      <c r="H108" s="104"/>
      <c r="I108" s="247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248"/>
    </row>
    <row r="109" spans="1:70" s="28" customFormat="1" ht="12.9" customHeight="1" outlineLevel="1">
      <c r="A109" s="138"/>
      <c r="B109" s="175"/>
      <c r="C109" s="135">
        <f t="shared" si="0"/>
        <v>0</v>
      </c>
      <c r="D109" s="146" t="s">
        <v>101</v>
      </c>
      <c r="E109" s="103"/>
      <c r="F109" s="104"/>
      <c r="G109" s="104"/>
      <c r="H109" s="104"/>
      <c r="I109" s="247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248"/>
    </row>
    <row r="110" spans="1:70" s="28" customFormat="1" ht="12.9" customHeight="1" outlineLevel="1">
      <c r="A110" s="138"/>
      <c r="B110" s="175"/>
      <c r="C110" s="135">
        <f t="shared" si="0"/>
        <v>0</v>
      </c>
      <c r="D110" s="146" t="s">
        <v>102</v>
      </c>
      <c r="E110" s="103"/>
      <c r="F110" s="104"/>
      <c r="G110" s="104"/>
      <c r="H110" s="104"/>
      <c r="I110" s="247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248"/>
    </row>
    <row r="111" spans="1:70" s="28" customFormat="1" ht="12.9" customHeight="1" outlineLevel="1">
      <c r="A111" s="138"/>
      <c r="B111" s="175"/>
      <c r="C111" s="135">
        <f t="shared" si="0"/>
        <v>0</v>
      </c>
      <c r="D111" s="146" t="s">
        <v>103</v>
      </c>
      <c r="E111" s="103"/>
      <c r="F111" s="104"/>
      <c r="G111" s="104"/>
      <c r="H111" s="104"/>
      <c r="I111" s="247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248"/>
    </row>
    <row r="112" spans="1:70" s="28" customFormat="1" ht="12.9" customHeight="1" outlineLevel="1">
      <c r="A112" s="138"/>
      <c r="B112" s="175"/>
      <c r="C112" s="135">
        <f t="shared" si="0"/>
        <v>0</v>
      </c>
      <c r="D112" s="146" t="s">
        <v>788</v>
      </c>
      <c r="E112" s="103"/>
      <c r="F112" s="104"/>
      <c r="G112" s="104"/>
      <c r="H112" s="104"/>
      <c r="I112" s="247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248"/>
    </row>
    <row r="113" spans="1:71" s="28" customFormat="1" ht="12.9" customHeight="1" outlineLevel="1">
      <c r="A113" s="138"/>
      <c r="B113" s="175"/>
      <c r="C113" s="135">
        <f t="shared" si="0"/>
        <v>0</v>
      </c>
      <c r="D113" s="146" t="s">
        <v>104</v>
      </c>
      <c r="E113" s="103"/>
      <c r="F113" s="104"/>
      <c r="G113" s="104"/>
      <c r="H113" s="104"/>
      <c r="I113" s="247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248"/>
    </row>
    <row r="114" spans="1:71" s="28" customFormat="1" ht="12.9" customHeight="1" outlineLevel="1">
      <c r="A114" s="138"/>
      <c r="B114" s="175"/>
      <c r="C114" s="135">
        <f t="shared" si="0"/>
        <v>0</v>
      </c>
      <c r="D114" s="146" t="s">
        <v>105</v>
      </c>
      <c r="E114" s="103"/>
      <c r="F114" s="104"/>
      <c r="G114" s="104"/>
      <c r="H114" s="104"/>
      <c r="I114" s="247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248"/>
    </row>
    <row r="115" spans="1:71" s="28" customFormat="1" ht="12.9" customHeight="1" thickBot="1">
      <c r="A115" s="336"/>
      <c r="B115" s="337"/>
      <c r="C115" s="336"/>
      <c r="D115" s="336" t="s">
        <v>741</v>
      </c>
      <c r="E115" s="105"/>
      <c r="F115" s="106"/>
      <c r="G115" s="106"/>
      <c r="H115" s="106"/>
      <c r="I115" s="249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/>
      <c r="AS115" s="106"/>
      <c r="AT115" s="106"/>
      <c r="AU115" s="106"/>
      <c r="AV115" s="106"/>
      <c r="AW115" s="106"/>
      <c r="AX115" s="106"/>
      <c r="AY115" s="106"/>
      <c r="AZ115" s="106"/>
      <c r="BA115" s="106"/>
      <c r="BB115" s="107"/>
      <c r="BC115" s="106"/>
      <c r="BD115" s="106"/>
      <c r="BE115" s="106"/>
      <c r="BF115" s="106"/>
      <c r="BG115" s="106"/>
      <c r="BH115" s="106"/>
      <c r="BI115" s="106"/>
      <c r="BJ115" s="106"/>
      <c r="BK115" s="106"/>
      <c r="BL115" s="106"/>
      <c r="BM115" s="106"/>
      <c r="BN115" s="106"/>
      <c r="BO115" s="106"/>
      <c r="BP115" s="106"/>
      <c r="BQ115" s="106"/>
      <c r="BR115" s="250"/>
    </row>
    <row r="116" spans="1:71" s="28" customFormat="1" ht="12.9" customHeight="1">
      <c r="A116" s="131"/>
      <c r="B116" s="181"/>
      <c r="C116" s="283" t="s">
        <v>106</v>
      </c>
      <c r="D116" s="154">
        <v>300</v>
      </c>
      <c r="E116" s="103"/>
      <c r="F116" s="104"/>
      <c r="G116" s="104"/>
      <c r="H116" s="104"/>
      <c r="I116" s="247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248"/>
    </row>
    <row r="117" spans="1:71" s="28" customFormat="1" ht="12.9" customHeight="1">
      <c r="A117" s="131"/>
      <c r="B117" s="175"/>
      <c r="C117" s="155">
        <f>SUM(AW124:BD124)</f>
        <v>0</v>
      </c>
      <c r="D117" s="156" t="s">
        <v>107</v>
      </c>
      <c r="E117" s="103"/>
      <c r="F117" s="104"/>
      <c r="G117" s="104"/>
      <c r="H117" s="104"/>
      <c r="I117" s="247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248"/>
    </row>
    <row r="118" spans="1:71" s="28" customFormat="1" ht="12.9" customHeight="1">
      <c r="A118" s="131"/>
      <c r="B118" s="175"/>
      <c r="C118" s="155">
        <f>D51</f>
        <v>0</v>
      </c>
      <c r="D118" s="320" t="s">
        <v>108</v>
      </c>
      <c r="E118" s="103"/>
      <c r="F118" s="104"/>
      <c r="G118" s="104"/>
      <c r="H118" s="104"/>
      <c r="I118" s="247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248"/>
    </row>
    <row r="119" spans="1:71" s="28" customFormat="1" ht="12.9" customHeight="1">
      <c r="A119" s="131"/>
      <c r="B119" s="175"/>
      <c r="C119" s="155">
        <f>D82</f>
        <v>0</v>
      </c>
      <c r="D119" s="320" t="s">
        <v>735</v>
      </c>
      <c r="E119" s="103"/>
      <c r="F119" s="104"/>
      <c r="G119" s="104"/>
      <c r="H119" s="104"/>
      <c r="I119" s="247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248"/>
    </row>
    <row r="120" spans="1:71" s="28" customFormat="1" ht="12.9" customHeight="1">
      <c r="A120" s="157"/>
      <c r="B120" s="175"/>
      <c r="C120" s="155">
        <f>SUM(C118:C119)</f>
        <v>0</v>
      </c>
      <c r="D120" s="158" t="s">
        <v>109</v>
      </c>
      <c r="E120" s="103"/>
      <c r="F120" s="104"/>
      <c r="G120" s="104"/>
      <c r="H120" s="104"/>
      <c r="I120" s="247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248"/>
    </row>
    <row r="121" spans="1:71" s="28" customFormat="1" ht="12.9" customHeight="1">
      <c r="A121" s="131"/>
      <c r="B121" s="175"/>
      <c r="C121" s="155">
        <f>C51</f>
        <v>0</v>
      </c>
      <c r="D121" s="156" t="s">
        <v>110</v>
      </c>
      <c r="E121" s="103"/>
      <c r="F121" s="104"/>
      <c r="G121" s="104"/>
      <c r="H121" s="104"/>
      <c r="I121" s="247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248"/>
    </row>
    <row r="122" spans="1:71" s="28" customFormat="1" ht="12.9" customHeight="1">
      <c r="A122" s="131"/>
      <c r="B122" s="175"/>
      <c r="C122" s="155">
        <f>C82</f>
        <v>0</v>
      </c>
      <c r="D122" s="156" t="s">
        <v>736</v>
      </c>
      <c r="E122" s="103"/>
      <c r="F122" s="104"/>
      <c r="G122" s="104"/>
      <c r="H122" s="104"/>
      <c r="I122" s="247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248"/>
    </row>
    <row r="123" spans="1:71" s="28" customFormat="1" ht="12.9" customHeight="1" thickBot="1">
      <c r="A123" s="157"/>
      <c r="B123" s="175"/>
      <c r="C123" s="155">
        <f>SUM(C121:C122)</f>
        <v>0</v>
      </c>
      <c r="D123" s="329" t="s">
        <v>111</v>
      </c>
      <c r="E123" s="112"/>
      <c r="F123" s="113"/>
      <c r="G123" s="113"/>
      <c r="H123" s="113"/>
      <c r="I123" s="255"/>
      <c r="J123" s="256"/>
      <c r="K123" s="256"/>
      <c r="L123" s="256"/>
      <c r="M123" s="256"/>
      <c r="N123" s="256"/>
      <c r="O123" s="256"/>
      <c r="P123" s="256"/>
      <c r="Q123" s="256"/>
      <c r="R123" s="256"/>
      <c r="S123" s="256"/>
      <c r="T123" s="256"/>
      <c r="U123" s="256"/>
      <c r="V123" s="256"/>
      <c r="W123" s="256"/>
      <c r="X123" s="256"/>
      <c r="Y123" s="256"/>
      <c r="Z123" s="256"/>
      <c r="AA123" s="256"/>
      <c r="AB123" s="256"/>
      <c r="AC123" s="256"/>
      <c r="AD123" s="256"/>
      <c r="AE123" s="256"/>
      <c r="AF123" s="256"/>
      <c r="AG123" s="256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  <c r="AR123" s="256"/>
      <c r="AS123" s="256"/>
      <c r="AT123" s="256"/>
      <c r="AU123" s="256"/>
      <c r="AV123" s="256"/>
      <c r="AW123" s="256"/>
      <c r="AX123" s="256"/>
      <c r="AY123" s="256"/>
      <c r="AZ123" s="256"/>
      <c r="BA123" s="256"/>
      <c r="BB123" s="256"/>
      <c r="BC123" s="256"/>
      <c r="BD123" s="256"/>
      <c r="BE123" s="256"/>
      <c r="BF123" s="256"/>
      <c r="BG123" s="256"/>
      <c r="BH123" s="256"/>
      <c r="BI123" s="256"/>
      <c r="BJ123" s="256"/>
      <c r="BK123" s="256"/>
      <c r="BL123" s="256"/>
      <c r="BM123" s="256"/>
      <c r="BN123" s="256"/>
      <c r="BO123" s="256"/>
      <c r="BP123" s="256"/>
      <c r="BQ123" s="256"/>
      <c r="BR123" s="257"/>
    </row>
    <row r="124" spans="1:71" s="28" customFormat="1" ht="12.9" customHeight="1" thickBot="1">
      <c r="A124" s="159"/>
      <c r="B124" s="177"/>
      <c r="C124" s="160"/>
      <c r="D124" s="125" t="s">
        <v>112</v>
      </c>
      <c r="E124" s="126">
        <f>SUM(E125:E126)</f>
        <v>0</v>
      </c>
      <c r="F124" s="126">
        <f t="shared" ref="F124:BQ124" si="1">SUM(F125:F126)</f>
        <v>0</v>
      </c>
      <c r="G124" s="126">
        <f t="shared" si="1"/>
        <v>0</v>
      </c>
      <c r="H124" s="126">
        <f t="shared" si="1"/>
        <v>0</v>
      </c>
      <c r="I124" s="126">
        <f t="shared" si="1"/>
        <v>0</v>
      </c>
      <c r="J124" s="126">
        <f t="shared" si="1"/>
        <v>0</v>
      </c>
      <c r="K124" s="126">
        <f t="shared" si="1"/>
        <v>0</v>
      </c>
      <c r="L124" s="126">
        <f t="shared" si="1"/>
        <v>0</v>
      </c>
      <c r="M124" s="126">
        <f t="shared" si="1"/>
        <v>0</v>
      </c>
      <c r="N124" s="126">
        <f t="shared" si="1"/>
        <v>0</v>
      </c>
      <c r="O124" s="126">
        <f t="shared" si="1"/>
        <v>0</v>
      </c>
      <c r="P124" s="126">
        <f t="shared" si="1"/>
        <v>0</v>
      </c>
      <c r="Q124" s="126">
        <f t="shared" si="1"/>
        <v>0</v>
      </c>
      <c r="R124" s="126">
        <f t="shared" si="1"/>
        <v>0</v>
      </c>
      <c r="S124" s="126">
        <f t="shared" si="1"/>
        <v>0</v>
      </c>
      <c r="T124" s="126">
        <f t="shared" si="1"/>
        <v>0</v>
      </c>
      <c r="U124" s="126">
        <f t="shared" si="1"/>
        <v>0</v>
      </c>
      <c r="V124" s="126">
        <f t="shared" si="1"/>
        <v>0</v>
      </c>
      <c r="W124" s="126">
        <f t="shared" si="1"/>
        <v>0</v>
      </c>
      <c r="X124" s="126">
        <f t="shared" si="1"/>
        <v>0</v>
      </c>
      <c r="Y124" s="126">
        <f t="shared" si="1"/>
        <v>0</v>
      </c>
      <c r="Z124" s="126">
        <f t="shared" si="1"/>
        <v>0</v>
      </c>
      <c r="AA124" s="126">
        <f t="shared" si="1"/>
        <v>0</v>
      </c>
      <c r="AB124" s="126">
        <f t="shared" si="1"/>
        <v>0</v>
      </c>
      <c r="AC124" s="126">
        <f t="shared" si="1"/>
        <v>0</v>
      </c>
      <c r="AD124" s="126">
        <f t="shared" si="1"/>
        <v>0</v>
      </c>
      <c r="AE124" s="126">
        <f t="shared" si="1"/>
        <v>0</v>
      </c>
      <c r="AF124" s="126">
        <f t="shared" si="1"/>
        <v>0</v>
      </c>
      <c r="AG124" s="126">
        <f t="shared" si="1"/>
        <v>0</v>
      </c>
      <c r="AH124" s="126">
        <f t="shared" si="1"/>
        <v>0</v>
      </c>
      <c r="AI124" s="126">
        <f t="shared" si="1"/>
        <v>0</v>
      </c>
      <c r="AJ124" s="126">
        <f t="shared" si="1"/>
        <v>0</v>
      </c>
      <c r="AK124" s="126">
        <f t="shared" si="1"/>
        <v>0</v>
      </c>
      <c r="AL124" s="126">
        <f t="shared" si="1"/>
        <v>0</v>
      </c>
      <c r="AM124" s="126">
        <f t="shared" si="1"/>
        <v>0</v>
      </c>
      <c r="AN124" s="126">
        <f t="shared" si="1"/>
        <v>0</v>
      </c>
      <c r="AO124" s="126">
        <f t="shared" si="1"/>
        <v>0</v>
      </c>
      <c r="AP124" s="126">
        <f t="shared" si="1"/>
        <v>0</v>
      </c>
      <c r="AQ124" s="126">
        <f t="shared" si="1"/>
        <v>0</v>
      </c>
      <c r="AR124" s="126">
        <f t="shared" si="1"/>
        <v>0</v>
      </c>
      <c r="AS124" s="126">
        <f t="shared" si="1"/>
        <v>0</v>
      </c>
      <c r="AT124" s="126">
        <f t="shared" si="1"/>
        <v>0</v>
      </c>
      <c r="AU124" s="126">
        <f t="shared" si="1"/>
        <v>0</v>
      </c>
      <c r="AV124" s="126">
        <f t="shared" si="1"/>
        <v>0</v>
      </c>
      <c r="AW124" s="126">
        <f t="shared" si="1"/>
        <v>0</v>
      </c>
      <c r="AX124" s="126">
        <f t="shared" si="1"/>
        <v>0</v>
      </c>
      <c r="AY124" s="126">
        <f t="shared" si="1"/>
        <v>0</v>
      </c>
      <c r="AZ124" s="126">
        <f t="shared" si="1"/>
        <v>0</v>
      </c>
      <c r="BA124" s="126">
        <f t="shared" si="1"/>
        <v>0</v>
      </c>
      <c r="BB124" s="126">
        <f t="shared" si="1"/>
        <v>0</v>
      </c>
      <c r="BC124" s="126">
        <f t="shared" si="1"/>
        <v>0</v>
      </c>
      <c r="BD124" s="126">
        <f t="shared" si="1"/>
        <v>0</v>
      </c>
      <c r="BE124" s="126">
        <f t="shared" si="1"/>
        <v>0</v>
      </c>
      <c r="BF124" s="126">
        <f t="shared" si="1"/>
        <v>0</v>
      </c>
      <c r="BG124" s="126">
        <f t="shared" si="1"/>
        <v>0</v>
      </c>
      <c r="BH124" s="126">
        <f t="shared" si="1"/>
        <v>0</v>
      </c>
      <c r="BI124" s="126">
        <f t="shared" si="1"/>
        <v>0</v>
      </c>
      <c r="BJ124" s="126">
        <f t="shared" si="1"/>
        <v>0</v>
      </c>
      <c r="BK124" s="126">
        <f t="shared" si="1"/>
        <v>0</v>
      </c>
      <c r="BL124" s="126">
        <f t="shared" si="1"/>
        <v>0</v>
      </c>
      <c r="BM124" s="126">
        <f t="shared" si="1"/>
        <v>0</v>
      </c>
      <c r="BN124" s="126">
        <f t="shared" si="1"/>
        <v>0</v>
      </c>
      <c r="BO124" s="126">
        <f t="shared" si="1"/>
        <v>0</v>
      </c>
      <c r="BP124" s="126">
        <f t="shared" si="1"/>
        <v>0</v>
      </c>
      <c r="BQ124" s="126">
        <f t="shared" si="1"/>
        <v>0</v>
      </c>
      <c r="BR124" s="126">
        <f t="shared" ref="BR124:BS124" si="2">SUM(BR125:BR126)</f>
        <v>0</v>
      </c>
      <c r="BS124" s="126">
        <f t="shared" si="2"/>
        <v>0</v>
      </c>
    </row>
    <row r="125" spans="1:71" s="31" customFormat="1" ht="12.9" customHeight="1">
      <c r="A125" s="202"/>
      <c r="B125" s="203"/>
      <c r="C125" s="204"/>
      <c r="D125" s="321" t="s">
        <v>113</v>
      </c>
      <c r="E125" s="205">
        <f t="shared" ref="E125:AJ125" si="3">SUM(E4:E50,E97:E106)</f>
        <v>0</v>
      </c>
      <c r="F125" s="205">
        <f t="shared" si="3"/>
        <v>0</v>
      </c>
      <c r="G125" s="205">
        <f t="shared" si="3"/>
        <v>0</v>
      </c>
      <c r="H125" s="205">
        <f t="shared" si="3"/>
        <v>0</v>
      </c>
      <c r="I125" s="205">
        <f t="shared" si="3"/>
        <v>0</v>
      </c>
      <c r="J125" s="205">
        <f t="shared" si="3"/>
        <v>0</v>
      </c>
      <c r="K125" s="205">
        <f t="shared" si="3"/>
        <v>0</v>
      </c>
      <c r="L125" s="205">
        <f t="shared" si="3"/>
        <v>0</v>
      </c>
      <c r="M125" s="205">
        <f t="shared" si="3"/>
        <v>0</v>
      </c>
      <c r="N125" s="205">
        <f t="shared" si="3"/>
        <v>0</v>
      </c>
      <c r="O125" s="205">
        <f t="shared" si="3"/>
        <v>0</v>
      </c>
      <c r="P125" s="205">
        <f t="shared" si="3"/>
        <v>0</v>
      </c>
      <c r="Q125" s="205">
        <f t="shared" si="3"/>
        <v>0</v>
      </c>
      <c r="R125" s="205">
        <f t="shared" si="3"/>
        <v>0</v>
      </c>
      <c r="S125" s="205">
        <f t="shared" si="3"/>
        <v>0</v>
      </c>
      <c r="T125" s="205">
        <f t="shared" si="3"/>
        <v>0</v>
      </c>
      <c r="U125" s="205">
        <f t="shared" si="3"/>
        <v>0</v>
      </c>
      <c r="V125" s="205">
        <f t="shared" si="3"/>
        <v>0</v>
      </c>
      <c r="W125" s="205">
        <f t="shared" si="3"/>
        <v>0</v>
      </c>
      <c r="X125" s="205">
        <f t="shared" si="3"/>
        <v>0</v>
      </c>
      <c r="Y125" s="205">
        <f t="shared" si="3"/>
        <v>0</v>
      </c>
      <c r="Z125" s="205">
        <f t="shared" si="3"/>
        <v>0</v>
      </c>
      <c r="AA125" s="205">
        <f t="shared" si="3"/>
        <v>0</v>
      </c>
      <c r="AB125" s="205">
        <f t="shared" si="3"/>
        <v>0</v>
      </c>
      <c r="AC125" s="205">
        <f t="shared" si="3"/>
        <v>0</v>
      </c>
      <c r="AD125" s="205">
        <f t="shared" si="3"/>
        <v>0</v>
      </c>
      <c r="AE125" s="205">
        <f t="shared" si="3"/>
        <v>0</v>
      </c>
      <c r="AF125" s="205">
        <f t="shared" si="3"/>
        <v>0</v>
      </c>
      <c r="AG125" s="205">
        <f t="shared" si="3"/>
        <v>0</v>
      </c>
      <c r="AH125" s="205">
        <f t="shared" si="3"/>
        <v>0</v>
      </c>
      <c r="AI125" s="205">
        <f t="shared" si="3"/>
        <v>0</v>
      </c>
      <c r="AJ125" s="205">
        <f t="shared" si="3"/>
        <v>0</v>
      </c>
      <c r="AK125" s="205">
        <f t="shared" ref="AK125:BS125" si="4">SUM(AK4:AK50,AK97:AK106)</f>
        <v>0</v>
      </c>
      <c r="AL125" s="205">
        <f t="shared" si="4"/>
        <v>0</v>
      </c>
      <c r="AM125" s="205">
        <f t="shared" si="4"/>
        <v>0</v>
      </c>
      <c r="AN125" s="205">
        <f t="shared" si="4"/>
        <v>0</v>
      </c>
      <c r="AO125" s="205">
        <f t="shared" si="4"/>
        <v>0</v>
      </c>
      <c r="AP125" s="205">
        <f t="shared" si="4"/>
        <v>0</v>
      </c>
      <c r="AQ125" s="205">
        <f t="shared" si="4"/>
        <v>0</v>
      </c>
      <c r="AR125" s="205">
        <f t="shared" si="4"/>
        <v>0</v>
      </c>
      <c r="AS125" s="205">
        <f t="shared" si="4"/>
        <v>0</v>
      </c>
      <c r="AT125" s="205">
        <f t="shared" si="4"/>
        <v>0</v>
      </c>
      <c r="AU125" s="205">
        <f t="shared" si="4"/>
        <v>0</v>
      </c>
      <c r="AV125" s="205">
        <f t="shared" si="4"/>
        <v>0</v>
      </c>
      <c r="AW125" s="205">
        <f t="shared" si="4"/>
        <v>0</v>
      </c>
      <c r="AX125" s="205">
        <f t="shared" si="4"/>
        <v>0</v>
      </c>
      <c r="AY125" s="205">
        <f t="shared" si="4"/>
        <v>0</v>
      </c>
      <c r="AZ125" s="205">
        <f t="shared" si="4"/>
        <v>0</v>
      </c>
      <c r="BA125" s="205">
        <f t="shared" si="4"/>
        <v>0</v>
      </c>
      <c r="BB125" s="205">
        <f t="shared" si="4"/>
        <v>0</v>
      </c>
      <c r="BC125" s="205">
        <f t="shared" si="4"/>
        <v>0</v>
      </c>
      <c r="BD125" s="205">
        <f t="shared" si="4"/>
        <v>0</v>
      </c>
      <c r="BE125" s="205">
        <f t="shared" si="4"/>
        <v>0</v>
      </c>
      <c r="BF125" s="205">
        <f t="shared" si="4"/>
        <v>0</v>
      </c>
      <c r="BG125" s="205">
        <f t="shared" si="4"/>
        <v>0</v>
      </c>
      <c r="BH125" s="205">
        <f t="shared" si="4"/>
        <v>0</v>
      </c>
      <c r="BI125" s="205">
        <f t="shared" si="4"/>
        <v>0</v>
      </c>
      <c r="BJ125" s="205">
        <f t="shared" si="4"/>
        <v>0</v>
      </c>
      <c r="BK125" s="205">
        <f t="shared" si="4"/>
        <v>0</v>
      </c>
      <c r="BL125" s="205">
        <f t="shared" si="4"/>
        <v>0</v>
      </c>
      <c r="BM125" s="205">
        <f t="shared" si="4"/>
        <v>0</v>
      </c>
      <c r="BN125" s="205">
        <f t="shared" si="4"/>
        <v>0</v>
      </c>
      <c r="BO125" s="205">
        <f t="shared" si="4"/>
        <v>0</v>
      </c>
      <c r="BP125" s="205">
        <f t="shared" si="4"/>
        <v>0</v>
      </c>
      <c r="BQ125" s="205">
        <f t="shared" si="4"/>
        <v>0</v>
      </c>
      <c r="BR125" s="205">
        <f t="shared" si="4"/>
        <v>0</v>
      </c>
      <c r="BS125" s="205">
        <f t="shared" si="4"/>
        <v>0</v>
      </c>
    </row>
    <row r="126" spans="1:71" s="31" customFormat="1" ht="12.9" customHeight="1">
      <c r="A126" s="202"/>
      <c r="B126" s="203"/>
      <c r="C126" s="204"/>
      <c r="D126" s="321" t="s">
        <v>114</v>
      </c>
      <c r="E126" s="206">
        <f t="shared" ref="E126:AJ126" si="5">SUM(E54:E80,E107:E114)</f>
        <v>0</v>
      </c>
      <c r="F126" s="206">
        <f t="shared" si="5"/>
        <v>0</v>
      </c>
      <c r="G126" s="206">
        <f t="shared" si="5"/>
        <v>0</v>
      </c>
      <c r="H126" s="206">
        <f t="shared" si="5"/>
        <v>0</v>
      </c>
      <c r="I126" s="206">
        <f t="shared" si="5"/>
        <v>0</v>
      </c>
      <c r="J126" s="206">
        <f t="shared" si="5"/>
        <v>0</v>
      </c>
      <c r="K126" s="206">
        <f t="shared" si="5"/>
        <v>0</v>
      </c>
      <c r="L126" s="206">
        <f t="shared" si="5"/>
        <v>0</v>
      </c>
      <c r="M126" s="206">
        <f t="shared" si="5"/>
        <v>0</v>
      </c>
      <c r="N126" s="206">
        <f t="shared" si="5"/>
        <v>0</v>
      </c>
      <c r="O126" s="206">
        <f t="shared" si="5"/>
        <v>0</v>
      </c>
      <c r="P126" s="206">
        <f t="shared" si="5"/>
        <v>0</v>
      </c>
      <c r="Q126" s="206">
        <f t="shared" si="5"/>
        <v>0</v>
      </c>
      <c r="R126" s="206">
        <f t="shared" si="5"/>
        <v>0</v>
      </c>
      <c r="S126" s="206">
        <f t="shared" si="5"/>
        <v>0</v>
      </c>
      <c r="T126" s="206">
        <f t="shared" si="5"/>
        <v>0</v>
      </c>
      <c r="U126" s="206">
        <f t="shared" si="5"/>
        <v>0</v>
      </c>
      <c r="V126" s="206">
        <f t="shared" si="5"/>
        <v>0</v>
      </c>
      <c r="W126" s="206">
        <f t="shared" si="5"/>
        <v>0</v>
      </c>
      <c r="X126" s="206">
        <f t="shared" si="5"/>
        <v>0</v>
      </c>
      <c r="Y126" s="206">
        <f t="shared" si="5"/>
        <v>0</v>
      </c>
      <c r="Z126" s="206">
        <f t="shared" si="5"/>
        <v>0</v>
      </c>
      <c r="AA126" s="206">
        <f t="shared" si="5"/>
        <v>0</v>
      </c>
      <c r="AB126" s="206">
        <f t="shared" si="5"/>
        <v>0</v>
      </c>
      <c r="AC126" s="206">
        <f t="shared" si="5"/>
        <v>0</v>
      </c>
      <c r="AD126" s="206">
        <f t="shared" si="5"/>
        <v>0</v>
      </c>
      <c r="AE126" s="206">
        <f t="shared" si="5"/>
        <v>0</v>
      </c>
      <c r="AF126" s="206">
        <f t="shared" si="5"/>
        <v>0</v>
      </c>
      <c r="AG126" s="206">
        <f t="shared" si="5"/>
        <v>0</v>
      </c>
      <c r="AH126" s="206">
        <f t="shared" si="5"/>
        <v>0</v>
      </c>
      <c r="AI126" s="206">
        <f t="shared" si="5"/>
        <v>0</v>
      </c>
      <c r="AJ126" s="206">
        <f t="shared" si="5"/>
        <v>0</v>
      </c>
      <c r="AK126" s="206">
        <f t="shared" ref="AK126:BS126" si="6">SUM(AK54:AK80,AK107:AK114)</f>
        <v>0</v>
      </c>
      <c r="AL126" s="206">
        <f t="shared" si="6"/>
        <v>0</v>
      </c>
      <c r="AM126" s="206">
        <f t="shared" si="6"/>
        <v>0</v>
      </c>
      <c r="AN126" s="206">
        <f t="shared" si="6"/>
        <v>0</v>
      </c>
      <c r="AO126" s="206">
        <f t="shared" si="6"/>
        <v>0</v>
      </c>
      <c r="AP126" s="206">
        <f t="shared" si="6"/>
        <v>0</v>
      </c>
      <c r="AQ126" s="206">
        <f t="shared" si="6"/>
        <v>0</v>
      </c>
      <c r="AR126" s="206">
        <f t="shared" si="6"/>
        <v>0</v>
      </c>
      <c r="AS126" s="206">
        <f t="shared" si="6"/>
        <v>0</v>
      </c>
      <c r="AT126" s="206">
        <f t="shared" si="6"/>
        <v>0</v>
      </c>
      <c r="AU126" s="206">
        <f t="shared" si="6"/>
        <v>0</v>
      </c>
      <c r="AV126" s="206">
        <f t="shared" si="6"/>
        <v>0</v>
      </c>
      <c r="AW126" s="206">
        <f t="shared" si="6"/>
        <v>0</v>
      </c>
      <c r="AX126" s="206">
        <f t="shared" si="6"/>
        <v>0</v>
      </c>
      <c r="AY126" s="206">
        <f t="shared" si="6"/>
        <v>0</v>
      </c>
      <c r="AZ126" s="206">
        <f t="shared" si="6"/>
        <v>0</v>
      </c>
      <c r="BA126" s="206">
        <f t="shared" si="6"/>
        <v>0</v>
      </c>
      <c r="BB126" s="206">
        <f t="shared" si="6"/>
        <v>0</v>
      </c>
      <c r="BC126" s="206">
        <f t="shared" si="6"/>
        <v>0</v>
      </c>
      <c r="BD126" s="206">
        <f t="shared" si="6"/>
        <v>0</v>
      </c>
      <c r="BE126" s="206">
        <f t="shared" si="6"/>
        <v>0</v>
      </c>
      <c r="BF126" s="206">
        <f t="shared" si="6"/>
        <v>0</v>
      </c>
      <c r="BG126" s="206">
        <f t="shared" si="6"/>
        <v>0</v>
      </c>
      <c r="BH126" s="206">
        <f t="shared" si="6"/>
        <v>0</v>
      </c>
      <c r="BI126" s="206">
        <f t="shared" si="6"/>
        <v>0</v>
      </c>
      <c r="BJ126" s="206">
        <f t="shared" si="6"/>
        <v>0</v>
      </c>
      <c r="BK126" s="206">
        <f t="shared" si="6"/>
        <v>0</v>
      </c>
      <c r="BL126" s="206">
        <f t="shared" si="6"/>
        <v>0</v>
      </c>
      <c r="BM126" s="206">
        <f t="shared" si="6"/>
        <v>0</v>
      </c>
      <c r="BN126" s="206">
        <f t="shared" si="6"/>
        <v>0</v>
      </c>
      <c r="BO126" s="206">
        <f t="shared" si="6"/>
        <v>0</v>
      </c>
      <c r="BP126" s="206">
        <f t="shared" si="6"/>
        <v>0</v>
      </c>
      <c r="BQ126" s="206">
        <f t="shared" si="6"/>
        <v>0</v>
      </c>
      <c r="BR126" s="206">
        <f t="shared" si="6"/>
        <v>0</v>
      </c>
      <c r="BS126" s="206">
        <f t="shared" si="6"/>
        <v>0</v>
      </c>
    </row>
    <row r="127" spans="1:71" s="3" customFormat="1" ht="13">
      <c r="B127" s="178"/>
      <c r="D127" s="31"/>
      <c r="E127" s="124"/>
      <c r="BS127" s="28"/>
    </row>
    <row r="128" spans="1:71" s="3" customFormat="1" ht="13">
      <c r="B128" s="178"/>
      <c r="D128" s="31"/>
      <c r="E128" s="30"/>
    </row>
  </sheetData>
  <phoneticPr fontId="21" type="noConversion"/>
  <conditionalFormatting sqref="F124:BS124 E2:BR83 AW91:BR123 E85:BR90 E91:AV124 BF91:BK124">
    <cfRule type="cellIs" dxfId="214" priority="68" operator="equal">
      <formula>0</formula>
    </cfRule>
  </conditionalFormatting>
  <conditionalFormatting sqref="E124:BS124">
    <cfRule type="cellIs" dxfId="213" priority="65" operator="greaterThan">
      <formula>0</formula>
    </cfRule>
  </conditionalFormatting>
  <conditionalFormatting sqref="C81 C17:C20 B4:C15 C22:C26 C43:C44 B54:C67 B76:B81 B44 C78:C79 B46:C50 C38 B23:C35 B70:B72 B66:B68 B73:C73 C66:C72">
    <cfRule type="cellIs" dxfId="212" priority="287" stopIfTrue="1" operator="notEqual">
      <formula>#REF!</formula>
    </cfRule>
  </conditionalFormatting>
  <conditionalFormatting sqref="C21">
    <cfRule type="cellIs" dxfId="211" priority="61" stopIfTrue="1" operator="notEqual">
      <formula>#REF!</formula>
    </cfRule>
  </conditionalFormatting>
  <conditionalFormatting sqref="A4:A15 A78:A79 A43:A50 A17:A41 A54:A73">
    <cfRule type="cellIs" dxfId="210" priority="57" operator="equal">
      <formula>0</formula>
    </cfRule>
  </conditionalFormatting>
  <conditionalFormatting sqref="A81">
    <cfRule type="cellIs" dxfId="209" priority="58" operator="equal">
      <formula>0</formula>
    </cfRule>
  </conditionalFormatting>
  <conditionalFormatting sqref="C32">
    <cfRule type="cellIs" dxfId="208" priority="56" stopIfTrue="1" operator="notEqual">
      <formula>#REF!</formula>
    </cfRule>
  </conditionalFormatting>
  <conditionalFormatting sqref="A32">
    <cfRule type="cellIs" dxfId="207" priority="54" operator="equal">
      <formula>0</formula>
    </cfRule>
  </conditionalFormatting>
  <conditionalFormatting sqref="C61:C63">
    <cfRule type="cellIs" dxfId="206" priority="53" stopIfTrue="1" operator="notEqual">
      <formula>#REF!</formula>
    </cfRule>
  </conditionalFormatting>
  <conditionalFormatting sqref="A61:A63">
    <cfRule type="cellIs" dxfId="205" priority="51" operator="equal">
      <formula>0</formula>
    </cfRule>
  </conditionalFormatting>
  <conditionalFormatting sqref="C16">
    <cfRule type="cellIs" dxfId="204" priority="50" stopIfTrue="1" operator="notEqual">
      <formula>#REF!</formula>
    </cfRule>
  </conditionalFormatting>
  <conditionalFormatting sqref="A16">
    <cfRule type="cellIs" dxfId="203" priority="48" operator="equal">
      <formula>0</formula>
    </cfRule>
  </conditionalFormatting>
  <conditionalFormatting sqref="A86">
    <cfRule type="cellIs" dxfId="202" priority="46" operator="equal">
      <formula>0</formula>
    </cfRule>
  </conditionalFormatting>
  <conditionalFormatting sqref="A80">
    <cfRule type="cellIs" dxfId="201" priority="36" operator="equal">
      <formula>0</formula>
    </cfRule>
  </conditionalFormatting>
  <conditionalFormatting sqref="C36:C41">
    <cfRule type="cellIs" dxfId="200" priority="35" stopIfTrue="1" operator="notEqual">
      <formula>#REF!</formula>
    </cfRule>
  </conditionalFormatting>
  <conditionalFormatting sqref="C87:C88">
    <cfRule type="cellIs" dxfId="199" priority="34" stopIfTrue="1" operator="notEqual">
      <formula>#REF!</formula>
    </cfRule>
  </conditionalFormatting>
  <conditionalFormatting sqref="A87:A88">
    <cfRule type="cellIs" dxfId="198" priority="32" operator="equal">
      <formula>0</formula>
    </cfRule>
  </conditionalFormatting>
  <conditionalFormatting sqref="A87:A88">
    <cfRule type="cellIs" dxfId="197" priority="33" operator="equal">
      <formula>0</formula>
    </cfRule>
  </conditionalFormatting>
  <conditionalFormatting sqref="B17:B20">
    <cfRule type="cellIs" dxfId="196" priority="31" stopIfTrue="1" operator="notEqual">
      <formula>#REF!</formula>
    </cfRule>
  </conditionalFormatting>
  <conditionalFormatting sqref="B21">
    <cfRule type="cellIs" dxfId="195" priority="30" stopIfTrue="1" operator="notEqual">
      <formula>#REF!</formula>
    </cfRule>
  </conditionalFormatting>
  <conditionalFormatting sqref="B32">
    <cfRule type="cellIs" dxfId="194" priority="29" stopIfTrue="1" operator="notEqual">
      <formula>#REF!</formula>
    </cfRule>
  </conditionalFormatting>
  <conditionalFormatting sqref="B61:B63">
    <cfRule type="cellIs" dxfId="193" priority="28" stopIfTrue="1" operator="notEqual">
      <formula>#REF!</formula>
    </cfRule>
  </conditionalFormatting>
  <conditionalFormatting sqref="B16">
    <cfRule type="cellIs" dxfId="192" priority="27" stopIfTrue="1" operator="notEqual">
      <formula>#REF!</formula>
    </cfRule>
  </conditionalFormatting>
  <conditionalFormatting sqref="B87:B88">
    <cfRule type="cellIs" dxfId="191" priority="25" stopIfTrue="1" operator="notEqual">
      <formula>#REF!</formula>
    </cfRule>
  </conditionalFormatting>
  <conditionalFormatting sqref="B69">
    <cfRule type="cellIs" dxfId="190" priority="20" stopIfTrue="1" operator="notEqual">
      <formula>#REF!</formula>
    </cfRule>
  </conditionalFormatting>
  <conditionalFormatting sqref="B45:C45">
    <cfRule type="cellIs" dxfId="189" priority="17" stopIfTrue="1" operator="notEqual">
      <formula>#REF!</formula>
    </cfRule>
  </conditionalFormatting>
  <conditionalFormatting sqref="B43">
    <cfRule type="cellIs" dxfId="188" priority="16" stopIfTrue="1" operator="notEqual">
      <formula>#REF!</formula>
    </cfRule>
  </conditionalFormatting>
  <conditionalFormatting sqref="B74:C74">
    <cfRule type="cellIs" dxfId="187" priority="15" stopIfTrue="1" operator="notEqual">
      <formula>#REF!</formula>
    </cfRule>
  </conditionalFormatting>
  <conditionalFormatting sqref="A74">
    <cfRule type="cellIs" dxfId="186" priority="13" operator="equal">
      <formula>0</formula>
    </cfRule>
  </conditionalFormatting>
  <conditionalFormatting sqref="B88">
    <cfRule type="cellIs" dxfId="185" priority="12" stopIfTrue="1" operator="notEqual">
      <formula>#REF!</formula>
    </cfRule>
  </conditionalFormatting>
  <conditionalFormatting sqref="C88">
    <cfRule type="cellIs" dxfId="184" priority="11" stopIfTrue="1" operator="notEqual">
      <formula>#REF!</formula>
    </cfRule>
  </conditionalFormatting>
  <conditionalFormatting sqref="B22:B26">
    <cfRule type="cellIs" dxfId="183" priority="9" stopIfTrue="1" operator="notEqual">
      <formula>#REF!</formula>
    </cfRule>
  </conditionalFormatting>
  <conditionalFormatting sqref="A42">
    <cfRule type="cellIs" dxfId="182" priority="8" operator="equal">
      <formula>0</formula>
    </cfRule>
  </conditionalFormatting>
  <conditionalFormatting sqref="B42:C42">
    <cfRule type="cellIs" dxfId="181" priority="7" stopIfTrue="1" operator="notEqual">
      <formula>#REF!</formula>
    </cfRule>
  </conditionalFormatting>
  <conditionalFormatting sqref="B36">
    <cfRule type="cellIs" dxfId="180" priority="6" stopIfTrue="1" operator="notEqual">
      <formula>#REF!</formula>
    </cfRule>
  </conditionalFormatting>
  <conditionalFormatting sqref="B37:B41">
    <cfRule type="cellIs" dxfId="179" priority="5" stopIfTrue="1" operator="notEqual">
      <formula>#REF!</formula>
    </cfRule>
  </conditionalFormatting>
  <conditionalFormatting sqref="B75">
    <cfRule type="cellIs" dxfId="178" priority="4" stopIfTrue="1" operator="notEqual">
      <formula>#REF!</formula>
    </cfRule>
  </conditionalFormatting>
  <conditionalFormatting sqref="C75:C77">
    <cfRule type="cellIs" dxfId="177" priority="2" stopIfTrue="1" operator="notEqual">
      <formula>#REF!</formula>
    </cfRule>
  </conditionalFormatting>
  <conditionalFormatting sqref="A75:A77">
    <cfRule type="cellIs" dxfId="176" priority="1" stopIfTrue="1" operator="notEqual">
      <formula>#REF!</formula>
    </cfRule>
  </conditionalFormatting>
  <hyperlinks>
    <hyperlink ref="E2" location="Conveyor_Types!E5" display="Conveyor_Types!E5" xr:uid="{F25361C9-65E1-4F30-A294-0D6A18FBB403}"/>
    <hyperlink ref="F2" location="Conveyor_Types!F5" display="Conveyor_Types!F5" xr:uid="{A1FD8C9B-45B0-4D95-AC88-7F2EADE4DEB8}"/>
    <hyperlink ref="G2" location="Conveyor_Types!G5" display="Conveyor_Types!G5" xr:uid="{77C69194-CEC1-41F1-84F5-2996C7046781}"/>
    <hyperlink ref="H2" location="Conveyor_Types!H5" display="Conveyor_Types!H5" xr:uid="{6F416A8C-7291-46B4-8EF3-13DA3743C4D4}"/>
    <hyperlink ref="BH2" location="Conveyor_Types!BH5" display="Conveyor_Types!BH5" xr:uid="{25BC2E45-98E1-4B88-BA69-4FEB5EFE685A}"/>
    <hyperlink ref="I2" location="Conveyor_Types!I5" display="PE" xr:uid="{156CCDAC-8254-4D3C-8229-D050ABF233E2}"/>
    <hyperlink ref="J2" location="Conveyor_Types!J5" display="PEP" xr:uid="{C779B944-D63C-46B9-8813-E033007EBFD2}"/>
    <hyperlink ref="K2" location="Conveyor_Types!K5" display="S/Tr" xr:uid="{9FCE500B-7264-4B40-99AD-D1A63941427F}"/>
    <hyperlink ref="L2" location="Conveyor_Types!L5" display="LC" xr:uid="{1A31C4D2-5D7F-40A5-91E5-2CBB33DDFB0E}"/>
    <hyperlink ref="M2" location="Conveyor_Types!M5" display="Prox Ø 30" xr:uid="{FA012005-4B63-4389-A96F-AEB67071C61F}"/>
    <hyperlink ref="N2" location="Conveyor_Types!N5" display="Prox Ø 18" xr:uid="{3491DFB5-464C-4507-AA78-730826EC666E}"/>
    <hyperlink ref="O2" location="Conveyor_Types!O5" display="LS" xr:uid="{DE06565E-A09E-4217-8C3E-4B1F75A5D2FE}"/>
    <hyperlink ref="P2" location="Conveyor_Types!P5" display="FS" xr:uid="{34761E8C-F874-4A29-8262-4574AE59FBEC}"/>
    <hyperlink ref="Q2" location="Conveyor_Types!Q5" display="PG" xr:uid="{317FDDB6-32FD-4AF9-8EB3-C0AA89A838E5}"/>
    <hyperlink ref="R2" location="Conveyor_Types!R5" display="SA" xr:uid="{6AA49F14-3979-42BE-A9E5-565389BB90AD}"/>
    <hyperlink ref="BI2" location="Conveyor_Types!BI5" display="Conveyor_Types!BI5" xr:uid="{091EC2EA-C5B9-4D4F-9A43-709C8D0B839A}"/>
    <hyperlink ref="S2" location="Conveyor_Types!S5" display="Conveyor_Types!S5" xr:uid="{C0490E9E-F933-4BD4-BB81-B1E723A18F1F}"/>
    <hyperlink ref="T2" location="Conveyor_Types!T5" display="Conveyor_Types!T5" xr:uid="{A3F095D5-D8C6-4530-B967-CCE52A9602DE}"/>
    <hyperlink ref="U2" location="Conveyor_Types!U5" display="Conveyor_Types!U5" xr:uid="{64EE8012-C3FE-4327-A3CE-3D81418D81A2}"/>
    <hyperlink ref="V2" location="Conveyor_Types!V5" display="Conveyor_Types!V5" xr:uid="{4C1F86D6-5D42-4557-8210-80CEA6A505D9}"/>
    <hyperlink ref="W2" location="Conveyor_Types!W5" display="Conveyor_Types!W5" xr:uid="{4F41934E-316B-42A1-B393-41FABB439A22}"/>
    <hyperlink ref="BJ2" location="Conveyor_Types!BJ5" display="Conveyor_Types!BJ5" xr:uid="{B2E65BB9-4A17-47F8-A6AE-4C5A62C7E81A}"/>
    <hyperlink ref="X2" location="Conveyor_Types!X5" display="Conveyor_Types!X5" xr:uid="{84953524-A410-4199-8C1B-BC421A8E3677}"/>
    <hyperlink ref="Y2" location="Conveyor_Types!Y5" display="Conveyor_Types!Y5" xr:uid="{A4EF2EC8-7873-4D03-A22B-EA1C9386294C}"/>
    <hyperlink ref="Z2" location="Conveyor_Types!Z5" display="Conveyor_Types!Z5" xr:uid="{802A3596-C40D-4E8A-82BB-D36CBCA82A90}"/>
    <hyperlink ref="AA2" location="Conveyor_Types!AA5" display="Conveyor_Types!AA5" xr:uid="{FD739287-7E3A-4348-A7E4-9A324660E779}"/>
    <hyperlink ref="AB2" location="Conveyor_Types!AB5" display="Conveyor_Types!AB5" xr:uid="{06E27C3C-EBD5-4C30-829C-6D5D536C4F69}"/>
    <hyperlink ref="BG2" location="Qty_Typicals!BG5" display="Qty_Typicals!BG5" xr:uid="{3D9D91AF-8D36-4C69-B934-FFBFF1EF5661}"/>
    <hyperlink ref="AC2" location="Conveyor_Types!AC5" display="Conveyor_Types!AC5" xr:uid="{9823DF8F-3C18-4157-A57A-C41BA5102534}"/>
    <hyperlink ref="AD2" location="Conveyor_Types!AD5" display="Conveyor_Types!AD5" xr:uid="{499D3621-4E1F-4ABE-B1BB-F60178A3FD32}"/>
    <hyperlink ref="AE2" location="Conveyor_Types!AE5" display="Conveyor_Types!AE5" xr:uid="{07EDA6AE-4DA5-4110-BE1B-FBC6320CA757}"/>
    <hyperlink ref="AF2" location="Conveyor_Types!AF5" display="Conveyor_Types!AF5" xr:uid="{8F773DFB-3289-4C14-B5CF-55119BDB4F72}"/>
    <hyperlink ref="AG2" location="Conveyor_Types!AG5" display="Conveyor_Types!AG5" xr:uid="{B5ECA59A-9A60-4E9A-8FE8-6EED2278BEDF}"/>
    <hyperlink ref="AH2" location="Conveyor_Types!AH5" display="Conveyor_Types!AH5" xr:uid="{F94AE12D-B3B7-4BC5-AECC-3D8E6A441D47}"/>
    <hyperlink ref="BK2" location="Conveyor_Types!BK5" display="Conveyor_Types!BK5" xr:uid="{5B1131B9-0ED3-4B22-A3BE-0AE199B53879}"/>
    <hyperlink ref="AJ2" location="Conveyor_Types!AJ5" display="Conveyor_Types!AJ5" xr:uid="{BC926617-3FAE-478D-B43A-2A8376DFE199}"/>
    <hyperlink ref="AK2" location="Conveyor_Types!AK5" display="Conveyor_Types!AK5" xr:uid="{51A0F28D-28F2-4123-8941-798C8ADE2082}"/>
    <hyperlink ref="AL2" location="Conveyor_Types!AL5" display="Conveyor_Types!AL5" xr:uid="{3EB63276-AF16-4047-A189-9FD9D5A88023}"/>
    <hyperlink ref="AM2" location="Conveyor_Types!AM5" display="Conveyor_Types!AM5" xr:uid="{814ABA04-893C-4B13-98F3-33F82E559DB5}"/>
    <hyperlink ref="AN2" location="Conveyor_Types!AN5" display="Conveyor_Types!AN5" xr:uid="{5EA9A648-A239-4C64-B95F-E0D14451B677}"/>
    <hyperlink ref="AO2" location="Conveyor_Types!AO5" display="Conveyor_Types!AO5" xr:uid="{D8A0D090-C189-46EE-9A26-E249E56869BA}"/>
    <hyperlink ref="AP2" location="Conveyor_Types!AP5" display="Conveyor_Types!AP5" xr:uid="{BDA23A1C-C90C-49AA-B6F0-9E916F085CA6}"/>
    <hyperlink ref="AQ2" location="Conveyor_Types!AQ5" display="Conveyor_Types!AQ5" xr:uid="{EFAFB9CB-7F10-4580-817F-A57FAD78A522}"/>
    <hyperlink ref="AR2" location="Conveyor_Types!AR5" display="Conveyor_Types!AR5" xr:uid="{86060F19-276D-430E-AC3C-32BE60ADEEEE}"/>
    <hyperlink ref="AS2" location="Conveyor_Types!AS5" display="Conveyor_Types!AS5" xr:uid="{0F5EE474-7577-4C4C-BBBA-2DE923F2ECA0}"/>
    <hyperlink ref="BF2" location="Conveyor_Types!BF5" display="Conveyor_Types!BF5" xr:uid="{D6CDA50F-5328-46C5-B47C-70672463A5F8}"/>
    <hyperlink ref="AT2" location="Conveyor_Types!AT5" display="Conveyor_Types!AT5" xr:uid="{B8616629-21FD-4823-957C-95F0EEED4799}"/>
    <hyperlink ref="AU2" location="Conveyor_Types!AU5" display="Conveyor_Types!AU5" xr:uid="{D07B631F-C226-4807-883D-A64BAAD19F08}"/>
    <hyperlink ref="AV2" location="Conveyor_Types!AV5" display="Conveyor_Types!AV5" xr:uid="{CCC54F36-484B-401D-BB12-05F01C4C0EEF}"/>
    <hyperlink ref="BE2" location="Conveyor_Types!BE5" display="Conveyor_Types!BE5" xr:uid="{6C10C6DA-E218-40A6-9DAD-0931B0ECDA2E}"/>
    <hyperlink ref="BL2" location="Conveyor_Types!BL5" display="Conveyor_Types!BL5" xr:uid="{7DF1762E-15B9-4F21-B766-CAA0CBC6F4D4}"/>
    <hyperlink ref="BM2" location="Conveyor_Types!BM5" display="Conveyor_Types!BM5" xr:uid="{E1E1883E-2C4B-4977-8A6B-38B1274574D4}"/>
    <hyperlink ref="BN2" location="Conveyor_Types!BN5" display="Conveyor_Types!BN5" xr:uid="{5777BD5E-04B2-4C80-99D0-927A73DDECFA}"/>
    <hyperlink ref="BO2" location="Conveyor_Types!BO5" display="Conveyor_Types!BO5" xr:uid="{FEC86FB9-6189-43DB-BF8A-B71353FBDA77}"/>
    <hyperlink ref="BP2" location="Conveyor_Types!BP5" display="Conveyor_Types!BP5" xr:uid="{7A4D2BDB-8956-4B3F-A4E7-EC0C671A1CF8}"/>
    <hyperlink ref="BQ2" location="Conveyor_Types!BQ5" display="Conveyor_Types!BQ5" xr:uid="{349827AC-414D-4FFB-8CC4-39A6CCEE2C80}"/>
    <hyperlink ref="AW2" location="Conveyor_Types!AW5" display="Conveyor_Types!AW5" xr:uid="{BF35A598-DD1A-40DF-8747-5D2A5D0BA2C9}"/>
    <hyperlink ref="AX2" location="Conveyor_Types!AX5" display="Conveyor_Types!AX5" xr:uid="{30C72F3E-4151-4B13-8F74-B3623DB16BAF}"/>
    <hyperlink ref="AY2" location="Conveyor_Types!AY5" display="Conveyor_Types!AY5" xr:uid="{BEF319BE-DD25-40BB-AC2D-57A3A1BF5637}"/>
    <hyperlink ref="AZ2" location="Conveyor_Types!AZ5" display="Conveyor_Types!AZ5" xr:uid="{C6FD19A3-42B5-48C7-9814-8B7EE666F745}"/>
    <hyperlink ref="BA2" location="Conveyor_Types!BA5" display="Conveyor_Types!BA5" xr:uid="{AB419C72-CE55-4110-82CC-933FA55EBBEF}"/>
    <hyperlink ref="BB2" location="Conveyor_Types!BB5" display="Conveyor_Types!BB5" xr:uid="{69BEB223-A03A-4EFD-86B6-05266FA334FE}"/>
    <hyperlink ref="BC2" location="Conveyor_Types!BC5" display="Conveyor_Types!BC5" xr:uid="{F38E7973-C2FB-416C-9BB1-2FC56F2616CD}"/>
    <hyperlink ref="BD2" location="Conveyor_Types!BD5" display="Conveyor_Types!BD5" xr:uid="{0B47D0BC-FBA6-47EE-8225-5B614ECF3523}"/>
    <hyperlink ref="BR2" location="Conveyor_Types!BR5" display="Conveyor_Types!BR5" xr:uid="{763B27C9-E123-4C40-88D4-6D022E92A8C8}"/>
    <hyperlink ref="BS2" location="Conveyor_Types!BR5" display="End" xr:uid="{A800333C-B5AE-483B-94C4-798C2347F92E}"/>
    <hyperlink ref="AI2" location="Conveyor_Types!AI5" display="Conveyor_Types!AI5" xr:uid="{FE5F02FD-AD6E-4104-BE94-48170D458EBA}"/>
  </hyperlinks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5898" r:id="rId4" name="cmd_getQtyfromBOMPIVOT">
          <controlPr defaultSize="0" autoLine="0" autoPict="0" r:id="rId5">
            <anchor moveWithCells="1">
              <from>
                <xdr:col>1</xdr:col>
                <xdr:colOff>1714500</xdr:colOff>
                <xdr:row>0</xdr:row>
                <xdr:rowOff>184150</xdr:rowOff>
              </from>
              <to>
                <xdr:col>3</xdr:col>
                <xdr:colOff>330200</xdr:colOff>
                <xdr:row>0</xdr:row>
                <xdr:rowOff>825500</xdr:rowOff>
              </to>
            </anchor>
          </controlPr>
        </control>
      </mc:Choice>
      <mc:Fallback>
        <control shapeId="15898" r:id="rId4" name="cmd_getQtyfromBOMPIVOT"/>
      </mc:Fallback>
    </mc:AlternateContent>
    <mc:AlternateContent xmlns:mc="http://schemas.openxmlformats.org/markup-compatibility/2006">
      <mc:Choice Requires="x14">
        <control shapeId="15897" r:id="rId6" name="cmd_countAllDevices">
          <controlPr defaultSize="0" autoLine="0" autoPict="0" r:id="rId7">
            <anchor moveWithCells="1">
              <from>
                <xdr:col>3</xdr:col>
                <xdr:colOff>406400</xdr:colOff>
                <xdr:row>0</xdr:row>
                <xdr:rowOff>152400</xdr:rowOff>
              </from>
              <to>
                <xdr:col>3</xdr:col>
                <xdr:colOff>1320800</xdr:colOff>
                <xdr:row>0</xdr:row>
                <xdr:rowOff>825500</xdr:rowOff>
              </to>
            </anchor>
          </controlPr>
        </control>
      </mc:Choice>
      <mc:Fallback>
        <control shapeId="15897" r:id="rId6" name="cmd_countAllDevic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B9C13-1F95-4CDF-A0A4-97F1D4BD0AAE}">
  <sheetPr codeName="Tabelle3"/>
  <dimension ref="A1:I240"/>
  <sheetViews>
    <sheetView zoomScale="70" zoomScaleNormal="70" workbookViewId="0">
      <pane ySplit="2" topLeftCell="A3" activePane="bottomLeft" state="frozen"/>
      <selection activeCell="B1" sqref="B1"/>
      <selection pane="bottomLeft" activeCell="A36" sqref="A36:E36"/>
    </sheetView>
  </sheetViews>
  <sheetFormatPr defaultColWidth="11.453125" defaultRowHeight="14.5" outlineLevelCol="1"/>
  <cols>
    <col min="1" max="1" width="34.6328125" style="42" customWidth="1"/>
    <col min="2" max="2" width="44.36328125" style="41" customWidth="1"/>
    <col min="3" max="3" width="12.6328125" style="41" customWidth="1" outlineLevel="1"/>
    <col min="4" max="4" width="12.36328125" style="41" customWidth="1" outlineLevel="1"/>
    <col min="5" max="5" width="23.6328125" style="72" customWidth="1"/>
    <col min="6" max="6" width="54.453125" style="41" customWidth="1"/>
    <col min="7" max="7" width="25.453125" style="42" customWidth="1"/>
    <col min="8" max="8" width="32.36328125" customWidth="1"/>
    <col min="10" max="16384" width="11.453125" style="42"/>
  </cols>
  <sheetData>
    <row r="1" spans="1:8" ht="117" customHeight="1">
      <c r="B1" s="227">
        <f>Parameter!B2</f>
        <v>0</v>
      </c>
      <c r="C1" s="58"/>
      <c r="D1" s="59"/>
      <c r="E1" s="67"/>
      <c r="G1" s="260" t="s">
        <v>689</v>
      </c>
    </row>
    <row r="2" spans="1:8" ht="45.65" customHeight="1" thickBot="1">
      <c r="A2" s="89" t="s">
        <v>269</v>
      </c>
      <c r="B2" s="60" t="s">
        <v>270</v>
      </c>
      <c r="C2" s="60" t="s">
        <v>271</v>
      </c>
      <c r="D2" s="60" t="s">
        <v>272</v>
      </c>
      <c r="E2" s="68" t="s">
        <v>273</v>
      </c>
    </row>
    <row r="3" spans="1:8">
      <c r="A3" s="80"/>
      <c r="B3" s="61" t="s">
        <v>274</v>
      </c>
      <c r="C3" s="61" t="s">
        <v>275</v>
      </c>
      <c r="D3" s="61"/>
      <c r="E3" s="285">
        <f>SUM(E4:E4)</f>
        <v>0</v>
      </c>
    </row>
    <row r="4" spans="1:8">
      <c r="A4" s="80"/>
      <c r="B4" s="40"/>
      <c r="C4" s="40"/>
      <c r="D4" s="40"/>
      <c r="E4" s="69"/>
    </row>
    <row r="5" spans="1:8">
      <c r="A5" s="80"/>
      <c r="B5" s="43" t="s">
        <v>277</v>
      </c>
      <c r="C5" s="43" t="s">
        <v>278</v>
      </c>
      <c r="D5" s="43"/>
      <c r="E5" s="286">
        <f>SUM(E6:E7)</f>
        <v>0</v>
      </c>
    </row>
    <row r="6" spans="1:8">
      <c r="A6" s="81" t="s">
        <v>279</v>
      </c>
      <c r="B6" s="40" t="s">
        <v>280</v>
      </c>
      <c r="C6" s="40" t="s">
        <v>281</v>
      </c>
      <c r="D6" s="40"/>
      <c r="E6" s="62"/>
      <c r="F6" s="44" t="s">
        <v>276</v>
      </c>
    </row>
    <row r="7" spans="1:8">
      <c r="A7" s="80"/>
      <c r="B7" s="40"/>
      <c r="C7" s="40"/>
      <c r="D7" s="40"/>
      <c r="E7" s="69"/>
    </row>
    <row r="8" spans="1:8">
      <c r="A8" s="80"/>
      <c r="B8" s="43" t="s">
        <v>282</v>
      </c>
      <c r="C8" s="43" t="s">
        <v>283</v>
      </c>
      <c r="D8" s="43"/>
      <c r="E8" s="286">
        <f>SUM(E9:E11)</f>
        <v>0</v>
      </c>
    </row>
    <row r="9" spans="1:8">
      <c r="A9" s="81" t="s">
        <v>284</v>
      </c>
      <c r="B9" s="40" t="s">
        <v>285</v>
      </c>
      <c r="C9" s="40" t="s">
        <v>286</v>
      </c>
      <c r="D9" s="40" t="s">
        <v>287</v>
      </c>
      <c r="E9" s="65"/>
      <c r="F9" s="44" t="s">
        <v>727</v>
      </c>
      <c r="H9" s="317"/>
    </row>
    <row r="10" spans="1:8">
      <c r="A10" s="81" t="s">
        <v>288</v>
      </c>
      <c r="B10" s="40" t="s">
        <v>289</v>
      </c>
      <c r="C10" s="40" t="s">
        <v>290</v>
      </c>
      <c r="D10" s="40" t="s">
        <v>287</v>
      </c>
      <c r="E10" s="65"/>
      <c r="F10" s="44" t="s">
        <v>732</v>
      </c>
    </row>
    <row r="11" spans="1:8">
      <c r="A11" s="80"/>
      <c r="B11" s="40"/>
      <c r="C11" s="40"/>
      <c r="D11" s="40"/>
      <c r="E11" s="69"/>
    </row>
    <row r="12" spans="1:8">
      <c r="A12" s="80"/>
      <c r="B12" s="319" t="s">
        <v>291</v>
      </c>
      <c r="C12" s="43" t="s">
        <v>292</v>
      </c>
      <c r="D12" s="43"/>
      <c r="E12" s="286">
        <f>SUM(E13:E18)-E14</f>
        <v>0</v>
      </c>
    </row>
    <row r="13" spans="1:8">
      <c r="A13" s="81" t="s">
        <v>731</v>
      </c>
      <c r="B13" s="40" t="s">
        <v>714</v>
      </c>
      <c r="C13" s="40" t="s">
        <v>293</v>
      </c>
      <c r="D13" s="40"/>
      <c r="E13" s="62"/>
      <c r="F13" s="44" t="s">
        <v>276</v>
      </c>
    </row>
    <row r="14" spans="1:8">
      <c r="A14" s="81" t="s">
        <v>294</v>
      </c>
      <c r="B14" s="40" t="s">
        <v>713</v>
      </c>
      <c r="C14" s="40" t="s">
        <v>295</v>
      </c>
      <c r="D14" s="40"/>
      <c r="E14" s="344"/>
    </row>
    <row r="15" spans="1:8">
      <c r="A15" s="80"/>
      <c r="B15" s="40"/>
      <c r="C15" s="40"/>
      <c r="D15" s="40"/>
      <c r="E15" s="64"/>
    </row>
    <row r="16" spans="1:8">
      <c r="A16" s="81" t="s">
        <v>296</v>
      </c>
      <c r="B16" s="40" t="s">
        <v>719</v>
      </c>
      <c r="C16" s="40" t="s">
        <v>717</v>
      </c>
      <c r="D16" s="40" t="s">
        <v>296</v>
      </c>
      <c r="E16" s="62"/>
      <c r="F16" s="44" t="s">
        <v>728</v>
      </c>
    </row>
    <row r="17" spans="1:7">
      <c r="A17" s="81" t="s">
        <v>297</v>
      </c>
      <c r="B17" s="40" t="s">
        <v>720</v>
      </c>
      <c r="C17" s="40" t="s">
        <v>718</v>
      </c>
      <c r="D17" s="40" t="s">
        <v>297</v>
      </c>
      <c r="E17" s="65"/>
      <c r="F17" s="44" t="s">
        <v>732</v>
      </c>
    </row>
    <row r="18" spans="1:7">
      <c r="A18" s="80"/>
      <c r="B18" s="40"/>
      <c r="C18" s="40"/>
      <c r="D18" s="40"/>
      <c r="E18" s="69"/>
    </row>
    <row r="19" spans="1:7">
      <c r="A19" s="80"/>
      <c r="B19" s="43" t="s">
        <v>711</v>
      </c>
      <c r="C19" s="43" t="s">
        <v>298</v>
      </c>
      <c r="D19" s="43"/>
      <c r="E19" s="286">
        <f>SUM(E20:E33)</f>
        <v>0</v>
      </c>
    </row>
    <row r="20" spans="1:7">
      <c r="A20" s="81" t="s">
        <v>299</v>
      </c>
      <c r="B20" s="40" t="s">
        <v>710</v>
      </c>
      <c r="C20" s="40" t="s">
        <v>300</v>
      </c>
      <c r="D20" s="40" t="s">
        <v>299</v>
      </c>
      <c r="E20" s="284">
        <f>IF(E34&gt;=1,ROUNDUP(Qty_Typicals!C118/18,0),0)</f>
        <v>0</v>
      </c>
    </row>
    <row r="21" spans="1:7">
      <c r="A21" s="81" t="s">
        <v>301</v>
      </c>
      <c r="B21" s="40" t="s">
        <v>712</v>
      </c>
      <c r="C21" s="40" t="s">
        <v>302</v>
      </c>
      <c r="D21" s="40" t="s">
        <v>301</v>
      </c>
      <c r="E21" s="347"/>
    </row>
    <row r="22" spans="1:7">
      <c r="A22" s="80"/>
      <c r="B22" s="40"/>
      <c r="C22" s="40"/>
      <c r="D22" s="40"/>
      <c r="E22" s="69"/>
    </row>
    <row r="23" spans="1:7">
      <c r="A23" s="81" t="s">
        <v>303</v>
      </c>
      <c r="B23" s="345" t="str">
        <f>Qty_Typicals!D23</f>
        <v>Belt Lift</v>
      </c>
      <c r="C23" s="40" t="s">
        <v>304</v>
      </c>
      <c r="D23" s="40"/>
      <c r="E23" s="284">
        <f>SUMIF(Qty_Typicals!$D$4:$D$50,Qty_all_Devices_Belt!B23,Qty_Typicals!$C$4:$C$50)</f>
        <v>0</v>
      </c>
      <c r="G23" s="350"/>
    </row>
    <row r="24" spans="1:7">
      <c r="A24" s="81" t="s">
        <v>305</v>
      </c>
      <c r="B24" s="345" t="str">
        <f>Qty_Typicals!D24</f>
        <v>Belt S/C - Lift</v>
      </c>
      <c r="C24" s="40" t="s">
        <v>306</v>
      </c>
      <c r="D24" s="40"/>
      <c r="E24" s="284">
        <f>SUMIF(Qty_Typicals!$D$4:$D$50,Qty_all_Devices_Belt!B24,Qty_Typicals!$C$4:$C$50)</f>
        <v>0</v>
      </c>
    </row>
    <row r="25" spans="1:7">
      <c r="A25" s="81" t="s">
        <v>307</v>
      </c>
      <c r="B25" s="345" t="str">
        <f>Qty_Typicals!D20</f>
        <v>Verti-Sorter - one Arm</v>
      </c>
      <c r="C25" s="40" t="s">
        <v>308</v>
      </c>
      <c r="D25" s="40" t="s">
        <v>309</v>
      </c>
      <c r="E25" s="284">
        <f>SUMIF(Qty_Typicals!$D$4:$D$50,Qty_all_Devices_Belt!B25,Qty_Typicals!$C$4:$C$50)</f>
        <v>0</v>
      </c>
    </row>
    <row r="26" spans="1:7">
      <c r="A26" s="81" t="s">
        <v>310</v>
      </c>
      <c r="B26" s="345" t="str">
        <f>Qty_Typicals!D17</f>
        <v>High Speed Diverter (HSD/HDU)</v>
      </c>
      <c r="C26" s="40" t="s">
        <v>311</v>
      </c>
      <c r="D26" s="40" t="s">
        <v>312</v>
      </c>
      <c r="E26" s="284">
        <f>SUMIF(Qty_Typicals!$D$4:$D$50,Qty_all_Devices_Belt!B26,Qty_Typicals!$C$4:$C$50)</f>
        <v>0</v>
      </c>
      <c r="F26" s="45" t="s">
        <v>313</v>
      </c>
    </row>
    <row r="27" spans="1:7">
      <c r="A27" s="81" t="s">
        <v>314</v>
      </c>
      <c r="B27" s="345" t="str">
        <f>Qty_Typicals!D18</f>
        <v>Plough (Single Arm) Divert</v>
      </c>
      <c r="C27" s="40" t="s">
        <v>315</v>
      </c>
      <c r="D27" s="40"/>
      <c r="E27" s="284">
        <f>SUMIF(Qty_Typicals!$D$4:$D$50,Qty_all_Devices_Belt!B27,Qty_Typicals!$C$4:$C$50)</f>
        <v>0</v>
      </c>
      <c r="F27" s="45" t="s">
        <v>313</v>
      </c>
    </row>
    <row r="28" spans="1:7">
      <c r="A28" s="81" t="s">
        <v>316</v>
      </c>
      <c r="B28" s="345" t="str">
        <f>Qty_Typicals!D19</f>
        <v>Belt Tilter Plus</v>
      </c>
      <c r="C28" s="40" t="s">
        <v>317</v>
      </c>
      <c r="D28" s="40" t="s">
        <v>318</v>
      </c>
      <c r="E28" s="284">
        <f>SUMIF(Qty_Typicals!$D$4:$D$50,Qty_all_Devices_Belt!B28,Qty_Typicals!$C$4:$C$50)</f>
        <v>0</v>
      </c>
    </row>
    <row r="29" spans="1:7">
      <c r="A29" s="81" t="s">
        <v>789</v>
      </c>
      <c r="B29" s="345" t="str">
        <f>Qty_Typicals!D25</f>
        <v>Belt Pusher</v>
      </c>
      <c r="C29" s="40"/>
      <c r="D29" s="40"/>
      <c r="E29" s="284">
        <f>SUMIF(Qty_Typicals!$D$4:$D$50,Qty_all_Devices_Belt!B29,Qty_Typicals!$C$4:$C$50)</f>
        <v>0</v>
      </c>
      <c r="F29" s="41" t="s">
        <v>793</v>
      </c>
    </row>
    <row r="30" spans="1:7">
      <c r="A30" s="81" t="s">
        <v>790</v>
      </c>
      <c r="B30" s="345" t="str">
        <f>Qty_Typicals!D26</f>
        <v>Belt Vario Flip</v>
      </c>
      <c r="C30" s="40"/>
      <c r="D30" s="40"/>
      <c r="E30" s="284">
        <f>SUMIF(Qty_Typicals!$D$4:$D$50,Qty_all_Devices_Belt!B30,Qty_Typicals!$C$4:$C$50)</f>
        <v>0</v>
      </c>
    </row>
    <row r="31" spans="1:7">
      <c r="A31" s="81" t="s">
        <v>791</v>
      </c>
      <c r="B31" s="345" t="str">
        <f>Qty_Typicals!D21</f>
        <v>Verti-Merge - one Arm</v>
      </c>
      <c r="C31" s="40"/>
      <c r="D31" s="40"/>
      <c r="E31" s="284">
        <f>SUMIF(Qty_Typicals!$D$4:$D$50,Qty_all_Devices_Belt!B31,Qty_Typicals!$C$4:$C$50)</f>
        <v>0</v>
      </c>
    </row>
    <row r="32" spans="1:7" ht="14" customHeight="1">
      <c r="A32" s="81" t="s">
        <v>792</v>
      </c>
      <c r="B32" s="345" t="str">
        <f>Qty_Typicals!D22</f>
        <v>Verti-Sorter - three Arm</v>
      </c>
      <c r="C32" s="40"/>
      <c r="D32" s="40"/>
      <c r="E32" s="284">
        <f>SUMIF(Qty_Typicals!$D$4:$D$50,Qty_all_Devices_Belt!B32,Qty_Typicals!$C$4:$C$50)</f>
        <v>0</v>
      </c>
    </row>
    <row r="33" spans="1:7">
      <c r="A33" s="80"/>
      <c r="B33" s="40"/>
      <c r="C33" s="40"/>
      <c r="D33" s="40"/>
      <c r="E33" s="69"/>
    </row>
    <row r="34" spans="1:7">
      <c r="A34" s="80"/>
      <c r="B34" s="43" t="s">
        <v>709</v>
      </c>
      <c r="C34" s="43" t="s">
        <v>334</v>
      </c>
      <c r="D34" s="43"/>
      <c r="E34" s="348">
        <f>E35+E36</f>
        <v>0</v>
      </c>
    </row>
    <row r="35" spans="1:7">
      <c r="A35" s="81" t="s">
        <v>335</v>
      </c>
      <c r="B35" s="40" t="s">
        <v>336</v>
      </c>
      <c r="C35" s="40" t="s">
        <v>337</v>
      </c>
      <c r="D35" s="40" t="s">
        <v>338</v>
      </c>
      <c r="E35" s="70"/>
      <c r="F35" s="44" t="s">
        <v>728</v>
      </c>
    </row>
    <row r="36" spans="1:7">
      <c r="A36" s="81" t="s">
        <v>339</v>
      </c>
      <c r="B36" s="40" t="s">
        <v>340</v>
      </c>
      <c r="C36" s="40" t="s">
        <v>341</v>
      </c>
      <c r="D36" s="40" t="s">
        <v>342</v>
      </c>
      <c r="E36" s="65"/>
      <c r="F36" s="44" t="s">
        <v>732</v>
      </c>
    </row>
    <row r="37" spans="1:7">
      <c r="A37" s="80"/>
      <c r="B37" s="40"/>
      <c r="C37" s="40"/>
      <c r="D37" s="40"/>
      <c r="E37" s="64"/>
    </row>
    <row r="38" spans="1:7">
      <c r="A38" s="80"/>
      <c r="B38" s="319" t="s">
        <v>343</v>
      </c>
      <c r="C38" s="43" t="s">
        <v>344</v>
      </c>
      <c r="D38" s="43"/>
      <c r="E38" s="286">
        <f>SUM(E39:E40)</f>
        <v>0</v>
      </c>
    </row>
    <row r="39" spans="1:7">
      <c r="A39" s="81" t="s">
        <v>345</v>
      </c>
      <c r="B39" s="40" t="s">
        <v>346</v>
      </c>
      <c r="C39" s="40" t="s">
        <v>347</v>
      </c>
      <c r="D39" s="40" t="s">
        <v>348</v>
      </c>
      <c r="E39" s="284">
        <f>ROUNDUP(E41/25,0)</f>
        <v>0</v>
      </c>
      <c r="F39" s="41" t="s">
        <v>349</v>
      </c>
    </row>
    <row r="40" spans="1:7">
      <c r="A40" s="80"/>
      <c r="B40" s="40"/>
      <c r="C40" s="40"/>
      <c r="D40" s="40"/>
      <c r="E40" s="64"/>
    </row>
    <row r="41" spans="1:7">
      <c r="A41" s="80"/>
      <c r="B41" s="43" t="s">
        <v>350</v>
      </c>
      <c r="C41" s="43" t="s">
        <v>351</v>
      </c>
      <c r="D41" s="43"/>
      <c r="E41" s="286">
        <f>SUM(E42:E46)</f>
        <v>0</v>
      </c>
    </row>
    <row r="42" spans="1:7">
      <c r="A42" s="81" t="s">
        <v>37</v>
      </c>
      <c r="B42" s="40" t="s">
        <v>352</v>
      </c>
      <c r="C42" s="129" t="s">
        <v>353</v>
      </c>
      <c r="D42" s="129" t="s">
        <v>354</v>
      </c>
      <c r="E42" s="63"/>
      <c r="G42" s="224" t="s">
        <v>37</v>
      </c>
    </row>
    <row r="43" spans="1:7">
      <c r="A43" s="81" t="s">
        <v>38</v>
      </c>
      <c r="B43" s="40" t="s">
        <v>355</v>
      </c>
      <c r="C43" s="40" t="s">
        <v>356</v>
      </c>
      <c r="D43" s="40" t="s">
        <v>357</v>
      </c>
      <c r="E43" s="63"/>
      <c r="G43" s="224" t="s">
        <v>38</v>
      </c>
    </row>
    <row r="44" spans="1:7">
      <c r="A44" s="81" t="s">
        <v>39</v>
      </c>
      <c r="B44" s="40" t="s">
        <v>358</v>
      </c>
      <c r="C44" s="40" t="s">
        <v>359</v>
      </c>
      <c r="D44" s="40" t="s">
        <v>357</v>
      </c>
      <c r="E44" s="63"/>
      <c r="G44" s="224" t="s">
        <v>39</v>
      </c>
    </row>
    <row r="45" spans="1:7">
      <c r="A45" s="81" t="s">
        <v>360</v>
      </c>
      <c r="B45" s="40" t="s">
        <v>138</v>
      </c>
      <c r="C45" s="40" t="s">
        <v>361</v>
      </c>
      <c r="D45" s="40" t="s">
        <v>357</v>
      </c>
      <c r="E45" s="284" cm="1">
        <f t="array" ref="E45">ROUNDUP(SUM(Qty_Typicals!X4:X49*0.05),0)</f>
        <v>0</v>
      </c>
      <c r="F45" s="44" t="s">
        <v>362</v>
      </c>
    </row>
    <row r="46" spans="1:7">
      <c r="A46" s="80"/>
      <c r="B46" s="40"/>
      <c r="C46" s="40"/>
      <c r="D46" s="40"/>
      <c r="E46" s="69"/>
    </row>
    <row r="47" spans="1:7">
      <c r="A47" s="80"/>
      <c r="B47" s="43" t="s">
        <v>363</v>
      </c>
      <c r="C47" s="43" t="s">
        <v>364</v>
      </c>
      <c r="D47" s="43"/>
      <c r="E47" s="286">
        <f>SUM(E48:E52)</f>
        <v>0</v>
      </c>
    </row>
    <row r="48" spans="1:7">
      <c r="A48" s="80"/>
      <c r="B48" s="40" t="s">
        <v>365</v>
      </c>
      <c r="C48" s="40" t="s">
        <v>366</v>
      </c>
      <c r="D48" s="40"/>
      <c r="E48" s="69"/>
    </row>
    <row r="49" spans="1:7">
      <c r="A49" s="80"/>
      <c r="B49" s="40" t="s">
        <v>367</v>
      </c>
      <c r="C49" s="40" t="s">
        <v>368</v>
      </c>
      <c r="D49" s="40"/>
      <c r="E49" s="69"/>
    </row>
    <row r="50" spans="1:7">
      <c r="A50" s="80"/>
      <c r="B50" s="40" t="s">
        <v>369</v>
      </c>
      <c r="C50" s="40" t="s">
        <v>369</v>
      </c>
      <c r="D50" s="40"/>
      <c r="E50" s="69"/>
    </row>
    <row r="51" spans="1:7">
      <c r="A51" s="80"/>
      <c r="B51" s="40" t="s">
        <v>370</v>
      </c>
      <c r="C51" s="40" t="s">
        <v>370</v>
      </c>
      <c r="D51" s="40"/>
      <c r="E51" s="69"/>
    </row>
    <row r="52" spans="1:7">
      <c r="A52" s="80"/>
      <c r="B52" s="40"/>
      <c r="C52" s="40"/>
      <c r="D52" s="40"/>
      <c r="E52" s="69"/>
    </row>
    <row r="53" spans="1:7">
      <c r="A53" s="80"/>
      <c r="B53" s="43" t="s">
        <v>371</v>
      </c>
      <c r="C53" s="43" t="s">
        <v>372</v>
      </c>
      <c r="D53" s="43"/>
      <c r="E53" s="286">
        <f>SUM(E54:E59)</f>
        <v>0</v>
      </c>
    </row>
    <row r="54" spans="1:7">
      <c r="A54" s="80"/>
      <c r="B54" s="40" t="s">
        <v>715</v>
      </c>
      <c r="C54" s="40" t="s">
        <v>374</v>
      </c>
      <c r="D54" s="40"/>
      <c r="E54" s="344"/>
      <c r="F54" s="44" t="s">
        <v>716</v>
      </c>
    </row>
    <row r="55" spans="1:7">
      <c r="A55" s="80"/>
      <c r="B55" s="40" t="s">
        <v>375</v>
      </c>
      <c r="C55" s="40" t="s">
        <v>376</v>
      </c>
      <c r="D55" s="40"/>
      <c r="E55" s="284">
        <f>Qty_Typicals!C88/2</f>
        <v>0</v>
      </c>
      <c r="F55" s="44" t="s">
        <v>716</v>
      </c>
      <c r="G55" s="226" t="s">
        <v>697</v>
      </c>
    </row>
    <row r="56" spans="1:7">
      <c r="A56" s="80"/>
      <c r="B56" s="40" t="s">
        <v>377</v>
      </c>
      <c r="C56" s="40" t="s">
        <v>378</v>
      </c>
      <c r="D56" s="40"/>
      <c r="E56" s="284">
        <f>Qty_Typicals!C93</f>
        <v>0</v>
      </c>
      <c r="F56" s="44" t="s">
        <v>716</v>
      </c>
      <c r="G56" s="226" t="s">
        <v>694</v>
      </c>
    </row>
    <row r="57" spans="1:7">
      <c r="A57" s="80"/>
      <c r="B57" s="40" t="s">
        <v>379</v>
      </c>
      <c r="C57" s="40" t="s">
        <v>380</v>
      </c>
      <c r="D57" s="40"/>
      <c r="E57" s="284">
        <f>Qty_Typicals!C94</f>
        <v>0</v>
      </c>
      <c r="F57" s="44" t="s">
        <v>716</v>
      </c>
      <c r="G57" s="226" t="s">
        <v>695</v>
      </c>
    </row>
    <row r="58" spans="1:7">
      <c r="A58" s="80"/>
      <c r="B58" s="40" t="s">
        <v>381</v>
      </c>
      <c r="C58" s="40" t="s">
        <v>382</v>
      </c>
      <c r="D58" s="40"/>
      <c r="E58" s="284">
        <f>SUM(Qty_Typicals!C91:C92)</f>
        <v>0</v>
      </c>
      <c r="F58" s="44" t="s">
        <v>716</v>
      </c>
      <c r="G58" s="226" t="s">
        <v>696</v>
      </c>
    </row>
    <row r="59" spans="1:7">
      <c r="A59" s="80"/>
      <c r="B59" s="40"/>
      <c r="C59" s="40"/>
      <c r="D59" s="40"/>
      <c r="E59" s="64"/>
    </row>
    <row r="60" spans="1:7">
      <c r="A60" s="80"/>
      <c r="B60" s="43" t="s">
        <v>383</v>
      </c>
      <c r="C60" s="43" t="s">
        <v>384</v>
      </c>
      <c r="D60" s="43"/>
      <c r="E60" s="286">
        <f>SUM(E61:E63)</f>
        <v>0</v>
      </c>
    </row>
    <row r="61" spans="1:7">
      <c r="A61" s="80"/>
      <c r="B61" s="40"/>
      <c r="C61" s="40"/>
      <c r="D61" s="40"/>
      <c r="E61" s="64"/>
    </row>
    <row r="62" spans="1:7">
      <c r="A62" s="81" t="s">
        <v>385</v>
      </c>
      <c r="B62" s="40" t="s">
        <v>386</v>
      </c>
      <c r="C62" s="40" t="s">
        <v>387</v>
      </c>
      <c r="D62" s="40"/>
      <c r="E62" s="70"/>
      <c r="F62" s="44" t="s">
        <v>276</v>
      </c>
    </row>
    <row r="63" spans="1:7">
      <c r="A63" s="80"/>
      <c r="B63" s="40"/>
      <c r="C63" s="40"/>
      <c r="D63" s="40"/>
      <c r="E63" s="69"/>
    </row>
    <row r="64" spans="1:7">
      <c r="A64" s="80"/>
      <c r="B64" s="43" t="s">
        <v>388</v>
      </c>
      <c r="C64" s="43" t="s">
        <v>388</v>
      </c>
      <c r="D64" s="43"/>
      <c r="E64" s="286">
        <f>SUM(E65:E66)</f>
        <v>0</v>
      </c>
    </row>
    <row r="65" spans="1:7">
      <c r="A65" s="81" t="s">
        <v>389</v>
      </c>
      <c r="B65" s="40" t="s">
        <v>390</v>
      </c>
      <c r="C65" s="40" t="s">
        <v>390</v>
      </c>
      <c r="D65" s="40"/>
      <c r="E65" s="65"/>
      <c r="F65" s="44" t="s">
        <v>276</v>
      </c>
    </row>
    <row r="66" spans="1:7">
      <c r="A66" s="80"/>
      <c r="B66" s="40"/>
      <c r="C66" s="40"/>
      <c r="D66" s="40"/>
      <c r="E66" s="64"/>
    </row>
    <row r="67" spans="1:7">
      <c r="A67" s="80"/>
      <c r="B67" s="43" t="s">
        <v>391</v>
      </c>
      <c r="C67" s="43" t="s">
        <v>391</v>
      </c>
      <c r="D67" s="43"/>
      <c r="E67" s="286">
        <f>SUM(E68:E69)</f>
        <v>0</v>
      </c>
    </row>
    <row r="68" spans="1:7">
      <c r="A68" s="80"/>
      <c r="B68" s="40" t="s">
        <v>392</v>
      </c>
      <c r="C68" s="40" t="s">
        <v>393</v>
      </c>
      <c r="D68" s="40"/>
      <c r="E68" s="64"/>
      <c r="F68" s="41" t="s">
        <v>716</v>
      </c>
    </row>
    <row r="69" spans="1:7">
      <c r="A69" s="80"/>
      <c r="B69" s="40"/>
      <c r="C69" s="40"/>
      <c r="D69" s="40"/>
      <c r="E69" s="64"/>
    </row>
    <row r="70" spans="1:7">
      <c r="A70" s="80"/>
      <c r="B70" s="43" t="s">
        <v>394</v>
      </c>
      <c r="C70" s="43" t="s">
        <v>395</v>
      </c>
      <c r="D70" s="43"/>
      <c r="E70" s="286">
        <f>SUM(E71:E71)</f>
        <v>0</v>
      </c>
    </row>
    <row r="71" spans="1:7">
      <c r="A71" s="81" t="s">
        <v>396</v>
      </c>
      <c r="B71" s="40" t="s">
        <v>146</v>
      </c>
      <c r="C71" s="40" t="s">
        <v>146</v>
      </c>
      <c r="D71" s="40" t="s">
        <v>397</v>
      </c>
      <c r="E71" s="63"/>
      <c r="G71" s="224" t="s">
        <v>168</v>
      </c>
    </row>
    <row r="72" spans="1:7">
      <c r="A72" s="80"/>
      <c r="B72" s="40"/>
      <c r="C72" s="40"/>
      <c r="D72" s="40"/>
      <c r="E72" s="69"/>
    </row>
    <row r="73" spans="1:7">
      <c r="A73" s="80"/>
      <c r="B73" s="40"/>
      <c r="C73" s="40"/>
      <c r="D73" s="40"/>
      <c r="E73" s="69"/>
    </row>
    <row r="74" spans="1:7">
      <c r="A74" s="80"/>
      <c r="B74" s="40"/>
      <c r="C74" s="40"/>
      <c r="D74" s="40"/>
      <c r="E74" s="69"/>
    </row>
    <row r="75" spans="1:7">
      <c r="A75" s="80"/>
      <c r="B75" s="43" t="s">
        <v>404</v>
      </c>
      <c r="C75" s="43" t="s">
        <v>405</v>
      </c>
      <c r="D75" s="43"/>
      <c r="E75" s="286">
        <f>SUM(E76:E88)</f>
        <v>0</v>
      </c>
    </row>
    <row r="76" spans="1:7">
      <c r="A76" s="81" t="s">
        <v>42</v>
      </c>
      <c r="B76" s="261" t="s">
        <v>140</v>
      </c>
      <c r="C76" s="40" t="s">
        <v>406</v>
      </c>
      <c r="D76" s="40"/>
      <c r="E76" s="63"/>
      <c r="G76" s="224" t="s">
        <v>42</v>
      </c>
    </row>
    <row r="77" spans="1:7">
      <c r="A77" s="80"/>
      <c r="B77" s="40"/>
      <c r="C77" s="40"/>
      <c r="D77" s="40"/>
      <c r="E77" s="64"/>
    </row>
    <row r="78" spans="1:7">
      <c r="A78" s="80"/>
      <c r="B78" s="40"/>
      <c r="C78" s="40"/>
      <c r="D78" s="40"/>
      <c r="E78" s="64"/>
    </row>
    <row r="79" spans="1:7">
      <c r="A79" s="81" t="s">
        <v>43</v>
      </c>
      <c r="B79" s="129" t="s">
        <v>407</v>
      </c>
      <c r="C79" s="129" t="s">
        <v>408</v>
      </c>
      <c r="D79" s="129" t="s">
        <v>409</v>
      </c>
      <c r="E79" s="63"/>
      <c r="G79" s="225" t="s">
        <v>43</v>
      </c>
    </row>
    <row r="80" spans="1:7">
      <c r="A80" s="81" t="s">
        <v>44</v>
      </c>
      <c r="B80" s="40" t="s">
        <v>410</v>
      </c>
      <c r="C80" s="40" t="s">
        <v>411</v>
      </c>
      <c r="D80" s="40" t="s">
        <v>409</v>
      </c>
      <c r="E80" s="63"/>
      <c r="G80" s="225" t="s">
        <v>44</v>
      </c>
    </row>
    <row r="81" spans="1:7">
      <c r="A81" s="81" t="s">
        <v>45</v>
      </c>
      <c r="B81" s="40" t="s">
        <v>412</v>
      </c>
      <c r="C81" s="40" t="s">
        <v>413</v>
      </c>
      <c r="D81" s="40" t="s">
        <v>409</v>
      </c>
      <c r="E81" s="63"/>
      <c r="G81" s="225" t="s">
        <v>45</v>
      </c>
    </row>
    <row r="82" spans="1:7">
      <c r="A82" s="81" t="s">
        <v>46</v>
      </c>
      <c r="B82" s="261" t="s">
        <v>414</v>
      </c>
      <c r="C82" s="129" t="s">
        <v>415</v>
      </c>
      <c r="D82" s="129" t="s">
        <v>409</v>
      </c>
      <c r="E82" s="63"/>
      <c r="G82" s="225" t="s">
        <v>46</v>
      </c>
    </row>
    <row r="83" spans="1:7">
      <c r="A83" s="81" t="s">
        <v>47</v>
      </c>
      <c r="B83" s="40" t="s">
        <v>416</v>
      </c>
      <c r="C83" s="40" t="s">
        <v>417</v>
      </c>
      <c r="D83" s="40"/>
      <c r="E83" s="63"/>
      <c r="G83" s="225" t="s">
        <v>47</v>
      </c>
    </row>
    <row r="84" spans="1:7">
      <c r="A84" s="81" t="s">
        <v>32</v>
      </c>
      <c r="B84" s="261" t="s">
        <v>418</v>
      </c>
      <c r="C84" s="129" t="s">
        <v>419</v>
      </c>
      <c r="D84" s="129" t="s">
        <v>409</v>
      </c>
      <c r="E84" s="63"/>
      <c r="G84" s="225" t="s">
        <v>32</v>
      </c>
    </row>
    <row r="85" spans="1:7">
      <c r="A85" s="81" t="s">
        <v>33</v>
      </c>
      <c r="B85" s="261" t="s">
        <v>420</v>
      </c>
      <c r="C85" s="129" t="s">
        <v>421</v>
      </c>
      <c r="D85" s="129" t="s">
        <v>409</v>
      </c>
      <c r="E85" s="63"/>
      <c r="G85" s="225" t="s">
        <v>33</v>
      </c>
    </row>
    <row r="86" spans="1:7">
      <c r="A86" s="81" t="s">
        <v>34</v>
      </c>
      <c r="B86" s="261" t="s">
        <v>422</v>
      </c>
      <c r="C86" s="129" t="s">
        <v>423</v>
      </c>
      <c r="D86" s="129" t="s">
        <v>409</v>
      </c>
      <c r="E86" s="63"/>
      <c r="G86" s="225" t="s">
        <v>34</v>
      </c>
    </row>
    <row r="87" spans="1:7">
      <c r="A87" s="81" t="s">
        <v>35</v>
      </c>
      <c r="B87" s="40" t="s">
        <v>424</v>
      </c>
      <c r="C87" s="40" t="s">
        <v>425</v>
      </c>
      <c r="D87" s="40" t="s">
        <v>409</v>
      </c>
      <c r="E87" s="63"/>
      <c r="G87" s="225" t="s">
        <v>35</v>
      </c>
    </row>
    <row r="88" spans="1:7">
      <c r="A88" s="81" t="s">
        <v>36</v>
      </c>
      <c r="B88" s="40" t="s">
        <v>426</v>
      </c>
      <c r="C88" s="40" t="s">
        <v>427</v>
      </c>
      <c r="D88" s="40" t="s">
        <v>409</v>
      </c>
      <c r="E88" s="63"/>
      <c r="G88" s="225" t="s">
        <v>36</v>
      </c>
    </row>
    <row r="89" spans="1:7">
      <c r="A89" s="80"/>
      <c r="B89" s="40"/>
      <c r="C89" s="40"/>
      <c r="D89" s="40"/>
      <c r="E89" s="64"/>
    </row>
    <row r="90" spans="1:7" ht="13.25" customHeight="1">
      <c r="A90" s="80"/>
      <c r="B90" s="43" t="s">
        <v>428</v>
      </c>
      <c r="C90" s="46" t="s">
        <v>429</v>
      </c>
      <c r="D90" s="43"/>
      <c r="E90" s="286">
        <f>SUM(E91:E104)</f>
        <v>0</v>
      </c>
    </row>
    <row r="91" spans="1:7">
      <c r="A91" s="81" t="s">
        <v>430</v>
      </c>
      <c r="B91" s="40" t="s">
        <v>431</v>
      </c>
      <c r="C91" s="40" t="s">
        <v>432</v>
      </c>
      <c r="D91" s="40" t="s">
        <v>433</v>
      </c>
      <c r="E91" s="63"/>
      <c r="G91" s="224" t="s">
        <v>22</v>
      </c>
    </row>
    <row r="92" spans="1:7">
      <c r="A92" s="81" t="s">
        <v>434</v>
      </c>
      <c r="B92" s="40" t="s">
        <v>435</v>
      </c>
      <c r="C92" s="40" t="s">
        <v>436</v>
      </c>
      <c r="D92" s="40" t="s">
        <v>437</v>
      </c>
      <c r="E92" s="63"/>
      <c r="G92" s="224" t="s">
        <v>23</v>
      </c>
    </row>
    <row r="93" spans="1:7">
      <c r="A93" s="81" t="s">
        <v>438</v>
      </c>
      <c r="B93" s="40" t="s">
        <v>439</v>
      </c>
      <c r="C93" s="40" t="s">
        <v>440</v>
      </c>
      <c r="D93" s="40" t="s">
        <v>441</v>
      </c>
      <c r="E93" s="63"/>
      <c r="G93" s="224" t="s">
        <v>24</v>
      </c>
    </row>
    <row r="94" spans="1:7">
      <c r="A94" s="81" t="s">
        <v>442</v>
      </c>
      <c r="B94" s="40" t="s">
        <v>443</v>
      </c>
      <c r="C94" s="40" t="s">
        <v>444</v>
      </c>
      <c r="D94" s="40" t="s">
        <v>445</v>
      </c>
      <c r="E94" s="63"/>
      <c r="G94" s="224" t="s">
        <v>25</v>
      </c>
    </row>
    <row r="95" spans="1:7">
      <c r="A95" s="81" t="s">
        <v>26</v>
      </c>
      <c r="B95" s="40" t="s">
        <v>446</v>
      </c>
      <c r="C95" s="40" t="s">
        <v>447</v>
      </c>
      <c r="D95" s="40"/>
      <c r="E95" s="63"/>
      <c r="G95" s="224" t="s">
        <v>26</v>
      </c>
    </row>
    <row r="96" spans="1:7">
      <c r="A96" s="81" t="s">
        <v>27</v>
      </c>
      <c r="B96" s="129" t="s">
        <v>448</v>
      </c>
      <c r="C96" s="129" t="s">
        <v>449</v>
      </c>
      <c r="D96" s="129" t="s">
        <v>450</v>
      </c>
      <c r="E96" s="63"/>
      <c r="G96" s="224" t="s">
        <v>27</v>
      </c>
    </row>
    <row r="97" spans="1:7">
      <c r="A97" s="81" t="s">
        <v>28</v>
      </c>
      <c r="B97" s="129" t="s">
        <v>126</v>
      </c>
      <c r="C97" s="129" t="s">
        <v>451</v>
      </c>
      <c r="D97" s="129" t="s">
        <v>452</v>
      </c>
      <c r="E97" s="63"/>
      <c r="G97" s="224" t="s">
        <v>28</v>
      </c>
    </row>
    <row r="98" spans="1:7">
      <c r="A98" s="81" t="s">
        <v>41</v>
      </c>
      <c r="B98" s="40" t="s">
        <v>139</v>
      </c>
      <c r="C98" s="40" t="s">
        <v>453</v>
      </c>
      <c r="D98" s="40" t="s">
        <v>357</v>
      </c>
      <c r="E98" s="70"/>
      <c r="F98" s="44" t="s">
        <v>276</v>
      </c>
    </row>
    <row r="99" spans="1:7">
      <c r="A99" s="81" t="s">
        <v>29</v>
      </c>
      <c r="B99" s="40" t="s">
        <v>454</v>
      </c>
      <c r="C99" s="40" t="s">
        <v>455</v>
      </c>
      <c r="D99" s="40"/>
      <c r="E99" s="63"/>
      <c r="G99" s="224" t="s">
        <v>29</v>
      </c>
    </row>
    <row r="100" spans="1:7">
      <c r="A100" s="81" t="s">
        <v>30</v>
      </c>
      <c r="B100" s="40" t="s">
        <v>456</v>
      </c>
      <c r="C100" s="40" t="s">
        <v>457</v>
      </c>
      <c r="D100" s="40" t="s">
        <v>458</v>
      </c>
      <c r="E100" s="63"/>
      <c r="G100" s="224" t="s">
        <v>30</v>
      </c>
    </row>
    <row r="101" spans="1:7">
      <c r="A101" s="80"/>
      <c r="B101" s="40"/>
      <c r="C101" s="40"/>
      <c r="D101" s="40"/>
      <c r="E101" s="64"/>
    </row>
    <row r="102" spans="1:7">
      <c r="A102" s="81" t="s">
        <v>459</v>
      </c>
      <c r="B102" s="40" t="s">
        <v>460</v>
      </c>
      <c r="C102" s="40" t="s">
        <v>460</v>
      </c>
      <c r="D102" s="40" t="s">
        <v>461</v>
      </c>
      <c r="E102" s="63"/>
      <c r="G102" s="224" t="s">
        <v>55</v>
      </c>
    </row>
    <row r="103" spans="1:7">
      <c r="A103" s="80"/>
      <c r="B103" s="40"/>
      <c r="C103" s="40"/>
      <c r="D103" s="40"/>
      <c r="E103" s="69"/>
    </row>
    <row r="104" spans="1:7">
      <c r="A104" s="80"/>
      <c r="B104" s="40"/>
      <c r="C104" s="40"/>
      <c r="D104" s="40"/>
      <c r="E104" s="64"/>
    </row>
    <row r="105" spans="1:7">
      <c r="A105" s="80"/>
      <c r="B105" s="43" t="s">
        <v>462</v>
      </c>
      <c r="C105" s="43" t="s">
        <v>463</v>
      </c>
      <c r="D105" s="43"/>
      <c r="E105" s="286">
        <f>SUM(E106:E107)</f>
        <v>0</v>
      </c>
    </row>
    <row r="106" spans="1:7">
      <c r="A106" s="81" t="s">
        <v>464</v>
      </c>
      <c r="B106" s="40" t="s">
        <v>465</v>
      </c>
      <c r="C106" s="40" t="s">
        <v>466</v>
      </c>
      <c r="D106" s="40" t="s">
        <v>357</v>
      </c>
      <c r="E106" s="62"/>
      <c r="F106" s="44" t="s">
        <v>276</v>
      </c>
    </row>
    <row r="107" spans="1:7">
      <c r="A107" s="80"/>
      <c r="B107" s="40"/>
      <c r="C107" s="40"/>
      <c r="D107" s="40"/>
      <c r="E107" s="69"/>
    </row>
    <row r="108" spans="1:7">
      <c r="A108" s="80"/>
      <c r="B108" s="40"/>
      <c r="C108" s="40"/>
      <c r="D108" s="40"/>
      <c r="E108" s="64"/>
    </row>
    <row r="109" spans="1:7">
      <c r="A109" s="80"/>
      <c r="B109" s="43" t="s">
        <v>693</v>
      </c>
      <c r="C109" s="43" t="s">
        <v>467</v>
      </c>
      <c r="D109" s="43"/>
      <c r="E109" s="286">
        <f>SUM(E110:E117)</f>
        <v>0</v>
      </c>
    </row>
    <row r="110" spans="1:7" ht="28.5">
      <c r="A110" s="81" t="s">
        <v>468</v>
      </c>
      <c r="B110" s="129" t="s">
        <v>469</v>
      </c>
      <c r="C110" s="129" t="s">
        <v>469</v>
      </c>
      <c r="D110" s="129" t="s">
        <v>470</v>
      </c>
      <c r="E110" s="344"/>
      <c r="F110" s="47" t="s">
        <v>708</v>
      </c>
      <c r="G110" s="260" t="s">
        <v>169</v>
      </c>
    </row>
    <row r="111" spans="1:7" ht="28.5">
      <c r="A111" s="81" t="s">
        <v>471</v>
      </c>
      <c r="B111" s="129" t="s">
        <v>472</v>
      </c>
      <c r="C111" s="129" t="s">
        <v>472</v>
      </c>
      <c r="D111" s="129" t="s">
        <v>470</v>
      </c>
      <c r="E111" s="344"/>
      <c r="F111" s="47" t="s">
        <v>708</v>
      </c>
      <c r="G111" s="260" t="s">
        <v>170</v>
      </c>
    </row>
    <row r="112" spans="1:7" ht="28.5">
      <c r="A112" s="81" t="s">
        <v>473</v>
      </c>
      <c r="B112" s="40" t="s">
        <v>474</v>
      </c>
      <c r="C112" s="40" t="s">
        <v>474</v>
      </c>
      <c r="D112" s="40" t="s">
        <v>470</v>
      </c>
      <c r="E112" s="344"/>
      <c r="F112" s="47" t="s">
        <v>708</v>
      </c>
      <c r="G112" s="260" t="s">
        <v>171</v>
      </c>
    </row>
    <row r="113" spans="1:7" ht="28.5">
      <c r="A113" s="81" t="s">
        <v>475</v>
      </c>
      <c r="B113" s="129" t="s">
        <v>476</v>
      </c>
      <c r="C113" s="129" t="s">
        <v>476</v>
      </c>
      <c r="D113" s="129" t="s">
        <v>470</v>
      </c>
      <c r="E113" s="344"/>
      <c r="F113" s="47" t="s">
        <v>708</v>
      </c>
      <c r="G113" s="260" t="s">
        <v>172</v>
      </c>
    </row>
    <row r="114" spans="1:7" ht="28.5">
      <c r="A114" s="81" t="s">
        <v>477</v>
      </c>
      <c r="B114" s="129" t="s">
        <v>478</v>
      </c>
      <c r="C114" s="129" t="s">
        <v>478</v>
      </c>
      <c r="D114" s="129" t="s">
        <v>470</v>
      </c>
      <c r="E114" s="344"/>
      <c r="F114" s="47" t="s">
        <v>708</v>
      </c>
      <c r="G114" s="260" t="s">
        <v>173</v>
      </c>
    </row>
    <row r="115" spans="1:7" ht="28.5">
      <c r="A115" s="81" t="s">
        <v>479</v>
      </c>
      <c r="B115" s="129" t="s">
        <v>480</v>
      </c>
      <c r="C115" s="129" t="s">
        <v>480</v>
      </c>
      <c r="D115" s="129" t="s">
        <v>470</v>
      </c>
      <c r="E115" s="344"/>
      <c r="F115" s="47" t="s">
        <v>708</v>
      </c>
      <c r="G115" s="260" t="s">
        <v>174</v>
      </c>
    </row>
    <row r="116" spans="1:7" ht="28.5">
      <c r="A116" s="81" t="s">
        <v>481</v>
      </c>
      <c r="B116" s="40" t="s">
        <v>482</v>
      </c>
      <c r="C116" s="40" t="s">
        <v>482</v>
      </c>
      <c r="D116" s="40" t="s">
        <v>470</v>
      </c>
      <c r="E116" s="344"/>
      <c r="F116" s="47" t="s">
        <v>708</v>
      </c>
      <c r="G116" s="260" t="s">
        <v>175</v>
      </c>
    </row>
    <row r="117" spans="1:7" ht="28.5">
      <c r="A117" s="81" t="s">
        <v>483</v>
      </c>
      <c r="B117" s="40" t="s">
        <v>484</v>
      </c>
      <c r="C117" s="40" t="s">
        <v>484</v>
      </c>
      <c r="D117" s="40" t="s">
        <v>470</v>
      </c>
      <c r="E117" s="344"/>
      <c r="F117" s="47" t="s">
        <v>708</v>
      </c>
      <c r="G117" s="260" t="s">
        <v>176</v>
      </c>
    </row>
    <row r="118" spans="1:7">
      <c r="A118" s="80"/>
      <c r="B118" s="40"/>
      <c r="C118" s="40"/>
      <c r="D118" s="40"/>
      <c r="E118" s="64"/>
    </row>
    <row r="119" spans="1:7">
      <c r="A119" s="80"/>
      <c r="B119" s="40"/>
      <c r="C119" s="40"/>
      <c r="D119" s="40"/>
      <c r="E119" s="64"/>
    </row>
    <row r="120" spans="1:7">
      <c r="A120" s="80"/>
      <c r="B120" s="43" t="s">
        <v>488</v>
      </c>
      <c r="C120" s="43" t="s">
        <v>489</v>
      </c>
      <c r="D120" s="43"/>
      <c r="E120" s="286">
        <f>SUM(E121:E128)</f>
        <v>0</v>
      </c>
    </row>
    <row r="121" spans="1:7" ht="28.5">
      <c r="A121" s="223" t="s">
        <v>48</v>
      </c>
      <c r="B121" s="262" t="s">
        <v>243</v>
      </c>
      <c r="C121" s="262" t="s">
        <v>243</v>
      </c>
      <c r="D121" s="40" t="s">
        <v>496</v>
      </c>
      <c r="E121" s="63"/>
      <c r="G121" s="260" t="s">
        <v>162</v>
      </c>
    </row>
    <row r="122" spans="1:7" ht="28.5">
      <c r="A122" s="223" t="s">
        <v>49</v>
      </c>
      <c r="B122" s="262" t="s">
        <v>245</v>
      </c>
      <c r="C122" s="262" t="s">
        <v>245</v>
      </c>
      <c r="D122" s="40" t="s">
        <v>496</v>
      </c>
      <c r="E122" s="344"/>
      <c r="G122" s="260" t="s">
        <v>163</v>
      </c>
    </row>
    <row r="123" spans="1:7" ht="28.5">
      <c r="A123" s="223" t="s">
        <v>50</v>
      </c>
      <c r="B123" s="262" t="s">
        <v>247</v>
      </c>
      <c r="C123" s="262" t="s">
        <v>247</v>
      </c>
      <c r="D123" s="40" t="s">
        <v>496</v>
      </c>
      <c r="E123" s="344"/>
      <c r="G123" s="260" t="s">
        <v>164</v>
      </c>
    </row>
    <row r="124" spans="1:7" ht="28.5">
      <c r="A124" s="223" t="s">
        <v>497</v>
      </c>
      <c r="B124" s="262" t="s">
        <v>248</v>
      </c>
      <c r="C124" s="262" t="s">
        <v>248</v>
      </c>
      <c r="D124" s="40" t="s">
        <v>496</v>
      </c>
      <c r="E124" s="344"/>
      <c r="G124" s="260" t="s">
        <v>691</v>
      </c>
    </row>
    <row r="125" spans="1:7" ht="28.5">
      <c r="A125" s="223" t="s">
        <v>498</v>
      </c>
      <c r="B125" s="262" t="s">
        <v>250</v>
      </c>
      <c r="C125" s="262" t="s">
        <v>250</v>
      </c>
      <c r="D125" s="40" t="s">
        <v>496</v>
      </c>
      <c r="E125" s="344"/>
      <c r="G125" s="260" t="s">
        <v>692</v>
      </c>
    </row>
    <row r="126" spans="1:7" ht="28.5">
      <c r="A126" s="223" t="s">
        <v>707</v>
      </c>
      <c r="B126" s="262" t="s">
        <v>252</v>
      </c>
      <c r="C126" s="262" t="s">
        <v>252</v>
      </c>
      <c r="D126" s="40" t="s">
        <v>496</v>
      </c>
      <c r="E126" s="344"/>
      <c r="G126" s="260" t="s">
        <v>165</v>
      </c>
    </row>
    <row r="127" spans="1:7" ht="28.5">
      <c r="A127" s="223" t="s">
        <v>51</v>
      </c>
      <c r="B127" s="262" t="s">
        <v>254</v>
      </c>
      <c r="C127" s="262" t="s">
        <v>254</v>
      </c>
      <c r="D127" s="40" t="s">
        <v>496</v>
      </c>
      <c r="E127" s="344"/>
      <c r="G127" s="260" t="s">
        <v>166</v>
      </c>
    </row>
    <row r="128" spans="1:7" ht="28.5">
      <c r="A128" s="223" t="s">
        <v>52</v>
      </c>
      <c r="B128" s="262" t="s">
        <v>255</v>
      </c>
      <c r="C128" s="262" t="s">
        <v>255</v>
      </c>
      <c r="D128" s="40" t="s">
        <v>496</v>
      </c>
      <c r="E128" s="344"/>
      <c r="G128" s="260" t="s">
        <v>167</v>
      </c>
    </row>
    <row r="129" spans="1:5">
      <c r="A129" s="80"/>
      <c r="B129" s="40"/>
      <c r="C129" s="40"/>
      <c r="D129" s="40"/>
      <c r="E129" s="69"/>
    </row>
    <row r="130" spans="1:5">
      <c r="A130" s="80"/>
      <c r="B130" s="40"/>
      <c r="C130" s="40"/>
      <c r="D130" s="40"/>
      <c r="E130" s="64"/>
    </row>
    <row r="131" spans="1:5">
      <c r="A131" s="80"/>
      <c r="B131" s="40"/>
      <c r="C131" s="40"/>
      <c r="D131" s="40"/>
      <c r="E131" s="64"/>
    </row>
    <row r="132" spans="1:5">
      <c r="A132" s="80"/>
      <c r="B132" s="40"/>
      <c r="C132" s="40"/>
      <c r="D132" s="40"/>
      <c r="E132" s="69"/>
    </row>
    <row r="133" spans="1:5" ht="15" thickBot="1">
      <c r="A133" s="82"/>
      <c r="B133" s="66"/>
      <c r="C133" s="66"/>
      <c r="D133" s="66"/>
      <c r="E133" s="71"/>
    </row>
    <row r="134" spans="1:5" ht="15.5">
      <c r="A134" s="342" t="s">
        <v>743</v>
      </c>
      <c r="B134" s="128" t="s">
        <v>499</v>
      </c>
    </row>
    <row r="135" spans="1:5">
      <c r="A135" s="127" t="s">
        <v>500</v>
      </c>
      <c r="B135" s="127" t="s">
        <v>500</v>
      </c>
      <c r="E135" s="127"/>
    </row>
    <row r="136" spans="1:5">
      <c r="A136" s="127" t="s">
        <v>501</v>
      </c>
      <c r="B136" s="127" t="s">
        <v>501</v>
      </c>
      <c r="E136" s="127"/>
    </row>
    <row r="137" spans="1:5">
      <c r="A137" s="127" t="s">
        <v>502</v>
      </c>
      <c r="B137" s="127" t="s">
        <v>502</v>
      </c>
      <c r="E137" s="127"/>
    </row>
    <row r="138" spans="1:5">
      <c r="A138" s="127" t="s">
        <v>503</v>
      </c>
      <c r="B138" s="127" t="s">
        <v>503</v>
      </c>
      <c r="E138" s="127"/>
    </row>
    <row r="139" spans="1:5">
      <c r="A139" s="127" t="s">
        <v>504</v>
      </c>
      <c r="B139" s="127" t="s">
        <v>504</v>
      </c>
      <c r="E139" s="127"/>
    </row>
    <row r="140" spans="1:5">
      <c r="A140" s="127" t="s">
        <v>505</v>
      </c>
      <c r="B140" s="127" t="s">
        <v>505</v>
      </c>
      <c r="E140" s="127"/>
    </row>
    <row r="141" spans="1:5">
      <c r="A141" s="127" t="s">
        <v>506</v>
      </c>
      <c r="B141" s="127" t="s">
        <v>506</v>
      </c>
      <c r="E141" s="127"/>
    </row>
    <row r="142" spans="1:5">
      <c r="A142" s="127" t="s">
        <v>507</v>
      </c>
      <c r="B142" s="127" t="s">
        <v>507</v>
      </c>
      <c r="E142" s="127"/>
    </row>
    <row r="143" spans="1:5">
      <c r="A143" s="127" t="s">
        <v>508</v>
      </c>
      <c r="B143" s="127" t="s">
        <v>508</v>
      </c>
      <c r="E143" s="127"/>
    </row>
    <row r="144" spans="1:5">
      <c r="A144" s="127" t="s">
        <v>509</v>
      </c>
      <c r="B144" s="127" t="s">
        <v>509</v>
      </c>
      <c r="E144" s="127"/>
    </row>
    <row r="145" spans="1:5">
      <c r="A145" s="127" t="s">
        <v>510</v>
      </c>
      <c r="B145" s="127" t="s">
        <v>510</v>
      </c>
      <c r="E145" s="127"/>
    </row>
    <row r="146" spans="1:5">
      <c r="A146" s="127" t="s">
        <v>511</v>
      </c>
      <c r="B146" s="127" t="s">
        <v>511</v>
      </c>
      <c r="E146" s="127"/>
    </row>
    <row r="147" spans="1:5">
      <c r="A147" s="127" t="s">
        <v>512</v>
      </c>
      <c r="B147" s="127" t="s">
        <v>512</v>
      </c>
      <c r="E147" s="127"/>
    </row>
    <row r="148" spans="1:5">
      <c r="A148" s="127" t="s">
        <v>513</v>
      </c>
      <c r="B148" s="127" t="s">
        <v>513</v>
      </c>
      <c r="E148" s="127"/>
    </row>
    <row r="149" spans="1:5">
      <c r="A149" s="127" t="s">
        <v>514</v>
      </c>
      <c r="B149" s="127" t="s">
        <v>514</v>
      </c>
      <c r="E149" s="127"/>
    </row>
    <row r="150" spans="1:5">
      <c r="A150" s="127" t="s">
        <v>515</v>
      </c>
      <c r="B150" s="127" t="s">
        <v>515</v>
      </c>
      <c r="E150" s="127"/>
    </row>
    <row r="151" spans="1:5">
      <c r="A151" s="127" t="s">
        <v>516</v>
      </c>
      <c r="B151" s="127" t="s">
        <v>516</v>
      </c>
      <c r="E151" s="127"/>
    </row>
    <row r="152" spans="1:5">
      <c r="A152" s="127" t="s">
        <v>517</v>
      </c>
      <c r="B152" s="127" t="s">
        <v>517</v>
      </c>
      <c r="E152" s="127"/>
    </row>
    <row r="153" spans="1:5">
      <c r="A153" s="127" t="s">
        <v>518</v>
      </c>
      <c r="B153" s="127" t="s">
        <v>518</v>
      </c>
      <c r="E153" s="127"/>
    </row>
    <row r="154" spans="1:5" ht="23" customHeight="1">
      <c r="A154" s="127" t="s">
        <v>519</v>
      </c>
      <c r="B154" s="127" t="s">
        <v>519</v>
      </c>
      <c r="E154" s="127"/>
    </row>
    <row r="156" spans="1:5" ht="15.5">
      <c r="A156" s="164" t="s">
        <v>520</v>
      </c>
      <c r="B156" s="163" t="s">
        <v>521</v>
      </c>
    </row>
    <row r="157" spans="1:5">
      <c r="A157" s="130" t="s">
        <v>522</v>
      </c>
      <c r="B157" s="165" t="s">
        <v>523</v>
      </c>
    </row>
    <row r="158" spans="1:5">
      <c r="A158" s="130" t="s">
        <v>524</v>
      </c>
      <c r="B158" s="165" t="s">
        <v>525</v>
      </c>
    </row>
    <row r="159" spans="1:5">
      <c r="A159" s="130" t="s">
        <v>526</v>
      </c>
      <c r="B159" s="165" t="s">
        <v>527</v>
      </c>
    </row>
    <row r="160" spans="1:5">
      <c r="A160" s="130" t="s">
        <v>528</v>
      </c>
      <c r="B160" s="165" t="s">
        <v>529</v>
      </c>
    </row>
    <row r="161" spans="1:2">
      <c r="A161" s="130" t="s">
        <v>530</v>
      </c>
      <c r="B161" s="165" t="s">
        <v>531</v>
      </c>
    </row>
    <row r="162" spans="1:2">
      <c r="A162" s="130" t="s">
        <v>532</v>
      </c>
      <c r="B162" s="165" t="s">
        <v>533</v>
      </c>
    </row>
    <row r="163" spans="1:2">
      <c r="A163" s="130" t="s">
        <v>534</v>
      </c>
      <c r="B163" s="165" t="s">
        <v>535</v>
      </c>
    </row>
    <row r="164" spans="1:2">
      <c r="A164" s="130" t="s">
        <v>536</v>
      </c>
      <c r="B164" s="165" t="s">
        <v>537</v>
      </c>
    </row>
    <row r="165" spans="1:2">
      <c r="A165" s="130" t="s">
        <v>538</v>
      </c>
      <c r="B165" s="165" t="s">
        <v>539</v>
      </c>
    </row>
    <row r="166" spans="1:2">
      <c r="A166" s="130" t="s">
        <v>540</v>
      </c>
      <c r="B166" s="165" t="s">
        <v>541</v>
      </c>
    </row>
    <row r="167" spans="1:2">
      <c r="A167" s="130" t="s">
        <v>542</v>
      </c>
      <c r="B167" s="165" t="s">
        <v>543</v>
      </c>
    </row>
    <row r="168" spans="1:2">
      <c r="A168" s="130" t="s">
        <v>544</v>
      </c>
      <c r="B168" s="165" t="s">
        <v>545</v>
      </c>
    </row>
    <row r="169" spans="1:2">
      <c r="A169" s="130" t="s">
        <v>546</v>
      </c>
      <c r="B169" s="165" t="s">
        <v>547</v>
      </c>
    </row>
    <row r="170" spans="1:2">
      <c r="A170" s="130" t="s">
        <v>548</v>
      </c>
      <c r="B170" s="165" t="s">
        <v>549</v>
      </c>
    </row>
    <row r="171" spans="1:2">
      <c r="A171" s="130" t="s">
        <v>550</v>
      </c>
      <c r="B171" s="165" t="s">
        <v>551</v>
      </c>
    </row>
    <row r="172" spans="1:2">
      <c r="A172" s="130" t="s">
        <v>552</v>
      </c>
      <c r="B172" s="165" t="s">
        <v>553</v>
      </c>
    </row>
    <row r="173" spans="1:2">
      <c r="A173" s="130" t="s">
        <v>554</v>
      </c>
      <c r="B173" s="165" t="s">
        <v>555</v>
      </c>
    </row>
    <row r="174" spans="1:2">
      <c r="A174" s="130" t="s">
        <v>556</v>
      </c>
      <c r="B174" s="165" t="s">
        <v>557</v>
      </c>
    </row>
    <row r="175" spans="1:2">
      <c r="A175" s="130" t="s">
        <v>558</v>
      </c>
      <c r="B175" s="165" t="s">
        <v>559</v>
      </c>
    </row>
    <row r="176" spans="1:2">
      <c r="A176" s="130" t="s">
        <v>560</v>
      </c>
      <c r="B176" s="165" t="s">
        <v>561</v>
      </c>
    </row>
    <row r="177" spans="1:2">
      <c r="A177" s="130" t="s">
        <v>562</v>
      </c>
      <c r="B177" s="165" t="s">
        <v>563</v>
      </c>
    </row>
    <row r="178" spans="1:2">
      <c r="A178" s="130" t="s">
        <v>564</v>
      </c>
      <c r="B178" s="165" t="s">
        <v>565</v>
      </c>
    </row>
    <row r="179" spans="1:2">
      <c r="A179" s="130" t="s">
        <v>566</v>
      </c>
      <c r="B179" s="165" t="s">
        <v>567</v>
      </c>
    </row>
    <row r="180" spans="1:2">
      <c r="A180" s="130" t="s">
        <v>568</v>
      </c>
      <c r="B180" s="165" t="s">
        <v>569</v>
      </c>
    </row>
    <row r="181" spans="1:2">
      <c r="A181" s="130" t="s">
        <v>570</v>
      </c>
      <c r="B181" s="165" t="s">
        <v>571</v>
      </c>
    </row>
    <row r="182" spans="1:2">
      <c r="A182" s="130" t="s">
        <v>572</v>
      </c>
      <c r="B182" s="165" t="s">
        <v>573</v>
      </c>
    </row>
    <row r="183" spans="1:2">
      <c r="A183" s="130" t="s">
        <v>574</v>
      </c>
      <c r="B183" s="165" t="s">
        <v>575</v>
      </c>
    </row>
    <row r="184" spans="1:2">
      <c r="A184" s="130" t="s">
        <v>576</v>
      </c>
      <c r="B184" s="165" t="s">
        <v>577</v>
      </c>
    </row>
    <row r="185" spans="1:2">
      <c r="A185" s="130" t="s">
        <v>578</v>
      </c>
      <c r="B185" s="165" t="s">
        <v>579</v>
      </c>
    </row>
    <row r="186" spans="1:2">
      <c r="A186" s="130" t="s">
        <v>580</v>
      </c>
      <c r="B186" s="165" t="s">
        <v>581</v>
      </c>
    </row>
    <row r="187" spans="1:2">
      <c r="A187" s="130" t="s">
        <v>582</v>
      </c>
      <c r="B187" s="165" t="s">
        <v>583</v>
      </c>
    </row>
    <row r="188" spans="1:2">
      <c r="A188" s="130" t="s">
        <v>584</v>
      </c>
      <c r="B188" s="165" t="s">
        <v>585</v>
      </c>
    </row>
    <row r="189" spans="1:2">
      <c r="A189" s="130" t="s">
        <v>586</v>
      </c>
      <c r="B189" s="165" t="s">
        <v>587</v>
      </c>
    </row>
    <row r="190" spans="1:2">
      <c r="A190" s="130" t="s">
        <v>588</v>
      </c>
      <c r="B190" s="165" t="s">
        <v>589</v>
      </c>
    </row>
    <row r="191" spans="1:2">
      <c r="A191" s="130" t="s">
        <v>590</v>
      </c>
      <c r="B191" s="165" t="s">
        <v>591</v>
      </c>
    </row>
    <row r="192" spans="1:2">
      <c r="A192" s="130" t="s">
        <v>592</v>
      </c>
      <c r="B192" s="165" t="s">
        <v>593</v>
      </c>
    </row>
    <row r="193" spans="1:2">
      <c r="A193" s="130" t="s">
        <v>594</v>
      </c>
      <c r="B193" s="165" t="s">
        <v>595</v>
      </c>
    </row>
    <row r="194" spans="1:2">
      <c r="A194" s="130" t="s">
        <v>596</v>
      </c>
      <c r="B194" s="165" t="s">
        <v>597</v>
      </c>
    </row>
    <row r="195" spans="1:2">
      <c r="A195" s="130" t="s">
        <v>598</v>
      </c>
      <c r="B195" s="165" t="s">
        <v>599</v>
      </c>
    </row>
    <row r="196" spans="1:2">
      <c r="A196" s="130" t="s">
        <v>600</v>
      </c>
      <c r="B196" s="165" t="s">
        <v>601</v>
      </c>
    </row>
    <row r="197" spans="1:2">
      <c r="A197" s="130" t="s">
        <v>602</v>
      </c>
      <c r="B197" s="165" t="s">
        <v>603</v>
      </c>
    </row>
    <row r="198" spans="1:2">
      <c r="A198" s="130" t="s">
        <v>604</v>
      </c>
      <c r="B198" s="165" t="s">
        <v>605</v>
      </c>
    </row>
    <row r="199" spans="1:2">
      <c r="A199" s="130" t="s">
        <v>606</v>
      </c>
      <c r="B199" s="165" t="s">
        <v>607</v>
      </c>
    </row>
    <row r="200" spans="1:2">
      <c r="A200" s="130" t="s">
        <v>608</v>
      </c>
      <c r="B200" s="165" t="s">
        <v>609</v>
      </c>
    </row>
    <row r="201" spans="1:2">
      <c r="A201" s="130" t="s">
        <v>610</v>
      </c>
      <c r="B201" s="165" t="s">
        <v>611</v>
      </c>
    </row>
    <row r="202" spans="1:2">
      <c r="A202" s="130" t="s">
        <v>612</v>
      </c>
      <c r="B202" s="165" t="s">
        <v>613</v>
      </c>
    </row>
    <row r="203" spans="1:2">
      <c r="A203" s="130" t="s">
        <v>614</v>
      </c>
      <c r="B203" s="165" t="s">
        <v>615</v>
      </c>
    </row>
    <row r="204" spans="1:2">
      <c r="A204" s="130" t="s">
        <v>616</v>
      </c>
      <c r="B204" s="165" t="s">
        <v>617</v>
      </c>
    </row>
    <row r="205" spans="1:2">
      <c r="A205" s="130" t="s">
        <v>618</v>
      </c>
      <c r="B205" s="165" t="s">
        <v>619</v>
      </c>
    </row>
    <row r="206" spans="1:2">
      <c r="A206" s="130" t="s">
        <v>620</v>
      </c>
      <c r="B206" s="165" t="s">
        <v>621</v>
      </c>
    </row>
    <row r="207" spans="1:2">
      <c r="A207" s="130" t="s">
        <v>622</v>
      </c>
      <c r="B207" s="165" t="s">
        <v>623</v>
      </c>
    </row>
    <row r="208" spans="1:2">
      <c r="A208" s="130" t="s">
        <v>624</v>
      </c>
      <c r="B208" s="165" t="s">
        <v>625</v>
      </c>
    </row>
    <row r="209" spans="1:2">
      <c r="A209" s="130" t="s">
        <v>626</v>
      </c>
      <c r="B209" s="165" t="s">
        <v>627</v>
      </c>
    </row>
    <row r="210" spans="1:2">
      <c r="A210" s="130" t="s">
        <v>628</v>
      </c>
      <c r="B210" s="165" t="s">
        <v>629</v>
      </c>
    </row>
    <row r="211" spans="1:2">
      <c r="A211" s="130" t="s">
        <v>630</v>
      </c>
      <c r="B211" s="165" t="s">
        <v>631</v>
      </c>
    </row>
    <row r="212" spans="1:2">
      <c r="A212" s="130" t="s">
        <v>632</v>
      </c>
      <c r="B212" s="165" t="s">
        <v>633</v>
      </c>
    </row>
    <row r="213" spans="1:2">
      <c r="A213" s="130" t="s">
        <v>634</v>
      </c>
      <c r="B213" s="165" t="s">
        <v>635</v>
      </c>
    </row>
    <row r="214" spans="1:2">
      <c r="A214" s="130" t="s">
        <v>636</v>
      </c>
      <c r="B214" s="165" t="s">
        <v>637</v>
      </c>
    </row>
    <row r="215" spans="1:2">
      <c r="A215" s="130" t="s">
        <v>638</v>
      </c>
      <c r="B215" s="165" t="s">
        <v>639</v>
      </c>
    </row>
    <row r="217" spans="1:2" ht="15.5">
      <c r="A217" s="164" t="s">
        <v>520</v>
      </c>
      <c r="B217" s="163" t="s">
        <v>640</v>
      </c>
    </row>
    <row r="218" spans="1:2">
      <c r="A218" s="130" t="s">
        <v>641</v>
      </c>
      <c r="B218" s="165" t="s">
        <v>642</v>
      </c>
    </row>
    <row r="219" spans="1:2">
      <c r="A219" s="130" t="s">
        <v>643</v>
      </c>
      <c r="B219" s="165" t="s">
        <v>644</v>
      </c>
    </row>
    <row r="220" spans="1:2">
      <c r="A220" s="130" t="s">
        <v>645</v>
      </c>
      <c r="B220" s="165" t="s">
        <v>646</v>
      </c>
    </row>
    <row r="221" spans="1:2">
      <c r="A221" s="130" t="s">
        <v>647</v>
      </c>
      <c r="B221" s="165" t="s">
        <v>648</v>
      </c>
    </row>
    <row r="222" spans="1:2">
      <c r="A222" s="130" t="s">
        <v>649</v>
      </c>
      <c r="B222" s="165" t="s">
        <v>650</v>
      </c>
    </row>
    <row r="223" spans="1:2">
      <c r="A223" s="130" t="s">
        <v>651</v>
      </c>
      <c r="B223" s="165" t="s">
        <v>652</v>
      </c>
    </row>
    <row r="224" spans="1:2">
      <c r="A224" s="130" t="s">
        <v>653</v>
      </c>
      <c r="B224" s="165" t="s">
        <v>654</v>
      </c>
    </row>
    <row r="225" spans="1:2">
      <c r="A225" s="130" t="s">
        <v>655</v>
      </c>
      <c r="B225" s="165" t="s">
        <v>656</v>
      </c>
    </row>
    <row r="226" spans="1:2">
      <c r="A226" s="130" t="s">
        <v>657</v>
      </c>
      <c r="B226" s="165" t="s">
        <v>658</v>
      </c>
    </row>
    <row r="227" spans="1:2">
      <c r="A227" s="130" t="s">
        <v>659</v>
      </c>
      <c r="B227" s="165" t="s">
        <v>660</v>
      </c>
    </row>
    <row r="228" spans="1:2">
      <c r="A228" s="130" t="s">
        <v>661</v>
      </c>
      <c r="B228" s="165" t="s">
        <v>662</v>
      </c>
    </row>
    <row r="229" spans="1:2">
      <c r="A229" s="130" t="s">
        <v>663</v>
      </c>
      <c r="B229" s="165" t="s">
        <v>664</v>
      </c>
    </row>
    <row r="230" spans="1:2">
      <c r="A230" s="130" t="s">
        <v>665</v>
      </c>
      <c r="B230" s="165" t="s">
        <v>666</v>
      </c>
    </row>
    <row r="231" spans="1:2">
      <c r="A231" s="130" t="s">
        <v>667</v>
      </c>
      <c r="B231" s="165" t="s">
        <v>668</v>
      </c>
    </row>
    <row r="232" spans="1:2">
      <c r="A232" s="130" t="s">
        <v>669</v>
      </c>
      <c r="B232" s="165" t="s">
        <v>670</v>
      </c>
    </row>
    <row r="233" spans="1:2">
      <c r="A233" s="130" t="s">
        <v>671</v>
      </c>
      <c r="B233" s="165" t="s">
        <v>672</v>
      </c>
    </row>
    <row r="234" spans="1:2">
      <c r="A234" s="130" t="s">
        <v>673</v>
      </c>
      <c r="B234" s="165" t="s">
        <v>674</v>
      </c>
    </row>
    <row r="235" spans="1:2">
      <c r="A235" s="130" t="s">
        <v>675</v>
      </c>
      <c r="B235" s="165" t="s">
        <v>676</v>
      </c>
    </row>
    <row r="236" spans="1:2">
      <c r="A236" s="130" t="s">
        <v>677</v>
      </c>
      <c r="B236" s="165" t="s">
        <v>678</v>
      </c>
    </row>
    <row r="237" spans="1:2">
      <c r="A237" s="130" t="s">
        <v>679</v>
      </c>
      <c r="B237" s="165" t="s">
        <v>680</v>
      </c>
    </row>
    <row r="238" spans="1:2">
      <c r="A238" s="130" t="s">
        <v>681</v>
      </c>
      <c r="B238" s="165" t="s">
        <v>682</v>
      </c>
    </row>
    <row r="239" spans="1:2">
      <c r="A239" s="130" t="s">
        <v>683</v>
      </c>
      <c r="B239" s="165" t="s">
        <v>684</v>
      </c>
    </row>
    <row r="240" spans="1:2">
      <c r="A240" s="130" t="s">
        <v>685</v>
      </c>
      <c r="B240" s="165" t="s">
        <v>686</v>
      </c>
    </row>
  </sheetData>
  <protectedRanges>
    <protectedRange sqref="C108" name="Bereich1_1" securityDescriptor="O:WDG:WDD:(A;;CC;;;S-1-5-21-1993962763-1035525444-682003330-214100)"/>
  </protectedRanges>
  <phoneticPr fontId="21" type="noConversion"/>
  <conditionalFormatting sqref="E34">
    <cfRule type="cellIs" dxfId="175" priority="267" stopIfTrue="1" operator="lessThan">
      <formula>$E$38/35</formula>
    </cfRule>
  </conditionalFormatting>
  <conditionalFormatting sqref="C42:D43 B97:D97 D16 B82 C112:C113 D122:D123 C98:D98">
    <cfRule type="expression" dxfId="174" priority="233">
      <formula>IF($E16&gt;0,TRUE)</formula>
    </cfRule>
  </conditionalFormatting>
  <conditionalFormatting sqref="B6:D6">
    <cfRule type="expression" dxfId="173" priority="228">
      <formula>IF($E6&gt;0,TRUE)</formula>
    </cfRule>
  </conditionalFormatting>
  <conditionalFormatting sqref="C13:D13">
    <cfRule type="expression" dxfId="172" priority="220">
      <formula>IF($E13&gt;0,TRUE)</formula>
    </cfRule>
  </conditionalFormatting>
  <conditionalFormatting sqref="C14:D14">
    <cfRule type="expression" dxfId="171" priority="219">
      <formula>IF($E14&gt;0,TRUE)</formula>
    </cfRule>
  </conditionalFormatting>
  <conditionalFormatting sqref="B15:D15">
    <cfRule type="expression" dxfId="170" priority="214">
      <formula>IF($E15&gt;0,TRUE)</formula>
    </cfRule>
  </conditionalFormatting>
  <conditionalFormatting sqref="C17:D17">
    <cfRule type="expression" dxfId="169" priority="211">
      <formula>IF($E17&gt;0,TRUE)</formula>
    </cfRule>
  </conditionalFormatting>
  <conditionalFormatting sqref="C23:D23">
    <cfRule type="expression" dxfId="168" priority="207">
      <formula>IF($E23&gt;0,TRUE)</formula>
    </cfRule>
  </conditionalFormatting>
  <conditionalFormatting sqref="C26:D26">
    <cfRule type="expression" dxfId="167" priority="205">
      <formula>IF($E26&gt;0,TRUE)</formula>
    </cfRule>
  </conditionalFormatting>
  <conditionalFormatting sqref="B33:D33">
    <cfRule type="expression" dxfId="166" priority="196">
      <formula>IF($E33&gt;0,TRUE)</formula>
    </cfRule>
  </conditionalFormatting>
  <conditionalFormatting sqref="C35:D35">
    <cfRule type="expression" dxfId="165" priority="195">
      <formula>IF($E35&gt;0,TRUE)</formula>
    </cfRule>
  </conditionalFormatting>
  <conditionalFormatting sqref="B37:D37">
    <cfRule type="expression" dxfId="164" priority="194">
      <formula>IF($E37&gt;0,TRUE)</formula>
    </cfRule>
  </conditionalFormatting>
  <conditionalFormatting sqref="B40:D40">
    <cfRule type="expression" dxfId="163" priority="192">
      <formula>IF($E40&gt;0,TRUE)</formula>
    </cfRule>
  </conditionalFormatting>
  <conditionalFormatting sqref="C45:D45">
    <cfRule type="expression" dxfId="162" priority="190">
      <formula>IF($E45&gt;0,TRUE)</formula>
    </cfRule>
  </conditionalFormatting>
  <conditionalFormatting sqref="B48:D48">
    <cfRule type="expression" dxfId="161" priority="185">
      <formula>IF($E48&gt;0,TRUE)</formula>
    </cfRule>
  </conditionalFormatting>
  <conditionalFormatting sqref="B49:D49">
    <cfRule type="expression" dxfId="160" priority="183">
      <formula>IF($E49&gt;0,TRUE)</formula>
    </cfRule>
  </conditionalFormatting>
  <conditionalFormatting sqref="B50:D50">
    <cfRule type="expression" dxfId="159" priority="181">
      <formula>IF($E50&gt;0,TRUE)</formula>
    </cfRule>
  </conditionalFormatting>
  <conditionalFormatting sqref="B54:D54">
    <cfRule type="expression" dxfId="158" priority="177">
      <formula>IF($E54&gt;0,TRUE)</formula>
    </cfRule>
  </conditionalFormatting>
  <conditionalFormatting sqref="B55:D55">
    <cfRule type="expression" dxfId="157" priority="176">
      <formula>IF($E55&gt;0,TRUE)</formula>
    </cfRule>
  </conditionalFormatting>
  <conditionalFormatting sqref="B56:D56">
    <cfRule type="expression" dxfId="156" priority="174">
      <formula>IF($E56&gt;0,TRUE)</formula>
    </cfRule>
  </conditionalFormatting>
  <conditionalFormatting sqref="B57:D57">
    <cfRule type="expression" dxfId="155" priority="173">
      <formula>IF($E57&gt;0,TRUE)</formula>
    </cfRule>
  </conditionalFormatting>
  <conditionalFormatting sqref="B65:D65">
    <cfRule type="expression" dxfId="154" priority="163">
      <formula>IF($E65&gt;0,TRUE)</formula>
    </cfRule>
  </conditionalFormatting>
  <conditionalFormatting sqref="B66:D66">
    <cfRule type="expression" dxfId="153" priority="160">
      <formula>IF($E66&gt;0,TRUE)</formula>
    </cfRule>
  </conditionalFormatting>
  <conditionalFormatting sqref="B68:D68">
    <cfRule type="expression" dxfId="152" priority="159">
      <formula>IF($E68&gt;0,TRUE)</formula>
    </cfRule>
  </conditionalFormatting>
  <conditionalFormatting sqref="B69:D69">
    <cfRule type="expression" dxfId="151" priority="158">
      <formula>IF($E69&gt;0,TRUE)</formula>
    </cfRule>
  </conditionalFormatting>
  <conditionalFormatting sqref="B71:D71">
    <cfRule type="expression" dxfId="150" priority="157">
      <formula>IF($E71&gt;0,TRUE)</formula>
    </cfRule>
  </conditionalFormatting>
  <conditionalFormatting sqref="B72:D72">
    <cfRule type="expression" dxfId="149" priority="153">
      <formula>IF($E72&gt;0,TRUE)</formula>
    </cfRule>
  </conditionalFormatting>
  <conditionalFormatting sqref="B73:D73">
    <cfRule type="expression" dxfId="148" priority="151">
      <formula>IF($E73&gt;0,TRUE)</formula>
    </cfRule>
  </conditionalFormatting>
  <conditionalFormatting sqref="B74:D74">
    <cfRule type="expression" dxfId="147" priority="149">
      <formula>IF($E74&gt;0,TRUE)</formula>
    </cfRule>
  </conditionalFormatting>
  <conditionalFormatting sqref="B76:D76">
    <cfRule type="expression" dxfId="146" priority="146">
      <formula>IF($E76&gt;0,TRUE)</formula>
    </cfRule>
  </conditionalFormatting>
  <conditionalFormatting sqref="B77:D77">
    <cfRule type="expression" dxfId="145" priority="145">
      <formula>IF($E77&gt;0,TRUE)</formula>
    </cfRule>
  </conditionalFormatting>
  <conditionalFormatting sqref="B78:D78">
    <cfRule type="expression" dxfId="144" priority="143">
      <formula>IF($E78&gt;0,TRUE)</formula>
    </cfRule>
  </conditionalFormatting>
  <conditionalFormatting sqref="B79:D79">
    <cfRule type="expression" dxfId="143" priority="142">
      <formula>IF($E79&gt;0,TRUE)</formula>
    </cfRule>
  </conditionalFormatting>
  <conditionalFormatting sqref="C80:D80">
    <cfRule type="expression" dxfId="142" priority="141">
      <formula>IF($E80&gt;0,TRUE)</formula>
    </cfRule>
  </conditionalFormatting>
  <conditionalFormatting sqref="B81:D81">
    <cfRule type="expression" dxfId="141" priority="140">
      <formula>IF($E81&gt;0,TRUE)</formula>
    </cfRule>
  </conditionalFormatting>
  <conditionalFormatting sqref="C82:D82">
    <cfRule type="expression" dxfId="140" priority="139">
      <formula>IF($E82&gt;0,TRUE)</formula>
    </cfRule>
  </conditionalFormatting>
  <conditionalFormatting sqref="B83:D83">
    <cfRule type="expression" dxfId="139" priority="138">
      <formula>IF($E83&gt;0,TRUE)</formula>
    </cfRule>
  </conditionalFormatting>
  <conditionalFormatting sqref="B84:D84">
    <cfRule type="expression" dxfId="138" priority="137">
      <formula>IF($E84&gt;0,TRUE)</formula>
    </cfRule>
  </conditionalFormatting>
  <conditionalFormatting sqref="B85:D85">
    <cfRule type="expression" dxfId="137" priority="136">
      <formula>IF($E85&gt;0,TRUE)</formula>
    </cfRule>
  </conditionalFormatting>
  <conditionalFormatting sqref="B86:D86">
    <cfRule type="expression" dxfId="136" priority="135">
      <formula>IF($E86&gt;0,TRUE)</formula>
    </cfRule>
  </conditionalFormatting>
  <conditionalFormatting sqref="C93:D93">
    <cfRule type="expression" dxfId="135" priority="132">
      <formula>IF($E93&gt;0,TRUE)</formula>
    </cfRule>
  </conditionalFormatting>
  <conditionalFormatting sqref="C94:D94">
    <cfRule type="expression" dxfId="134" priority="130">
      <formula>IF($E94&gt;0,TRUE)</formula>
    </cfRule>
  </conditionalFormatting>
  <conditionalFormatting sqref="C95:D95">
    <cfRule type="expression" dxfId="133" priority="128">
      <formula>IF($E95&gt;0,TRUE)</formula>
    </cfRule>
  </conditionalFormatting>
  <conditionalFormatting sqref="B96:D96">
    <cfRule type="expression" dxfId="132" priority="127">
      <formula>IF($E96&gt;0,TRUE)</formula>
    </cfRule>
  </conditionalFormatting>
  <conditionalFormatting sqref="B101:D101">
    <cfRule type="expression" dxfId="131" priority="123">
      <formula>IF($E101&gt;0,TRUE)</formula>
    </cfRule>
  </conditionalFormatting>
  <conditionalFormatting sqref="B106:D106">
    <cfRule type="expression" dxfId="130" priority="118">
      <formula>IF($E106&gt;0,TRUE)</formula>
    </cfRule>
  </conditionalFormatting>
  <conditionalFormatting sqref="B108:D108">
    <cfRule type="expression" dxfId="129" priority="115">
      <formula>IF($E108&gt;0,TRUE)</formula>
    </cfRule>
  </conditionalFormatting>
  <conditionalFormatting sqref="B110:D110">
    <cfRule type="expression" dxfId="128" priority="108">
      <formula>IF($E110&gt;0,TRUE)</formula>
    </cfRule>
  </conditionalFormatting>
  <conditionalFormatting sqref="C111:D111">
    <cfRule type="expression" dxfId="127" priority="107">
      <formula>IF($E111&gt;0,TRUE)</formula>
    </cfRule>
  </conditionalFormatting>
  <conditionalFormatting sqref="D112">
    <cfRule type="expression" dxfId="126" priority="106">
      <formula>IF($E112&gt;0,TRUE)</formula>
    </cfRule>
  </conditionalFormatting>
  <conditionalFormatting sqref="B115:D115">
    <cfRule type="expression" dxfId="125" priority="105">
      <formula>IF($E115&gt;0,TRUE)</formula>
    </cfRule>
  </conditionalFormatting>
  <conditionalFormatting sqref="B116:D116">
    <cfRule type="expression" dxfId="124" priority="104">
      <formula>IF($E116&gt;0,TRUE)</formula>
    </cfRule>
  </conditionalFormatting>
  <conditionalFormatting sqref="B127 D127:D128">
    <cfRule type="expression" dxfId="123" priority="90">
      <formula>IF($E127&gt;0,TRUE)</formula>
    </cfRule>
  </conditionalFormatting>
  <conditionalFormatting sqref="C132:D132">
    <cfRule type="expression" dxfId="122" priority="87">
      <formula>IF($E132&gt;0,TRUE)</formula>
    </cfRule>
  </conditionalFormatting>
  <conditionalFormatting sqref="B133:D133">
    <cfRule type="expression" dxfId="121" priority="86">
      <formula>IF($E133&gt;0,TRUE)</formula>
    </cfRule>
  </conditionalFormatting>
  <conditionalFormatting sqref="C9:D9">
    <cfRule type="expression" dxfId="120" priority="68">
      <formula>IF($E9&gt;0,TRUE)</formula>
    </cfRule>
  </conditionalFormatting>
  <conditionalFormatting sqref="C28:D32">
    <cfRule type="expression" dxfId="119" priority="71">
      <formula>IF($E28&gt;0,TRUE)</formula>
    </cfRule>
  </conditionalFormatting>
  <conditionalFormatting sqref="B107:D107">
    <cfRule type="expression" dxfId="118" priority="66">
      <formula>IF($E107&gt;0,TRUE)</formula>
    </cfRule>
  </conditionalFormatting>
  <conditionalFormatting sqref="D113">
    <cfRule type="expression" dxfId="117" priority="61">
      <formula>IF($E113&gt;0,TRUE)</formula>
    </cfRule>
  </conditionalFormatting>
  <conditionalFormatting sqref="C114:D114">
    <cfRule type="expression" dxfId="116" priority="60">
      <formula>IF($E114&gt;0,TRUE)</formula>
    </cfRule>
  </conditionalFormatting>
  <conditionalFormatting sqref="B111:B113">
    <cfRule type="expression" dxfId="115" priority="59">
      <formula>IF($E111&gt;0,TRUE)</formula>
    </cfRule>
  </conditionalFormatting>
  <conditionalFormatting sqref="B114">
    <cfRule type="expression" dxfId="114" priority="58">
      <formula>IF($E114&gt;0,TRUE)</formula>
    </cfRule>
  </conditionalFormatting>
  <conditionalFormatting sqref="B117:D117">
    <cfRule type="expression" dxfId="113" priority="57">
      <formula>IF($E117&gt;0,TRUE)</formula>
    </cfRule>
  </conditionalFormatting>
  <conditionalFormatting sqref="B80">
    <cfRule type="expression" dxfId="112" priority="54">
      <formula>IF($E80&gt;0,TRUE)</formula>
    </cfRule>
  </conditionalFormatting>
  <conditionalFormatting sqref="B124 D124">
    <cfRule type="expression" dxfId="111" priority="53">
      <formula>IF($E124&gt;0,TRUE)</formula>
    </cfRule>
  </conditionalFormatting>
  <conditionalFormatting sqref="D121">
    <cfRule type="expression" dxfId="110" priority="52">
      <formula>IF($E121&gt;0,TRUE)</formula>
    </cfRule>
  </conditionalFormatting>
  <conditionalFormatting sqref="D125">
    <cfRule type="expression" dxfId="109" priority="51">
      <formula>IF($E125&gt;0,TRUE)</formula>
    </cfRule>
  </conditionalFormatting>
  <conditionalFormatting sqref="D126">
    <cfRule type="expression" dxfId="108" priority="50">
      <formula>IF($E126&gt;0,TRUE)</formula>
    </cfRule>
  </conditionalFormatting>
  <conditionalFormatting sqref="B121">
    <cfRule type="expression" dxfId="107" priority="49">
      <formula>IF($E121&gt;0,TRUE)</formula>
    </cfRule>
  </conditionalFormatting>
  <conditionalFormatting sqref="B125">
    <cfRule type="expression" dxfId="106" priority="46">
      <formula>IF($E125&gt;0,TRUE)</formula>
    </cfRule>
  </conditionalFormatting>
  <conditionalFormatting sqref="B122:B123">
    <cfRule type="expression" dxfId="105" priority="45">
      <formula>IF($E122&gt;0,TRUE)</formula>
    </cfRule>
  </conditionalFormatting>
  <conditionalFormatting sqref="B126">
    <cfRule type="expression" dxfId="104" priority="44">
      <formula>IF($E126&gt;0,TRUE)</formula>
    </cfRule>
  </conditionalFormatting>
  <conditionalFormatting sqref="E38">
    <cfRule type="cellIs" dxfId="103" priority="43" stopIfTrue="1" operator="lessThan">
      <formula>$E$41/32</formula>
    </cfRule>
  </conditionalFormatting>
  <conditionalFormatting sqref="C16">
    <cfRule type="expression" dxfId="102" priority="27">
      <formula>IF($E16&gt;0,TRUE)</formula>
    </cfRule>
  </conditionalFormatting>
  <conditionalFormatting sqref="C36:D36">
    <cfRule type="expression" dxfId="101" priority="26">
      <formula>IF($E36&gt;0,TRUE)</formula>
    </cfRule>
  </conditionalFormatting>
  <conditionalFormatting sqref="B84:C84">
    <cfRule type="expression" dxfId="100" priority="25">
      <formula>IF($E84&gt;0,TRUE)</formula>
    </cfRule>
  </conditionalFormatting>
  <conditionalFormatting sqref="B85:C85">
    <cfRule type="expression" dxfId="99" priority="24">
      <formula>IF($E85&gt;0,TRUE)</formula>
    </cfRule>
  </conditionalFormatting>
  <conditionalFormatting sqref="B87:D87">
    <cfRule type="expression" dxfId="98" priority="23">
      <formula>IF($E87&gt;0,TRUE)</formula>
    </cfRule>
  </conditionalFormatting>
  <conditionalFormatting sqref="B88:D88">
    <cfRule type="expression" dxfId="97" priority="22">
      <formula>IF($E88&gt;0,TRUE)</formula>
    </cfRule>
  </conditionalFormatting>
  <conditionalFormatting sqref="C127">
    <cfRule type="expression" dxfId="96" priority="19">
      <formula>IF($E127&gt;0,TRUE)</formula>
    </cfRule>
  </conditionalFormatting>
  <conditionalFormatting sqref="C124">
    <cfRule type="expression" dxfId="95" priority="18">
      <formula>IF($E124&gt;0,TRUE)</formula>
    </cfRule>
  </conditionalFormatting>
  <conditionalFormatting sqref="C121">
    <cfRule type="expression" dxfId="94" priority="17">
      <formula>IF($E121&gt;0,TRUE)</formula>
    </cfRule>
  </conditionalFormatting>
  <conditionalFormatting sqref="C125">
    <cfRule type="expression" dxfId="93" priority="16">
      <formula>IF($E125&gt;0,TRUE)</formula>
    </cfRule>
  </conditionalFormatting>
  <conditionalFormatting sqref="C122:C123">
    <cfRule type="expression" dxfId="92" priority="15">
      <formula>IF($E122&gt;0,TRUE)</formula>
    </cfRule>
  </conditionalFormatting>
  <conditionalFormatting sqref="C126">
    <cfRule type="expression" dxfId="91" priority="14">
      <formula>IF($E126&gt;0,TRUE)</formula>
    </cfRule>
  </conditionalFormatting>
  <conditionalFormatting sqref="B58:D58">
    <cfRule type="expression" dxfId="90" priority="12">
      <formula>IF($E58&gt;0,TRUE)</formula>
    </cfRule>
  </conditionalFormatting>
  <conditionalFormatting sqref="B39">
    <cfRule type="expression" dxfId="89" priority="11">
      <formula>IF($E39&gt;0,TRUE)</formula>
    </cfRule>
  </conditionalFormatting>
  <conditionalFormatting sqref="B9:B10">
    <cfRule type="expression" dxfId="88" priority="10">
      <formula>IF($E9&gt;0,TRUE)</formula>
    </cfRule>
  </conditionalFormatting>
  <conditionalFormatting sqref="B13:B14">
    <cfRule type="expression" dxfId="87" priority="9">
      <formula>IF($E13&gt;0,TRUE)</formula>
    </cfRule>
  </conditionalFormatting>
  <conditionalFormatting sqref="B16:B17">
    <cfRule type="expression" dxfId="86" priority="8">
      <formula>IF($E16&gt;0,TRUE)</formula>
    </cfRule>
  </conditionalFormatting>
  <conditionalFormatting sqref="B20:B21">
    <cfRule type="expression" dxfId="85" priority="7">
      <formula>IF($E20&gt;0,TRUE)</formula>
    </cfRule>
  </conditionalFormatting>
  <conditionalFormatting sqref="B23:B32">
    <cfRule type="expression" dxfId="84" priority="6">
      <formula>IF($E23&gt;0,TRUE)</formula>
    </cfRule>
  </conditionalFormatting>
  <conditionalFormatting sqref="B35:B36">
    <cfRule type="expression" dxfId="83" priority="5">
      <formula>IF($E35&gt;0,TRUE)</formula>
    </cfRule>
  </conditionalFormatting>
  <conditionalFormatting sqref="B42:B45">
    <cfRule type="expression" dxfId="82" priority="4">
      <formula>IF($E42&gt;0,TRUE)</formula>
    </cfRule>
  </conditionalFormatting>
  <conditionalFormatting sqref="B91:B95">
    <cfRule type="expression" dxfId="81" priority="3">
      <formula>IF($E91&gt;0,TRUE)</formula>
    </cfRule>
  </conditionalFormatting>
  <conditionalFormatting sqref="B98:B100">
    <cfRule type="expression" dxfId="80" priority="2">
      <formula>IF($E98&gt;0,TRUE)</formula>
    </cfRule>
  </conditionalFormatting>
  <conditionalFormatting sqref="B102">
    <cfRule type="expression" dxfId="79" priority="1">
      <formula>IF($E102&gt;0,TRUE)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21" r:id="rId4" name="cmd_goto_containment_Belt">
          <controlPr defaultSize="0" disabled="1" autoLine="0" r:id="rId5">
            <anchor moveWithCells="1">
              <from>
                <xdr:col>5</xdr:col>
                <xdr:colOff>1892300</xdr:colOff>
                <xdr:row>0</xdr:row>
                <xdr:rowOff>139700</xdr:rowOff>
              </from>
              <to>
                <xdr:col>5</xdr:col>
                <xdr:colOff>3543300</xdr:colOff>
                <xdr:row>0</xdr:row>
                <xdr:rowOff>666750</xdr:rowOff>
              </to>
            </anchor>
          </controlPr>
        </control>
      </mc:Choice>
      <mc:Fallback>
        <control shapeId="8221" r:id="rId4" name="cmd_goto_containment_Belt"/>
      </mc:Fallback>
    </mc:AlternateContent>
    <mc:AlternateContent xmlns:mc="http://schemas.openxmlformats.org/markup-compatibility/2006">
      <mc:Choice Requires="x14">
        <control shapeId="8220" r:id="rId6" name="cmd_gotoQtyAlldevICS">
          <controlPr defaultSize="0" autoLine="0" autoPict="0" r:id="rId7">
            <anchor moveWithCells="1">
              <from>
                <xdr:col>5</xdr:col>
                <xdr:colOff>1866900</xdr:colOff>
                <xdr:row>0</xdr:row>
                <xdr:rowOff>787400</xdr:rowOff>
              </from>
              <to>
                <xdr:col>5</xdr:col>
                <xdr:colOff>3530600</xdr:colOff>
                <xdr:row>0</xdr:row>
                <xdr:rowOff>1397000</xdr:rowOff>
              </to>
            </anchor>
          </controlPr>
        </control>
      </mc:Choice>
      <mc:Fallback>
        <control shapeId="8220" r:id="rId6" name="cmd_gotoQtyAlldevICS"/>
      </mc:Fallback>
    </mc:AlternateContent>
    <mc:AlternateContent xmlns:mc="http://schemas.openxmlformats.org/markup-compatibility/2006">
      <mc:Choice Requires="x14">
        <control shapeId="8219" r:id="rId8" name="cmd_goto_cable_Belt">
          <controlPr defaultSize="0" disabled="1" autoLine="0" autoPict="0" r:id="rId9">
            <anchor moveWithCells="1">
              <from>
                <xdr:col>5</xdr:col>
                <xdr:colOff>184150</xdr:colOff>
                <xdr:row>0</xdr:row>
                <xdr:rowOff>762000</xdr:rowOff>
              </from>
              <to>
                <xdr:col>5</xdr:col>
                <xdr:colOff>1701800</xdr:colOff>
                <xdr:row>0</xdr:row>
                <xdr:rowOff>1397000</xdr:rowOff>
              </to>
            </anchor>
          </controlPr>
        </control>
      </mc:Choice>
      <mc:Fallback>
        <control shapeId="8219" r:id="rId8" name="cmd_goto_cable_Belt"/>
      </mc:Fallback>
    </mc:AlternateContent>
    <mc:AlternateContent xmlns:mc="http://schemas.openxmlformats.org/markup-compatibility/2006">
      <mc:Choice Requires="x14">
        <control shapeId="8206" r:id="rId10" name="Count_AllDev_Belt">
          <controlPr defaultSize="0" disabled="1" autoLine="0" autoPict="0" r:id="rId11">
            <anchor moveWithCells="1">
              <from>
                <xdr:col>5</xdr:col>
                <xdr:colOff>184150</xdr:colOff>
                <xdr:row>0</xdr:row>
                <xdr:rowOff>120650</xdr:rowOff>
              </from>
              <to>
                <xdr:col>5</xdr:col>
                <xdr:colOff>1708150</xdr:colOff>
                <xdr:row>0</xdr:row>
                <xdr:rowOff>679450</xdr:rowOff>
              </to>
            </anchor>
          </controlPr>
        </control>
      </mc:Choice>
      <mc:Fallback>
        <control shapeId="8206" r:id="rId10" name="Count_AllDev_Bel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FB4E4-B14E-4780-B418-C886C48CAD48}">
  <sheetPr codeName="Tabelle5"/>
  <dimension ref="A1:I226"/>
  <sheetViews>
    <sheetView zoomScale="86" zoomScaleNormal="86" workbookViewId="0">
      <pane ySplit="2" topLeftCell="A3" activePane="bottomLeft" state="frozen"/>
      <selection activeCell="B1" sqref="B1"/>
      <selection pane="bottomLeft" activeCell="A34" sqref="A34:E35"/>
    </sheetView>
  </sheetViews>
  <sheetFormatPr defaultColWidth="8.984375E-2" defaultRowHeight="14.5" outlineLevelCol="1"/>
  <cols>
    <col min="1" max="1" width="37.90625" style="42" customWidth="1"/>
    <col min="2" max="2" width="37.54296875" style="41" customWidth="1"/>
    <col min="3" max="3" width="46.90625" style="41" hidden="1" customWidth="1" outlineLevel="1"/>
    <col min="4" max="4" width="29.6328125" style="41" hidden="1" customWidth="1" outlineLevel="1"/>
    <col min="5" max="5" width="12.453125" style="72" bestFit="1" customWidth="1" collapsed="1"/>
    <col min="6" max="6" width="51.90625" style="41" customWidth="1"/>
    <col min="7" max="7" width="18.453125" style="42" customWidth="1"/>
    <col min="8" max="8" width="31" customWidth="1"/>
    <col min="10" max="10" width="23.6328125" style="42" customWidth="1"/>
    <col min="11" max="11" width="13.36328125" style="42" customWidth="1"/>
    <col min="12" max="12" width="4.36328125" style="42" customWidth="1"/>
    <col min="13" max="13" width="5.08984375" style="42" customWidth="1"/>
    <col min="14" max="14" width="9.08984375" style="42" customWidth="1"/>
    <col min="15" max="15" width="11.08984375" style="42" customWidth="1"/>
    <col min="16" max="16" width="9.36328125" style="42" customWidth="1"/>
    <col min="17" max="16382" width="8.984375E-2" style="42"/>
    <col min="16383" max="16383" width="8.984375E-2" style="42" customWidth="1"/>
    <col min="16384" max="16384" width="8.984375E-2" style="42"/>
  </cols>
  <sheetData>
    <row r="1" spans="1:7" ht="162" customHeight="1">
      <c r="B1" s="228">
        <f>Parameter!B2</f>
        <v>0</v>
      </c>
      <c r="C1" s="58"/>
      <c r="D1" s="59"/>
      <c r="E1" s="67"/>
    </row>
    <row r="2" spans="1:7" ht="42" customHeight="1" thickBot="1">
      <c r="A2" s="89" t="s">
        <v>269</v>
      </c>
      <c r="B2" s="60" t="s">
        <v>270</v>
      </c>
      <c r="C2" s="60" t="s">
        <v>271</v>
      </c>
      <c r="D2" s="60" t="s">
        <v>272</v>
      </c>
      <c r="E2" s="68" t="s">
        <v>273</v>
      </c>
      <c r="G2" s="260" t="s">
        <v>690</v>
      </c>
    </row>
    <row r="3" spans="1:7">
      <c r="A3" s="80"/>
      <c r="B3" s="61" t="s">
        <v>274</v>
      </c>
      <c r="C3" s="61" t="s">
        <v>275</v>
      </c>
      <c r="D3" s="61"/>
      <c r="E3" s="285">
        <f>SUM(E4:E4)</f>
        <v>0</v>
      </c>
    </row>
    <row r="4" spans="1:7">
      <c r="A4" s="80"/>
      <c r="B4" s="40"/>
      <c r="C4" s="40"/>
      <c r="D4" s="40"/>
      <c r="E4" s="69"/>
    </row>
    <row r="5" spans="1:7">
      <c r="A5" s="80"/>
      <c r="B5" s="43" t="s">
        <v>277</v>
      </c>
      <c r="C5" s="43" t="s">
        <v>278</v>
      </c>
      <c r="D5" s="43"/>
      <c r="E5" s="286">
        <f>SUM(E6:E7)</f>
        <v>0</v>
      </c>
    </row>
    <row r="6" spans="1:7">
      <c r="A6" s="81" t="s">
        <v>279</v>
      </c>
      <c r="B6" s="40" t="s">
        <v>280</v>
      </c>
      <c r="C6" s="40" t="s">
        <v>281</v>
      </c>
      <c r="D6" s="40"/>
      <c r="E6" s="62"/>
      <c r="F6" s="44" t="s">
        <v>276</v>
      </c>
    </row>
    <row r="7" spans="1:7">
      <c r="A7" s="80"/>
      <c r="B7" s="40"/>
      <c r="C7" s="40"/>
      <c r="D7" s="40"/>
      <c r="E7" s="69"/>
    </row>
    <row r="8" spans="1:7">
      <c r="A8" s="80"/>
      <c r="B8" s="43" t="s">
        <v>282</v>
      </c>
      <c r="C8" s="43" t="s">
        <v>283</v>
      </c>
      <c r="D8" s="43"/>
      <c r="E8" s="286">
        <f>SUM(E9:E10)</f>
        <v>0</v>
      </c>
    </row>
    <row r="9" spans="1:7">
      <c r="A9" s="81" t="s">
        <v>284</v>
      </c>
      <c r="B9" s="40" t="s">
        <v>285</v>
      </c>
      <c r="C9" s="40" t="s">
        <v>286</v>
      </c>
      <c r="D9" s="40" t="s">
        <v>287</v>
      </c>
      <c r="E9" s="65"/>
      <c r="F9" s="44" t="s">
        <v>727</v>
      </c>
    </row>
    <row r="10" spans="1:7">
      <c r="A10" s="81" t="s">
        <v>288</v>
      </c>
      <c r="B10" s="40" t="s">
        <v>289</v>
      </c>
      <c r="C10" s="40" t="s">
        <v>290</v>
      </c>
      <c r="D10" s="40" t="s">
        <v>287</v>
      </c>
      <c r="E10" s="65"/>
      <c r="F10" s="44" t="s">
        <v>732</v>
      </c>
    </row>
    <row r="11" spans="1:7">
      <c r="A11" s="80"/>
      <c r="B11" s="40"/>
      <c r="C11" s="40"/>
      <c r="D11" s="40"/>
      <c r="E11" s="69"/>
    </row>
    <row r="12" spans="1:7">
      <c r="A12" s="80"/>
      <c r="B12" s="319" t="s">
        <v>291</v>
      </c>
      <c r="C12" s="43" t="s">
        <v>292</v>
      </c>
      <c r="D12" s="43"/>
      <c r="E12" s="286">
        <f>SUM(E15)</f>
        <v>0</v>
      </c>
    </row>
    <row r="13" spans="1:7">
      <c r="A13" s="80"/>
      <c r="B13" s="40"/>
      <c r="C13" s="40"/>
      <c r="D13" s="40"/>
      <c r="E13" s="64"/>
    </row>
    <row r="14" spans="1:7">
      <c r="A14" s="81" t="s">
        <v>296</v>
      </c>
      <c r="B14" s="40" t="s">
        <v>719</v>
      </c>
      <c r="C14" s="40" t="s">
        <v>717</v>
      </c>
      <c r="D14" s="40" t="s">
        <v>296</v>
      </c>
      <c r="E14" s="62"/>
      <c r="F14" s="44" t="s">
        <v>728</v>
      </c>
    </row>
    <row r="15" spans="1:7">
      <c r="A15" s="81" t="s">
        <v>297</v>
      </c>
      <c r="B15" s="40" t="s">
        <v>720</v>
      </c>
      <c r="C15" s="40" t="s">
        <v>718</v>
      </c>
      <c r="D15" s="40" t="s">
        <v>297</v>
      </c>
      <c r="E15" s="65"/>
      <c r="F15" s="44" t="s">
        <v>732</v>
      </c>
    </row>
    <row r="16" spans="1:7">
      <c r="A16" s="80"/>
      <c r="B16" s="40"/>
      <c r="C16" s="40"/>
      <c r="D16" s="40"/>
      <c r="E16" s="69"/>
    </row>
    <row r="17" spans="1:8">
      <c r="A17" s="80"/>
      <c r="B17" s="43" t="s">
        <v>711</v>
      </c>
      <c r="C17" s="43" t="s">
        <v>298</v>
      </c>
      <c r="D17" s="43"/>
      <c r="E17" s="286">
        <f>SUM(E18:E27)</f>
        <v>0</v>
      </c>
    </row>
    <row r="18" spans="1:8">
      <c r="A18" s="81" t="s">
        <v>299</v>
      </c>
      <c r="B18" s="40" t="s">
        <v>710</v>
      </c>
      <c r="C18" s="40" t="s">
        <v>300</v>
      </c>
      <c r="D18" s="40" t="s">
        <v>299</v>
      </c>
      <c r="E18" s="284">
        <f>IF(E29&gt;=1,ROUNDUP(Qty_Typicals!C119/18,0),0)</f>
        <v>0</v>
      </c>
    </row>
    <row r="19" spans="1:8">
      <c r="A19" s="81" t="s">
        <v>301</v>
      </c>
      <c r="B19" s="40" t="s">
        <v>712</v>
      </c>
      <c r="C19" s="40" t="s">
        <v>302</v>
      </c>
      <c r="D19" s="40" t="s">
        <v>301</v>
      </c>
      <c r="E19" s="284">
        <f>IF(E29=0,ROUNDUP(Qty_Typicals!C119/18,0),0)</f>
        <v>0</v>
      </c>
    </row>
    <row r="20" spans="1:8" s="123" customFormat="1">
      <c r="A20" s="81" t="s">
        <v>721</v>
      </c>
      <c r="B20" s="345" t="str">
        <f>Qty_Typicals!D60</f>
        <v>Tray Tilter</v>
      </c>
      <c r="C20" s="40" t="s">
        <v>723</v>
      </c>
      <c r="D20" s="40"/>
      <c r="E20" s="284">
        <f>SUMIF(Qty_Typicals!$D$54:$D$80,Qty_all_Devices_ICS!B20,Qty_Typicals!$C$54:$C$80)</f>
        <v>0</v>
      </c>
      <c r="F20" s="265"/>
      <c r="H20"/>
    </row>
    <row r="21" spans="1:8" s="123" customFormat="1">
      <c r="A21" s="81" t="s">
        <v>726</v>
      </c>
      <c r="B21" s="345" t="str">
        <f>Qty_Typicals!D61</f>
        <v>Tray Tilter Plus</v>
      </c>
      <c r="C21" s="40" t="s">
        <v>722</v>
      </c>
      <c r="D21" s="40"/>
      <c r="E21" s="284">
        <f>SUMIF(Qty_Typicals!$D$54:$D$80,Qty_all_Devices_ICS!B21,Qty_Typicals!$C$54:$C$80)</f>
        <v>0</v>
      </c>
      <c r="F21" s="265"/>
      <c r="H21"/>
    </row>
    <row r="22" spans="1:8">
      <c r="A22" s="81" t="s">
        <v>319</v>
      </c>
      <c r="B22" s="345" t="str">
        <f>Qty_Typicals!D62</f>
        <v>Tray SmartTilter</v>
      </c>
      <c r="C22" s="40" t="s">
        <v>320</v>
      </c>
      <c r="D22" s="40"/>
      <c r="E22" s="284">
        <f>SUMIF(Qty_Typicals!$D$54:$D$80,Qty_all_Devices_ICS!B22,Qty_Typicals!$C$54:$C$80)</f>
        <v>0</v>
      </c>
    </row>
    <row r="23" spans="1:8">
      <c r="A23" s="81" t="s">
        <v>321</v>
      </c>
      <c r="B23" s="345" t="str">
        <f>Qty_Typicals!D63</f>
        <v>Tray Stacker</v>
      </c>
      <c r="C23" s="40" t="s">
        <v>322</v>
      </c>
      <c r="D23" s="40" t="s">
        <v>323</v>
      </c>
      <c r="E23" s="284">
        <f>SUMIF(Qty_Typicals!$D$54:$D$80,Qty_all_Devices_ICS!B23,Qty_Typicals!$C$54:$C$80)</f>
        <v>0</v>
      </c>
    </row>
    <row r="24" spans="1:8">
      <c r="A24" s="81" t="s">
        <v>324</v>
      </c>
      <c r="B24" s="345" t="str">
        <f>Qty_Typicals!D64</f>
        <v>Tray Line Stacker</v>
      </c>
      <c r="C24" s="40" t="s">
        <v>325</v>
      </c>
      <c r="D24" s="40" t="s">
        <v>326</v>
      </c>
      <c r="E24" s="284">
        <f>SUMIF(Qty_Typicals!$D$54:$D$80,Qty_all_Devices_ICS!B24,Qty_Typicals!$C$54:$C$80)</f>
        <v>0</v>
      </c>
    </row>
    <row r="25" spans="1:8">
      <c r="A25" s="81" t="s">
        <v>327</v>
      </c>
      <c r="B25" s="345" t="str">
        <f>Qty_Typicals!D65</f>
        <v>Tray Verti-Sorter - one Arm</v>
      </c>
      <c r="C25" s="40" t="s">
        <v>328</v>
      </c>
      <c r="D25" s="40"/>
      <c r="E25" s="284">
        <f>SUMIF(Qty_Typicals!$D$54:$D$80,Qty_all_Devices_ICS!B25,Qty_Typicals!$C$54:$C$80)</f>
        <v>0</v>
      </c>
    </row>
    <row r="26" spans="1:8">
      <c r="A26" s="81" t="s">
        <v>329</v>
      </c>
      <c r="B26" s="345" t="str">
        <f>Qty_Typicals!D66</f>
        <v>Tray Lift</v>
      </c>
      <c r="C26" s="40" t="s">
        <v>330</v>
      </c>
      <c r="D26" s="40"/>
      <c r="E26" s="284">
        <f>SUMIF(Qty_Typicals!$D$54:$D$80,Qty_all_Devices_ICS!B26,Qty_Typicals!$C$54:$C$80)</f>
        <v>0</v>
      </c>
    </row>
    <row r="27" spans="1:8">
      <c r="A27" s="81" t="s">
        <v>331</v>
      </c>
      <c r="B27" s="345" t="str">
        <f>Qty_Typicals!D67</f>
        <v>Tray S/C - Lift</v>
      </c>
      <c r="C27" s="40" t="s">
        <v>332</v>
      </c>
      <c r="D27" s="40"/>
      <c r="E27" s="284">
        <f>SUMIF(Qty_Typicals!$D$54:$D$80,Qty_all_Devices_ICS!B27,Qty_Typicals!$C$54:$C$80)</f>
        <v>0</v>
      </c>
    </row>
    <row r="28" spans="1:8">
      <c r="A28" s="80"/>
      <c r="B28" s="40"/>
      <c r="C28" s="40"/>
      <c r="D28" s="40"/>
      <c r="E28" s="69"/>
    </row>
    <row r="29" spans="1:8">
      <c r="A29" s="80"/>
      <c r="B29" s="43" t="s">
        <v>333</v>
      </c>
      <c r="C29" s="43" t="s">
        <v>334</v>
      </c>
      <c r="D29" s="43"/>
      <c r="E29" s="286">
        <f>E26+E27+E30</f>
        <v>0</v>
      </c>
    </row>
    <row r="30" spans="1:8">
      <c r="A30" s="81" t="s">
        <v>335</v>
      </c>
      <c r="B30" s="40" t="s">
        <v>336</v>
      </c>
      <c r="C30" s="40" t="s">
        <v>337</v>
      </c>
      <c r="D30" s="40" t="s">
        <v>338</v>
      </c>
      <c r="E30" s="70"/>
      <c r="F30" s="44" t="s">
        <v>728</v>
      </c>
    </row>
    <row r="31" spans="1:8">
      <c r="A31" s="81" t="s">
        <v>339</v>
      </c>
      <c r="B31" s="40" t="s">
        <v>340</v>
      </c>
      <c r="C31" s="40" t="s">
        <v>341</v>
      </c>
      <c r="D31" s="40" t="s">
        <v>342</v>
      </c>
      <c r="E31" s="65"/>
      <c r="F31" s="44" t="s">
        <v>732</v>
      </c>
    </row>
    <row r="32" spans="1:8">
      <c r="A32" s="80"/>
      <c r="B32" s="40"/>
      <c r="C32" s="40"/>
      <c r="D32" s="40"/>
      <c r="E32" s="64"/>
    </row>
    <row r="33" spans="1:7">
      <c r="A33" s="80"/>
      <c r="B33" s="319" t="s">
        <v>343</v>
      </c>
      <c r="C33" s="43" t="s">
        <v>344</v>
      </c>
      <c r="D33" s="43"/>
      <c r="E33" s="286">
        <f>SUM(E34:E35)</f>
        <v>0</v>
      </c>
    </row>
    <row r="34" spans="1:7">
      <c r="A34" s="81" t="s">
        <v>345</v>
      </c>
      <c r="B34" s="40" t="s">
        <v>346</v>
      </c>
      <c r="C34" s="40" t="s">
        <v>347</v>
      </c>
      <c r="D34" s="40" t="s">
        <v>348</v>
      </c>
      <c r="E34" s="284">
        <f>ROUNDUP(E36/25,0)</f>
        <v>0</v>
      </c>
    </row>
    <row r="35" spans="1:7">
      <c r="A35" s="80"/>
      <c r="B35" s="40"/>
      <c r="C35" s="40"/>
      <c r="D35" s="40"/>
      <c r="E35" s="64"/>
    </row>
    <row r="36" spans="1:7">
      <c r="A36" s="80"/>
      <c r="B36" s="43" t="s">
        <v>350</v>
      </c>
      <c r="C36" s="43" t="s">
        <v>351</v>
      </c>
      <c r="D36" s="43"/>
      <c r="E36" s="286">
        <f>SUM(E37:E41)</f>
        <v>0</v>
      </c>
    </row>
    <row r="37" spans="1:7">
      <c r="A37" s="81" t="s">
        <v>37</v>
      </c>
      <c r="B37" s="129" t="s">
        <v>352</v>
      </c>
      <c r="C37" s="129" t="s">
        <v>353</v>
      </c>
      <c r="D37" s="129" t="s">
        <v>354</v>
      </c>
      <c r="E37" s="63"/>
      <c r="G37" s="224" t="s">
        <v>37</v>
      </c>
    </row>
    <row r="38" spans="1:7">
      <c r="A38" s="81" t="s">
        <v>38</v>
      </c>
      <c r="B38" s="40" t="s">
        <v>355</v>
      </c>
      <c r="C38" s="40" t="s">
        <v>356</v>
      </c>
      <c r="D38" s="40" t="s">
        <v>357</v>
      </c>
      <c r="E38" s="63"/>
      <c r="G38" s="224" t="s">
        <v>38</v>
      </c>
    </row>
    <row r="39" spans="1:7">
      <c r="A39" s="81" t="s">
        <v>39</v>
      </c>
      <c r="B39" s="40" t="s">
        <v>358</v>
      </c>
      <c r="C39" s="40" t="s">
        <v>359</v>
      </c>
      <c r="D39" s="40" t="s">
        <v>357</v>
      </c>
      <c r="E39" s="63"/>
      <c r="G39" s="224" t="s">
        <v>39</v>
      </c>
    </row>
    <row r="40" spans="1:7">
      <c r="A40" s="81" t="s">
        <v>360</v>
      </c>
      <c r="B40" s="40" t="s">
        <v>138</v>
      </c>
      <c r="C40" s="40" t="s">
        <v>361</v>
      </c>
      <c r="D40" s="40" t="s">
        <v>357</v>
      </c>
      <c r="E40" s="284" cm="1">
        <f t="array" ref="E40">ROUNDUP(SUM(Qty_Typicals!X54:X80*0.05),0)</f>
        <v>0</v>
      </c>
      <c r="F40" s="44" t="s">
        <v>362</v>
      </c>
    </row>
    <row r="41" spans="1:7">
      <c r="A41" s="80"/>
      <c r="B41" s="40"/>
      <c r="C41" s="40"/>
      <c r="D41" s="40"/>
      <c r="E41" s="69"/>
    </row>
    <row r="42" spans="1:7">
      <c r="A42" s="80"/>
      <c r="B42" s="43" t="s">
        <v>363</v>
      </c>
      <c r="C42" s="43" t="s">
        <v>364</v>
      </c>
      <c r="D42" s="43"/>
      <c r="E42" s="286">
        <f>SUM(E43:E47)</f>
        <v>0</v>
      </c>
    </row>
    <row r="43" spans="1:7">
      <c r="A43" s="80"/>
      <c r="B43" s="40" t="s">
        <v>365</v>
      </c>
      <c r="C43" s="40" t="s">
        <v>366</v>
      </c>
      <c r="D43" s="40"/>
      <c r="E43" s="69"/>
    </row>
    <row r="44" spans="1:7">
      <c r="A44" s="80"/>
      <c r="B44" s="40" t="s">
        <v>367</v>
      </c>
      <c r="C44" s="40" t="s">
        <v>368</v>
      </c>
      <c r="D44" s="40"/>
      <c r="E44" s="69"/>
    </row>
    <row r="45" spans="1:7">
      <c r="A45" s="80"/>
      <c r="B45" s="40" t="s">
        <v>369</v>
      </c>
      <c r="C45" s="40" t="s">
        <v>369</v>
      </c>
      <c r="D45" s="40"/>
      <c r="E45" s="69"/>
    </row>
    <row r="46" spans="1:7">
      <c r="A46" s="80"/>
      <c r="B46" s="40" t="s">
        <v>370</v>
      </c>
      <c r="C46" s="40" t="s">
        <v>370</v>
      </c>
      <c r="D46" s="40"/>
      <c r="E46" s="69"/>
    </row>
    <row r="47" spans="1:7">
      <c r="A47" s="80"/>
      <c r="B47" s="40"/>
      <c r="C47" s="40"/>
      <c r="D47" s="40"/>
      <c r="E47" s="69"/>
    </row>
    <row r="48" spans="1:7">
      <c r="A48" s="80"/>
      <c r="B48" s="43" t="s">
        <v>371</v>
      </c>
      <c r="C48" s="43" t="s">
        <v>372</v>
      </c>
      <c r="D48" s="43"/>
      <c r="E48" s="286">
        <f>SUM(E49:E51)</f>
        <v>0</v>
      </c>
    </row>
    <row r="49" spans="1:7">
      <c r="A49" s="80"/>
      <c r="B49" s="40" t="s">
        <v>373</v>
      </c>
      <c r="C49" s="40" t="s">
        <v>374</v>
      </c>
      <c r="D49" s="40"/>
      <c r="E49" s="284"/>
      <c r="F49" s="44" t="s">
        <v>716</v>
      </c>
    </row>
    <row r="50" spans="1:7">
      <c r="A50" s="80"/>
      <c r="B50" s="40" t="s">
        <v>375</v>
      </c>
      <c r="C50" s="40" t="s">
        <v>376</v>
      </c>
      <c r="D50" s="40"/>
      <c r="E50" s="284"/>
      <c r="F50" s="44" t="s">
        <v>716</v>
      </c>
    </row>
    <row r="51" spans="1:7">
      <c r="A51" s="80"/>
      <c r="B51" s="40"/>
      <c r="C51" s="40"/>
      <c r="D51" s="40"/>
      <c r="E51" s="64"/>
    </row>
    <row r="52" spans="1:7">
      <c r="A52" s="80"/>
      <c r="B52" s="43" t="s">
        <v>383</v>
      </c>
      <c r="C52" s="43" t="s">
        <v>384</v>
      </c>
      <c r="D52" s="43"/>
      <c r="E52" s="286">
        <f>SUM(E53:E54)</f>
        <v>0</v>
      </c>
    </row>
    <row r="53" spans="1:7">
      <c r="A53" s="81" t="s">
        <v>385</v>
      </c>
      <c r="B53" s="40" t="s">
        <v>386</v>
      </c>
      <c r="C53" s="40" t="s">
        <v>387</v>
      </c>
      <c r="D53" s="40"/>
      <c r="E53" s="62"/>
      <c r="F53" s="44" t="s">
        <v>276</v>
      </c>
    </row>
    <row r="54" spans="1:7">
      <c r="A54" s="80"/>
      <c r="B54" s="40"/>
      <c r="C54" s="40"/>
      <c r="D54" s="40"/>
      <c r="E54" s="69"/>
    </row>
    <row r="55" spans="1:7">
      <c r="A55" s="80"/>
      <c r="B55" s="43" t="s">
        <v>388</v>
      </c>
      <c r="C55" s="43" t="s">
        <v>388</v>
      </c>
      <c r="D55" s="43"/>
      <c r="E55" s="286">
        <f>SUM(E56:E57)</f>
        <v>0</v>
      </c>
    </row>
    <row r="56" spans="1:7">
      <c r="A56" s="81" t="s">
        <v>389</v>
      </c>
      <c r="B56" s="40" t="s">
        <v>390</v>
      </c>
      <c r="C56" s="40" t="s">
        <v>390</v>
      </c>
      <c r="D56" s="40"/>
      <c r="E56" s="62"/>
      <c r="F56" s="44" t="s">
        <v>276</v>
      </c>
    </row>
    <row r="57" spans="1:7">
      <c r="A57" s="80"/>
      <c r="B57" s="40"/>
      <c r="C57" s="40"/>
      <c r="D57" s="40"/>
      <c r="E57" s="64"/>
    </row>
    <row r="58" spans="1:7">
      <c r="A58" s="80"/>
      <c r="B58" s="43" t="s">
        <v>391</v>
      </c>
      <c r="C58" s="43" t="s">
        <v>391</v>
      </c>
      <c r="D58" s="43"/>
      <c r="E58" s="286">
        <f>SUM(E59:E60)</f>
        <v>0</v>
      </c>
    </row>
    <row r="59" spans="1:7">
      <c r="A59" s="80"/>
      <c r="B59" s="40" t="s">
        <v>392</v>
      </c>
      <c r="C59" s="40" t="s">
        <v>393</v>
      </c>
      <c r="D59" s="40"/>
      <c r="E59" s="64"/>
      <c r="F59" s="44" t="s">
        <v>716</v>
      </c>
    </row>
    <row r="60" spans="1:7">
      <c r="A60" s="80"/>
      <c r="B60" s="40"/>
      <c r="C60" s="40"/>
      <c r="D60" s="40"/>
      <c r="E60" s="64"/>
    </row>
    <row r="61" spans="1:7">
      <c r="A61" s="80"/>
      <c r="B61" s="43" t="s">
        <v>394</v>
      </c>
      <c r="C61" s="43" t="s">
        <v>395</v>
      </c>
      <c r="D61" s="43"/>
      <c r="E61" s="286">
        <f>SUM(E62:E67)</f>
        <v>0</v>
      </c>
    </row>
    <row r="62" spans="1:7">
      <c r="A62" s="81" t="s">
        <v>396</v>
      </c>
      <c r="B62" s="40" t="s">
        <v>146</v>
      </c>
      <c r="C62" s="40" t="s">
        <v>146</v>
      </c>
      <c r="D62" s="40" t="s">
        <v>397</v>
      </c>
      <c r="E62" s="63"/>
      <c r="G62" s="224" t="s">
        <v>168</v>
      </c>
    </row>
    <row r="63" spans="1:7">
      <c r="A63" s="81" t="s">
        <v>398</v>
      </c>
      <c r="B63" s="40" t="s">
        <v>399</v>
      </c>
      <c r="C63" s="40" t="s">
        <v>400</v>
      </c>
      <c r="D63" s="40" t="s">
        <v>398</v>
      </c>
      <c r="E63" s="63"/>
      <c r="G63" s="224" t="s">
        <v>54</v>
      </c>
    </row>
    <row r="64" spans="1:7">
      <c r="A64" s="81" t="s">
        <v>401</v>
      </c>
      <c r="B64" s="40" t="s">
        <v>259</v>
      </c>
      <c r="C64" s="40" t="s">
        <v>402</v>
      </c>
      <c r="D64" s="40"/>
      <c r="E64" s="284">
        <f>Qty_Typicals!C75</f>
        <v>0</v>
      </c>
      <c r="F64" s="41" t="s">
        <v>403</v>
      </c>
      <c r="G64" s="226" t="s">
        <v>794</v>
      </c>
    </row>
    <row r="65" spans="1:7">
      <c r="A65" s="80"/>
      <c r="B65" s="40"/>
      <c r="C65" s="40"/>
      <c r="D65" s="40"/>
      <c r="E65" s="69"/>
    </row>
    <row r="66" spans="1:7">
      <c r="A66" s="80"/>
      <c r="B66" s="40"/>
      <c r="C66" s="40"/>
      <c r="D66" s="40"/>
      <c r="E66" s="69"/>
    </row>
    <row r="67" spans="1:7">
      <c r="A67" s="80"/>
      <c r="B67" s="40"/>
      <c r="C67" s="40"/>
      <c r="D67" s="40"/>
      <c r="E67" s="69"/>
    </row>
    <row r="68" spans="1:7">
      <c r="A68" s="80"/>
      <c r="B68" s="43" t="s">
        <v>404</v>
      </c>
      <c r="C68" s="43" t="s">
        <v>405</v>
      </c>
      <c r="D68" s="43"/>
      <c r="E68" s="286">
        <f>SUM(E69:E80)</f>
        <v>0</v>
      </c>
    </row>
    <row r="69" spans="1:7">
      <c r="A69" s="80"/>
      <c r="B69" s="40"/>
      <c r="C69" s="40"/>
      <c r="D69" s="40"/>
      <c r="E69" s="64"/>
    </row>
    <row r="70" spans="1:7">
      <c r="A70" s="81" t="s">
        <v>43</v>
      </c>
      <c r="B70" s="129" t="s">
        <v>407</v>
      </c>
      <c r="C70" s="129" t="s">
        <v>408</v>
      </c>
      <c r="D70" s="129" t="s">
        <v>409</v>
      </c>
      <c r="E70" s="63"/>
      <c r="G70" s="224" t="s">
        <v>43</v>
      </c>
    </row>
    <row r="71" spans="1:7">
      <c r="A71" s="81" t="s">
        <v>44</v>
      </c>
      <c r="B71" s="40" t="s">
        <v>410</v>
      </c>
      <c r="C71" s="40" t="s">
        <v>411</v>
      </c>
      <c r="D71" s="40" t="s">
        <v>409</v>
      </c>
      <c r="E71" s="63"/>
      <c r="G71" s="224" t="s">
        <v>44</v>
      </c>
    </row>
    <row r="72" spans="1:7">
      <c r="A72" s="81" t="s">
        <v>45</v>
      </c>
      <c r="B72" s="40" t="s">
        <v>412</v>
      </c>
      <c r="C72" s="40" t="s">
        <v>413</v>
      </c>
      <c r="D72" s="40" t="s">
        <v>409</v>
      </c>
      <c r="E72" s="63"/>
      <c r="G72" s="224" t="s">
        <v>45</v>
      </c>
    </row>
    <row r="73" spans="1:7">
      <c r="A73" s="81" t="s">
        <v>46</v>
      </c>
      <c r="B73" s="129" t="s">
        <v>414</v>
      </c>
      <c r="C73" s="129" t="s">
        <v>415</v>
      </c>
      <c r="D73" s="129" t="s">
        <v>409</v>
      </c>
      <c r="E73" s="63"/>
      <c r="G73" s="224" t="s">
        <v>46</v>
      </c>
    </row>
    <row r="74" spans="1:7">
      <c r="A74" s="81" t="s">
        <v>47</v>
      </c>
      <c r="B74" s="40" t="s">
        <v>416</v>
      </c>
      <c r="C74" s="40" t="s">
        <v>417</v>
      </c>
      <c r="D74" s="40"/>
      <c r="E74" s="63"/>
      <c r="G74" s="224" t="s">
        <v>47</v>
      </c>
    </row>
    <row r="75" spans="1:7">
      <c r="A75" s="81" t="s">
        <v>32</v>
      </c>
      <c r="B75" s="129" t="s">
        <v>418</v>
      </c>
      <c r="C75" s="129" t="s">
        <v>419</v>
      </c>
      <c r="D75" s="129" t="s">
        <v>409</v>
      </c>
      <c r="E75" s="63"/>
      <c r="G75" s="224" t="s">
        <v>32</v>
      </c>
    </row>
    <row r="76" spans="1:7">
      <c r="A76" s="81" t="s">
        <v>33</v>
      </c>
      <c r="B76" s="129" t="s">
        <v>420</v>
      </c>
      <c r="C76" s="129" t="s">
        <v>421</v>
      </c>
      <c r="D76" s="129" t="s">
        <v>409</v>
      </c>
      <c r="E76" s="63"/>
      <c r="G76" s="224" t="s">
        <v>33</v>
      </c>
    </row>
    <row r="77" spans="1:7">
      <c r="A77" s="81" t="s">
        <v>34</v>
      </c>
      <c r="B77" s="40" t="s">
        <v>422</v>
      </c>
      <c r="C77" s="40" t="s">
        <v>423</v>
      </c>
      <c r="D77" s="40" t="s">
        <v>409</v>
      </c>
      <c r="E77" s="63"/>
      <c r="G77" s="224" t="s">
        <v>34</v>
      </c>
    </row>
    <row r="78" spans="1:7">
      <c r="A78" s="81" t="s">
        <v>35</v>
      </c>
      <c r="B78" s="40" t="s">
        <v>424</v>
      </c>
      <c r="C78" s="40" t="s">
        <v>425</v>
      </c>
      <c r="D78" s="40" t="s">
        <v>409</v>
      </c>
      <c r="E78" s="63"/>
      <c r="G78" s="224" t="s">
        <v>35</v>
      </c>
    </row>
    <row r="79" spans="1:7">
      <c r="A79" s="81" t="s">
        <v>36</v>
      </c>
      <c r="B79" s="40" t="s">
        <v>426</v>
      </c>
      <c r="C79" s="40" t="s">
        <v>427</v>
      </c>
      <c r="D79" s="40" t="s">
        <v>409</v>
      </c>
      <c r="E79" s="63"/>
      <c r="G79" s="224" t="s">
        <v>36</v>
      </c>
    </row>
    <row r="80" spans="1:7">
      <c r="A80" s="80"/>
      <c r="B80" s="40"/>
      <c r="C80" s="40"/>
      <c r="D80" s="40"/>
      <c r="E80" s="64"/>
    </row>
    <row r="81" spans="1:7">
      <c r="A81" s="80"/>
      <c r="B81" s="43" t="s">
        <v>428</v>
      </c>
      <c r="C81" s="46" t="s">
        <v>429</v>
      </c>
      <c r="D81" s="43"/>
      <c r="E81" s="286">
        <f>SUM(E82:E93)</f>
        <v>0</v>
      </c>
    </row>
    <row r="82" spans="1:7">
      <c r="A82" s="81" t="s">
        <v>430</v>
      </c>
      <c r="B82" s="40" t="s">
        <v>431</v>
      </c>
      <c r="C82" s="40" t="s">
        <v>432</v>
      </c>
      <c r="D82" s="40" t="s">
        <v>433</v>
      </c>
      <c r="E82" s="63"/>
      <c r="G82" s="224" t="s">
        <v>22</v>
      </c>
    </row>
    <row r="83" spans="1:7">
      <c r="A83" s="81" t="s">
        <v>434</v>
      </c>
      <c r="B83" s="40" t="s">
        <v>435</v>
      </c>
      <c r="C83" s="40" t="s">
        <v>436</v>
      </c>
      <c r="D83" s="40" t="s">
        <v>437</v>
      </c>
      <c r="E83" s="63"/>
      <c r="G83" s="224" t="s">
        <v>23</v>
      </c>
    </row>
    <row r="84" spans="1:7">
      <c r="A84" s="81" t="s">
        <v>438</v>
      </c>
      <c r="B84" s="40" t="s">
        <v>439</v>
      </c>
      <c r="C84" s="40" t="s">
        <v>440</v>
      </c>
      <c r="D84" s="40" t="s">
        <v>441</v>
      </c>
      <c r="E84" s="63"/>
      <c r="G84" s="224" t="s">
        <v>24</v>
      </c>
    </row>
    <row r="85" spans="1:7">
      <c r="A85" s="81" t="s">
        <v>442</v>
      </c>
      <c r="B85" s="40" t="s">
        <v>443</v>
      </c>
      <c r="C85" s="129" t="s">
        <v>444</v>
      </c>
      <c r="D85" s="129" t="s">
        <v>445</v>
      </c>
      <c r="E85" s="63"/>
      <c r="G85" s="224" t="s">
        <v>25</v>
      </c>
    </row>
    <row r="86" spans="1:7">
      <c r="A86" s="81" t="s">
        <v>26</v>
      </c>
      <c r="B86" s="40" t="s">
        <v>446</v>
      </c>
      <c r="C86" s="40" t="s">
        <v>447</v>
      </c>
      <c r="D86" s="40"/>
      <c r="E86" s="63"/>
      <c r="G86" s="224" t="s">
        <v>26</v>
      </c>
    </row>
    <row r="87" spans="1:7">
      <c r="A87" s="81" t="s">
        <v>27</v>
      </c>
      <c r="B87" s="40" t="s">
        <v>448</v>
      </c>
      <c r="C87" s="129" t="s">
        <v>449</v>
      </c>
      <c r="D87" s="129" t="s">
        <v>450</v>
      </c>
      <c r="E87" s="63"/>
      <c r="G87" s="224" t="s">
        <v>27</v>
      </c>
    </row>
    <row r="88" spans="1:7">
      <c r="A88" s="81" t="s">
        <v>28</v>
      </c>
      <c r="B88" s="40" t="s">
        <v>126</v>
      </c>
      <c r="C88" s="129" t="s">
        <v>451</v>
      </c>
      <c r="D88" s="129" t="s">
        <v>452</v>
      </c>
      <c r="E88" s="63"/>
      <c r="G88" s="224" t="s">
        <v>28</v>
      </c>
    </row>
    <row r="89" spans="1:7">
      <c r="A89" s="81" t="s">
        <v>41</v>
      </c>
      <c r="B89" s="40" t="s">
        <v>139</v>
      </c>
      <c r="C89" s="40" t="s">
        <v>453</v>
      </c>
      <c r="D89" s="40" t="s">
        <v>357</v>
      </c>
      <c r="E89" s="62"/>
      <c r="F89" s="44" t="s">
        <v>276</v>
      </c>
    </row>
    <row r="90" spans="1:7">
      <c r="A90" s="81" t="s">
        <v>29</v>
      </c>
      <c r="B90" s="40" t="s">
        <v>454</v>
      </c>
      <c r="C90" s="40" t="s">
        <v>455</v>
      </c>
      <c r="D90" s="40"/>
      <c r="E90" s="63"/>
      <c r="G90" s="224" t="s">
        <v>29</v>
      </c>
    </row>
    <row r="91" spans="1:7">
      <c r="A91" s="80"/>
      <c r="B91" s="40"/>
      <c r="C91" s="40"/>
      <c r="D91" s="40"/>
      <c r="E91" s="64"/>
    </row>
    <row r="92" spans="1:7">
      <c r="A92" s="81" t="s">
        <v>459</v>
      </c>
      <c r="B92" s="40" t="s">
        <v>460</v>
      </c>
      <c r="C92" s="40" t="s">
        <v>460</v>
      </c>
      <c r="D92" s="40" t="s">
        <v>461</v>
      </c>
      <c r="E92" s="63"/>
      <c r="G92" s="224" t="s">
        <v>55</v>
      </c>
    </row>
    <row r="93" spans="1:7">
      <c r="A93" s="80"/>
      <c r="B93" s="40"/>
      <c r="C93" s="40"/>
      <c r="D93" s="40"/>
      <c r="E93" s="69"/>
    </row>
    <row r="94" spans="1:7">
      <c r="A94" s="80"/>
      <c r="B94" s="40"/>
      <c r="C94" s="40"/>
      <c r="D94" s="40"/>
      <c r="E94" s="64"/>
    </row>
    <row r="95" spans="1:7">
      <c r="A95" s="80"/>
      <c r="B95" s="43" t="s">
        <v>462</v>
      </c>
      <c r="C95" s="43" t="s">
        <v>463</v>
      </c>
      <c r="D95" s="43"/>
      <c r="E95" s="286">
        <f>SUM(E96:E98)</f>
        <v>0</v>
      </c>
    </row>
    <row r="96" spans="1:7">
      <c r="A96" s="81" t="s">
        <v>464</v>
      </c>
      <c r="B96" s="40" t="s">
        <v>465</v>
      </c>
      <c r="C96" s="40" t="s">
        <v>466</v>
      </c>
      <c r="D96" s="40" t="s">
        <v>357</v>
      </c>
      <c r="E96" s="62"/>
      <c r="F96" s="44" t="s">
        <v>276</v>
      </c>
    </row>
    <row r="97" spans="1:7">
      <c r="A97" s="80"/>
      <c r="B97" s="40"/>
      <c r="C97" s="40"/>
      <c r="D97" s="40"/>
      <c r="E97" s="69"/>
    </row>
    <row r="98" spans="1:7">
      <c r="A98" s="80"/>
      <c r="B98" s="40"/>
      <c r="C98" s="40"/>
      <c r="D98" s="40"/>
      <c r="E98" s="64"/>
    </row>
    <row r="99" spans="1:7">
      <c r="A99" s="80"/>
      <c r="B99" s="43" t="s">
        <v>693</v>
      </c>
      <c r="C99" s="43" t="s">
        <v>467</v>
      </c>
      <c r="D99" s="43"/>
      <c r="E99" s="343">
        <f>SUM(E100:E108)</f>
        <v>0</v>
      </c>
    </row>
    <row r="100" spans="1:7" ht="28.5">
      <c r="A100" s="81" t="s">
        <v>468</v>
      </c>
      <c r="B100" s="40" t="s">
        <v>469</v>
      </c>
      <c r="C100" s="40" t="s">
        <v>469</v>
      </c>
      <c r="D100" s="40" t="s">
        <v>470</v>
      </c>
      <c r="E100" s="344"/>
      <c r="F100" s="47" t="s">
        <v>708</v>
      </c>
      <c r="G100" s="260" t="s">
        <v>169</v>
      </c>
    </row>
    <row r="101" spans="1:7" ht="28.5">
      <c r="A101" s="81" t="s">
        <v>471</v>
      </c>
      <c r="B101" s="40" t="s">
        <v>472</v>
      </c>
      <c r="C101" s="40" t="s">
        <v>472</v>
      </c>
      <c r="D101" s="40" t="s">
        <v>470</v>
      </c>
      <c r="E101" s="344"/>
      <c r="F101" s="47" t="s">
        <v>708</v>
      </c>
      <c r="G101" s="260" t="s">
        <v>170</v>
      </c>
    </row>
    <row r="102" spans="1:7" ht="28.5">
      <c r="A102" s="81" t="s">
        <v>473</v>
      </c>
      <c r="B102" s="40" t="s">
        <v>474</v>
      </c>
      <c r="C102" s="40" t="s">
        <v>474</v>
      </c>
      <c r="D102" s="40" t="s">
        <v>470</v>
      </c>
      <c r="E102" s="344"/>
      <c r="F102" s="47" t="s">
        <v>708</v>
      </c>
      <c r="G102" s="260" t="s">
        <v>171</v>
      </c>
    </row>
    <row r="103" spans="1:7" ht="28.5">
      <c r="A103" s="81" t="s">
        <v>475</v>
      </c>
      <c r="B103" s="40" t="s">
        <v>476</v>
      </c>
      <c r="C103" s="40" t="s">
        <v>476</v>
      </c>
      <c r="D103" s="40" t="s">
        <v>470</v>
      </c>
      <c r="E103" s="344"/>
      <c r="F103" s="47" t="s">
        <v>708</v>
      </c>
      <c r="G103" s="260" t="s">
        <v>172</v>
      </c>
    </row>
    <row r="104" spans="1:7" ht="28.5">
      <c r="A104" s="81" t="s">
        <v>477</v>
      </c>
      <c r="B104" s="40" t="s">
        <v>478</v>
      </c>
      <c r="C104" s="40" t="s">
        <v>478</v>
      </c>
      <c r="D104" s="40" t="s">
        <v>470</v>
      </c>
      <c r="E104" s="344"/>
      <c r="F104" s="47" t="s">
        <v>708</v>
      </c>
      <c r="G104" s="260" t="s">
        <v>173</v>
      </c>
    </row>
    <row r="105" spans="1:7" ht="28.5">
      <c r="A105" s="81" t="s">
        <v>479</v>
      </c>
      <c r="B105" s="40" t="s">
        <v>480</v>
      </c>
      <c r="C105" s="40" t="s">
        <v>480</v>
      </c>
      <c r="D105" s="40" t="s">
        <v>470</v>
      </c>
      <c r="E105" s="344"/>
      <c r="F105" s="47" t="s">
        <v>708</v>
      </c>
      <c r="G105" s="260" t="s">
        <v>174</v>
      </c>
    </row>
    <row r="106" spans="1:7" ht="28.5">
      <c r="A106" s="81" t="s">
        <v>481</v>
      </c>
      <c r="B106" s="40" t="s">
        <v>482</v>
      </c>
      <c r="C106" s="40" t="s">
        <v>482</v>
      </c>
      <c r="D106" s="40" t="s">
        <v>470</v>
      </c>
      <c r="E106" s="344"/>
      <c r="F106" s="47" t="s">
        <v>708</v>
      </c>
      <c r="G106" s="260" t="s">
        <v>175</v>
      </c>
    </row>
    <row r="107" spans="1:7" ht="28.5">
      <c r="A107" s="81" t="s">
        <v>483</v>
      </c>
      <c r="B107" s="40" t="s">
        <v>484</v>
      </c>
      <c r="C107" s="40" t="s">
        <v>484</v>
      </c>
      <c r="D107" s="40" t="s">
        <v>470</v>
      </c>
      <c r="E107" s="344"/>
      <c r="F107" s="47" t="s">
        <v>708</v>
      </c>
      <c r="G107" s="260" t="s">
        <v>176</v>
      </c>
    </row>
    <row r="108" spans="1:7">
      <c r="A108" s="81" t="s">
        <v>485</v>
      </c>
      <c r="B108" s="129" t="s">
        <v>486</v>
      </c>
      <c r="C108" s="129" t="s">
        <v>486</v>
      </c>
      <c r="D108" s="129" t="s">
        <v>487</v>
      </c>
      <c r="E108" s="63"/>
      <c r="G108" s="224" t="s">
        <v>57</v>
      </c>
    </row>
    <row r="109" spans="1:7">
      <c r="A109" s="80"/>
      <c r="B109" s="40"/>
      <c r="C109" s="40"/>
      <c r="D109" s="40"/>
      <c r="E109" s="64"/>
    </row>
    <row r="110" spans="1:7">
      <c r="A110" s="80"/>
      <c r="B110" s="40"/>
      <c r="C110" s="40"/>
      <c r="D110" s="40"/>
      <c r="E110" s="64"/>
    </row>
    <row r="111" spans="1:7">
      <c r="A111" s="80"/>
      <c r="B111" s="43" t="s">
        <v>488</v>
      </c>
      <c r="C111" s="43" t="s">
        <v>489</v>
      </c>
      <c r="D111" s="43"/>
      <c r="E111" s="286">
        <f>SUM(E112:E113)</f>
        <v>0</v>
      </c>
    </row>
    <row r="112" spans="1:7">
      <c r="A112" s="81" t="s">
        <v>490</v>
      </c>
      <c r="B112" s="40" t="s">
        <v>491</v>
      </c>
      <c r="C112" s="40" t="s">
        <v>491</v>
      </c>
      <c r="D112" s="40" t="s">
        <v>492</v>
      </c>
      <c r="E112" s="62"/>
      <c r="F112" s="44" t="s">
        <v>276</v>
      </c>
    </row>
    <row r="113" spans="1:7">
      <c r="A113" s="81" t="s">
        <v>493</v>
      </c>
      <c r="B113" s="129" t="s">
        <v>494</v>
      </c>
      <c r="C113" s="129" t="s">
        <v>495</v>
      </c>
      <c r="D113" s="129" t="s">
        <v>492</v>
      </c>
      <c r="E113" s="63"/>
      <c r="G113" s="224" t="s">
        <v>53</v>
      </c>
    </row>
    <row r="114" spans="1:7">
      <c r="A114" s="80"/>
      <c r="B114" s="40"/>
      <c r="C114" s="40"/>
      <c r="D114" s="40"/>
      <c r="E114" s="69"/>
    </row>
    <row r="115" spans="1:7">
      <c r="A115" s="80"/>
      <c r="B115" s="40"/>
      <c r="C115" s="40"/>
      <c r="D115" s="40"/>
      <c r="E115" s="69"/>
    </row>
    <row r="116" spans="1:7">
      <c r="A116" s="80"/>
      <c r="B116" s="40"/>
      <c r="C116" s="40"/>
      <c r="D116" s="40"/>
      <c r="E116" s="64"/>
    </row>
    <row r="117" spans="1:7">
      <c r="A117" s="80"/>
      <c r="B117" s="40"/>
      <c r="C117" s="40"/>
      <c r="D117" s="40"/>
      <c r="E117" s="64"/>
    </row>
    <row r="118" spans="1:7">
      <c r="A118" s="80"/>
      <c r="B118" s="40"/>
      <c r="C118" s="40"/>
      <c r="D118" s="40"/>
      <c r="E118" s="69"/>
    </row>
    <row r="119" spans="1:7" ht="15" thickBot="1">
      <c r="A119" s="82"/>
      <c r="B119" s="66"/>
      <c r="C119" s="66"/>
      <c r="D119" s="66"/>
      <c r="E119" s="71"/>
    </row>
    <row r="120" spans="1:7" ht="15.5">
      <c r="A120" s="342" t="s">
        <v>743</v>
      </c>
      <c r="B120" s="128" t="s">
        <v>499</v>
      </c>
    </row>
    <row r="121" spans="1:7">
      <c r="A121" s="127" t="s">
        <v>500</v>
      </c>
      <c r="B121" s="127" t="s">
        <v>500</v>
      </c>
      <c r="F121"/>
    </row>
    <row r="122" spans="1:7">
      <c r="A122" s="127" t="s">
        <v>501</v>
      </c>
      <c r="B122" s="127" t="s">
        <v>501</v>
      </c>
      <c r="F122"/>
    </row>
    <row r="123" spans="1:7">
      <c r="A123" s="127" t="s">
        <v>502</v>
      </c>
      <c r="B123" s="127" t="s">
        <v>502</v>
      </c>
      <c r="F123"/>
    </row>
    <row r="124" spans="1:7">
      <c r="A124" s="127" t="s">
        <v>503</v>
      </c>
      <c r="B124" s="127" t="s">
        <v>503</v>
      </c>
      <c r="F124"/>
    </row>
    <row r="125" spans="1:7">
      <c r="A125" s="127" t="s">
        <v>504</v>
      </c>
      <c r="B125" s="127" t="s">
        <v>504</v>
      </c>
      <c r="F125"/>
    </row>
    <row r="126" spans="1:7">
      <c r="A126" s="127" t="s">
        <v>505</v>
      </c>
      <c r="B126" s="127" t="s">
        <v>505</v>
      </c>
      <c r="F126"/>
    </row>
    <row r="127" spans="1:7">
      <c r="A127" s="127" t="s">
        <v>506</v>
      </c>
      <c r="B127" s="127" t="s">
        <v>506</v>
      </c>
      <c r="F127"/>
    </row>
    <row r="128" spans="1:7">
      <c r="A128" s="127" t="s">
        <v>507</v>
      </c>
      <c r="B128" s="127" t="s">
        <v>507</v>
      </c>
      <c r="F128"/>
    </row>
    <row r="129" spans="1:6">
      <c r="A129" s="127" t="s">
        <v>508</v>
      </c>
      <c r="B129" s="127" t="s">
        <v>508</v>
      </c>
      <c r="F129"/>
    </row>
    <row r="130" spans="1:6">
      <c r="A130" s="127" t="s">
        <v>509</v>
      </c>
      <c r="B130" s="127" t="s">
        <v>509</v>
      </c>
      <c r="F130"/>
    </row>
    <row r="131" spans="1:6">
      <c r="A131" s="127" t="s">
        <v>510</v>
      </c>
      <c r="B131" s="127" t="s">
        <v>510</v>
      </c>
      <c r="F131"/>
    </row>
    <row r="132" spans="1:6">
      <c r="A132" s="127" t="s">
        <v>511</v>
      </c>
      <c r="B132" s="127" t="s">
        <v>511</v>
      </c>
      <c r="F132"/>
    </row>
    <row r="133" spans="1:6">
      <c r="A133" s="127" t="s">
        <v>512</v>
      </c>
      <c r="B133" s="127" t="s">
        <v>512</v>
      </c>
      <c r="F133"/>
    </row>
    <row r="134" spans="1:6">
      <c r="A134" s="127" t="s">
        <v>513</v>
      </c>
      <c r="B134" s="127" t="s">
        <v>513</v>
      </c>
      <c r="F134"/>
    </row>
    <row r="135" spans="1:6">
      <c r="A135" s="127" t="s">
        <v>514</v>
      </c>
      <c r="B135" s="127" t="s">
        <v>514</v>
      </c>
      <c r="F135"/>
    </row>
    <row r="136" spans="1:6">
      <c r="A136" s="127" t="s">
        <v>515</v>
      </c>
      <c r="B136" s="127" t="s">
        <v>515</v>
      </c>
      <c r="F136"/>
    </row>
    <row r="137" spans="1:6">
      <c r="A137" s="127" t="s">
        <v>516</v>
      </c>
      <c r="B137" s="127" t="s">
        <v>516</v>
      </c>
      <c r="F137"/>
    </row>
    <row r="138" spans="1:6">
      <c r="A138" s="127" t="s">
        <v>517</v>
      </c>
      <c r="B138" s="127" t="s">
        <v>517</v>
      </c>
      <c r="F138"/>
    </row>
    <row r="139" spans="1:6">
      <c r="A139" s="127" t="s">
        <v>518</v>
      </c>
      <c r="B139" s="127" t="s">
        <v>518</v>
      </c>
      <c r="F139"/>
    </row>
    <row r="140" spans="1:6">
      <c r="A140" s="127" t="s">
        <v>519</v>
      </c>
      <c r="B140" s="127" t="s">
        <v>519</v>
      </c>
      <c r="F140"/>
    </row>
    <row r="142" spans="1:6" ht="15.5">
      <c r="A142" s="164" t="s">
        <v>520</v>
      </c>
      <c r="B142" s="163" t="s">
        <v>521</v>
      </c>
    </row>
    <row r="143" spans="1:6">
      <c r="A143" s="130" t="s">
        <v>522</v>
      </c>
      <c r="B143" s="165" t="s">
        <v>523</v>
      </c>
    </row>
    <row r="144" spans="1:6">
      <c r="A144" s="130" t="s">
        <v>524</v>
      </c>
      <c r="B144" s="165" t="s">
        <v>525</v>
      </c>
    </row>
    <row r="145" spans="1:2">
      <c r="A145" s="130" t="s">
        <v>526</v>
      </c>
      <c r="B145" s="165" t="s">
        <v>527</v>
      </c>
    </row>
    <row r="146" spans="1:2">
      <c r="A146" s="130" t="s">
        <v>528</v>
      </c>
      <c r="B146" s="165" t="s">
        <v>529</v>
      </c>
    </row>
    <row r="147" spans="1:2">
      <c r="A147" s="130" t="s">
        <v>530</v>
      </c>
      <c r="B147" s="165" t="s">
        <v>531</v>
      </c>
    </row>
    <row r="148" spans="1:2">
      <c r="A148" s="130" t="s">
        <v>532</v>
      </c>
      <c r="B148" s="165" t="s">
        <v>533</v>
      </c>
    </row>
    <row r="149" spans="1:2">
      <c r="A149" s="130" t="s">
        <v>534</v>
      </c>
      <c r="B149" s="165" t="s">
        <v>687</v>
      </c>
    </row>
    <row r="150" spans="1:2">
      <c r="A150" s="130" t="s">
        <v>536</v>
      </c>
      <c r="B150" s="165" t="s">
        <v>537</v>
      </c>
    </row>
    <row r="151" spans="1:2">
      <c r="A151" s="130" t="s">
        <v>538</v>
      </c>
      <c r="B151" s="165" t="s">
        <v>539</v>
      </c>
    </row>
    <row r="152" spans="1:2">
      <c r="A152" s="130" t="s">
        <v>540</v>
      </c>
      <c r="B152" s="165" t="s">
        <v>541</v>
      </c>
    </row>
    <row r="153" spans="1:2">
      <c r="A153" s="130" t="s">
        <v>542</v>
      </c>
      <c r="B153" s="165" t="s">
        <v>543</v>
      </c>
    </row>
    <row r="154" spans="1:2">
      <c r="A154" s="130" t="s">
        <v>544</v>
      </c>
      <c r="B154" s="165" t="s">
        <v>545</v>
      </c>
    </row>
    <row r="155" spans="1:2">
      <c r="A155" s="130" t="s">
        <v>546</v>
      </c>
      <c r="B155" s="165" t="s">
        <v>547</v>
      </c>
    </row>
    <row r="156" spans="1:2">
      <c r="A156" s="130" t="s">
        <v>548</v>
      </c>
      <c r="B156" s="165" t="s">
        <v>549</v>
      </c>
    </row>
    <row r="157" spans="1:2">
      <c r="A157" s="130" t="s">
        <v>550</v>
      </c>
      <c r="B157" s="165" t="s">
        <v>551</v>
      </c>
    </row>
    <row r="158" spans="1:2">
      <c r="A158" s="130" t="s">
        <v>552</v>
      </c>
      <c r="B158" s="165" t="s">
        <v>553</v>
      </c>
    </row>
    <row r="159" spans="1:2">
      <c r="A159" s="130" t="s">
        <v>554</v>
      </c>
      <c r="B159" s="165" t="s">
        <v>555</v>
      </c>
    </row>
    <row r="160" spans="1:2">
      <c r="A160" s="130" t="s">
        <v>556</v>
      </c>
      <c r="B160" s="165" t="s">
        <v>557</v>
      </c>
    </row>
    <row r="161" spans="1:2">
      <c r="A161" s="130" t="s">
        <v>558</v>
      </c>
      <c r="B161" s="165" t="s">
        <v>559</v>
      </c>
    </row>
    <row r="162" spans="1:2">
      <c r="A162" s="130" t="s">
        <v>560</v>
      </c>
      <c r="B162" s="165" t="s">
        <v>561</v>
      </c>
    </row>
    <row r="163" spans="1:2">
      <c r="A163" s="130" t="s">
        <v>562</v>
      </c>
      <c r="B163" s="165" t="s">
        <v>563</v>
      </c>
    </row>
    <row r="164" spans="1:2">
      <c r="A164" s="130" t="s">
        <v>564</v>
      </c>
      <c r="B164" s="165" t="s">
        <v>565</v>
      </c>
    </row>
    <row r="165" spans="1:2">
      <c r="A165" s="130" t="s">
        <v>566</v>
      </c>
      <c r="B165" s="165" t="s">
        <v>567</v>
      </c>
    </row>
    <row r="166" spans="1:2">
      <c r="A166" s="130" t="s">
        <v>568</v>
      </c>
      <c r="B166" s="165" t="s">
        <v>569</v>
      </c>
    </row>
    <row r="167" spans="1:2">
      <c r="A167" s="130" t="s">
        <v>570</v>
      </c>
      <c r="B167" s="165" t="s">
        <v>571</v>
      </c>
    </row>
    <row r="168" spans="1:2">
      <c r="A168" s="130" t="s">
        <v>572</v>
      </c>
      <c r="B168" s="165" t="s">
        <v>573</v>
      </c>
    </row>
    <row r="169" spans="1:2">
      <c r="A169" s="130" t="s">
        <v>574</v>
      </c>
      <c r="B169" s="165" t="s">
        <v>575</v>
      </c>
    </row>
    <row r="170" spans="1:2">
      <c r="A170" s="130" t="s">
        <v>576</v>
      </c>
      <c r="B170" s="165" t="s">
        <v>577</v>
      </c>
    </row>
    <row r="171" spans="1:2">
      <c r="A171" s="130" t="s">
        <v>578</v>
      </c>
      <c r="B171" s="165" t="s">
        <v>579</v>
      </c>
    </row>
    <row r="172" spans="1:2">
      <c r="A172" s="130" t="s">
        <v>580</v>
      </c>
      <c r="B172" s="165" t="s">
        <v>581</v>
      </c>
    </row>
    <row r="173" spans="1:2">
      <c r="A173" s="130" t="s">
        <v>582</v>
      </c>
      <c r="B173" s="165" t="s">
        <v>583</v>
      </c>
    </row>
    <row r="174" spans="1:2">
      <c r="A174" s="130" t="s">
        <v>584</v>
      </c>
      <c r="B174" s="165" t="s">
        <v>585</v>
      </c>
    </row>
    <row r="175" spans="1:2">
      <c r="A175" s="130" t="s">
        <v>586</v>
      </c>
      <c r="B175" s="165" t="s">
        <v>587</v>
      </c>
    </row>
    <row r="176" spans="1:2">
      <c r="A176" s="130" t="s">
        <v>588</v>
      </c>
      <c r="B176" s="165" t="s">
        <v>589</v>
      </c>
    </row>
    <row r="177" spans="1:2">
      <c r="A177" s="130" t="s">
        <v>590</v>
      </c>
      <c r="B177" s="165" t="s">
        <v>591</v>
      </c>
    </row>
    <row r="178" spans="1:2">
      <c r="A178" s="130" t="s">
        <v>592</v>
      </c>
      <c r="B178" s="165" t="s">
        <v>593</v>
      </c>
    </row>
    <row r="179" spans="1:2">
      <c r="A179" s="130" t="s">
        <v>594</v>
      </c>
      <c r="B179" s="165" t="s">
        <v>595</v>
      </c>
    </row>
    <row r="180" spans="1:2">
      <c r="A180" s="130" t="s">
        <v>596</v>
      </c>
      <c r="B180" s="165" t="s">
        <v>597</v>
      </c>
    </row>
    <row r="181" spans="1:2">
      <c r="A181" s="130" t="s">
        <v>598</v>
      </c>
      <c r="B181" s="165" t="s">
        <v>599</v>
      </c>
    </row>
    <row r="182" spans="1:2">
      <c r="A182" s="130" t="s">
        <v>600</v>
      </c>
      <c r="B182" s="165" t="s">
        <v>601</v>
      </c>
    </row>
    <row r="183" spans="1:2">
      <c r="A183" s="130" t="s">
        <v>602</v>
      </c>
      <c r="B183" s="165" t="s">
        <v>603</v>
      </c>
    </row>
    <row r="184" spans="1:2">
      <c r="A184" s="130" t="s">
        <v>604</v>
      </c>
      <c r="B184" s="165" t="s">
        <v>605</v>
      </c>
    </row>
    <row r="185" spans="1:2">
      <c r="A185" s="130" t="s">
        <v>606</v>
      </c>
      <c r="B185" s="165" t="s">
        <v>607</v>
      </c>
    </row>
    <row r="186" spans="1:2">
      <c r="A186" s="130" t="s">
        <v>608</v>
      </c>
      <c r="B186" s="165" t="s">
        <v>609</v>
      </c>
    </row>
    <row r="187" spans="1:2">
      <c r="A187" s="130" t="s">
        <v>610</v>
      </c>
      <c r="B187" s="165" t="s">
        <v>611</v>
      </c>
    </row>
    <row r="188" spans="1:2">
      <c r="A188" s="130" t="s">
        <v>612</v>
      </c>
      <c r="B188" s="165" t="s">
        <v>613</v>
      </c>
    </row>
    <row r="189" spans="1:2">
      <c r="A189" s="130" t="s">
        <v>614</v>
      </c>
      <c r="B189" s="165" t="s">
        <v>688</v>
      </c>
    </row>
    <row r="190" spans="1:2">
      <c r="A190" s="130" t="s">
        <v>616</v>
      </c>
      <c r="B190" s="165" t="s">
        <v>617</v>
      </c>
    </row>
    <row r="191" spans="1:2">
      <c r="A191" s="130" t="s">
        <v>618</v>
      </c>
      <c r="B191" s="165" t="s">
        <v>619</v>
      </c>
    </row>
    <row r="192" spans="1:2">
      <c r="A192" s="130" t="s">
        <v>620</v>
      </c>
      <c r="B192" s="165" t="s">
        <v>621</v>
      </c>
    </row>
    <row r="193" spans="1:2">
      <c r="A193" s="130" t="s">
        <v>622</v>
      </c>
      <c r="B193" s="165" t="s">
        <v>623</v>
      </c>
    </row>
    <row r="194" spans="1:2">
      <c r="A194" s="130" t="s">
        <v>624</v>
      </c>
      <c r="B194" s="165" t="s">
        <v>625</v>
      </c>
    </row>
    <row r="195" spans="1:2">
      <c r="A195" s="130" t="s">
        <v>626</v>
      </c>
      <c r="B195" s="165" t="s">
        <v>627</v>
      </c>
    </row>
    <row r="196" spans="1:2">
      <c r="A196" s="130" t="s">
        <v>628</v>
      </c>
      <c r="B196" s="165" t="s">
        <v>629</v>
      </c>
    </row>
    <row r="197" spans="1:2">
      <c r="A197" s="130" t="s">
        <v>630</v>
      </c>
      <c r="B197" s="165" t="s">
        <v>631</v>
      </c>
    </row>
    <row r="198" spans="1:2">
      <c r="A198" s="130" t="s">
        <v>632</v>
      </c>
      <c r="B198" s="165" t="s">
        <v>633</v>
      </c>
    </row>
    <row r="199" spans="1:2">
      <c r="A199" s="130" t="s">
        <v>634</v>
      </c>
      <c r="B199" s="165" t="s">
        <v>635</v>
      </c>
    </row>
    <row r="200" spans="1:2">
      <c r="A200" s="130" t="s">
        <v>636</v>
      </c>
      <c r="B200" s="165" t="s">
        <v>637</v>
      </c>
    </row>
    <row r="201" spans="1:2">
      <c r="A201" s="130" t="s">
        <v>638</v>
      </c>
      <c r="B201" s="165" t="s">
        <v>639</v>
      </c>
    </row>
    <row r="202" spans="1:2">
      <c r="A202" s="161"/>
      <c r="B202" s="162"/>
    </row>
    <row r="203" spans="1:2" ht="15.5">
      <c r="A203" s="164" t="s">
        <v>520</v>
      </c>
      <c r="B203" s="163" t="s">
        <v>640</v>
      </c>
    </row>
    <row r="204" spans="1:2">
      <c r="A204" s="130" t="s">
        <v>641</v>
      </c>
      <c r="B204" s="165" t="s">
        <v>642</v>
      </c>
    </row>
    <row r="205" spans="1:2">
      <c r="A205" s="130" t="s">
        <v>643</v>
      </c>
      <c r="B205" s="165" t="s">
        <v>644</v>
      </c>
    </row>
    <row r="206" spans="1:2">
      <c r="A206" s="130" t="s">
        <v>645</v>
      </c>
      <c r="B206" s="165" t="s">
        <v>646</v>
      </c>
    </row>
    <row r="207" spans="1:2">
      <c r="A207" s="130" t="s">
        <v>647</v>
      </c>
      <c r="B207" s="165" t="s">
        <v>648</v>
      </c>
    </row>
    <row r="208" spans="1:2">
      <c r="A208" s="130" t="s">
        <v>649</v>
      </c>
      <c r="B208" s="165" t="s">
        <v>650</v>
      </c>
    </row>
    <row r="209" spans="1:2">
      <c r="A209" s="130" t="s">
        <v>651</v>
      </c>
      <c r="B209" s="165" t="s">
        <v>652</v>
      </c>
    </row>
    <row r="210" spans="1:2">
      <c r="A210" s="130" t="s">
        <v>653</v>
      </c>
      <c r="B210" s="165" t="s">
        <v>654</v>
      </c>
    </row>
    <row r="211" spans="1:2">
      <c r="A211" s="130" t="s">
        <v>655</v>
      </c>
      <c r="B211" s="165" t="s">
        <v>656</v>
      </c>
    </row>
    <row r="212" spans="1:2">
      <c r="A212" s="130" t="s">
        <v>657</v>
      </c>
      <c r="B212" s="165" t="s">
        <v>658</v>
      </c>
    </row>
    <row r="213" spans="1:2">
      <c r="A213" s="130" t="s">
        <v>659</v>
      </c>
      <c r="B213" s="165" t="s">
        <v>660</v>
      </c>
    </row>
    <row r="214" spans="1:2">
      <c r="A214" s="130" t="s">
        <v>661</v>
      </c>
      <c r="B214" s="165" t="s">
        <v>662</v>
      </c>
    </row>
    <row r="215" spans="1:2">
      <c r="A215" s="130" t="s">
        <v>663</v>
      </c>
      <c r="B215" s="165" t="s">
        <v>664</v>
      </c>
    </row>
    <row r="216" spans="1:2">
      <c r="A216" s="130" t="s">
        <v>665</v>
      </c>
      <c r="B216" s="165" t="s">
        <v>666</v>
      </c>
    </row>
    <row r="217" spans="1:2">
      <c r="A217" s="130" t="s">
        <v>667</v>
      </c>
      <c r="B217" s="165" t="s">
        <v>668</v>
      </c>
    </row>
    <row r="218" spans="1:2">
      <c r="A218" s="130" t="s">
        <v>669</v>
      </c>
      <c r="B218" s="165" t="s">
        <v>670</v>
      </c>
    </row>
    <row r="219" spans="1:2">
      <c r="A219" s="130" t="s">
        <v>671</v>
      </c>
      <c r="B219" s="165" t="s">
        <v>672</v>
      </c>
    </row>
    <row r="220" spans="1:2">
      <c r="A220" s="130" t="s">
        <v>673</v>
      </c>
      <c r="B220" s="165" t="s">
        <v>674</v>
      </c>
    </row>
    <row r="221" spans="1:2">
      <c r="A221" s="130" t="s">
        <v>675</v>
      </c>
      <c r="B221" s="165" t="s">
        <v>676</v>
      </c>
    </row>
    <row r="222" spans="1:2">
      <c r="A222" s="130" t="s">
        <v>677</v>
      </c>
      <c r="B222" s="165" t="s">
        <v>678</v>
      </c>
    </row>
    <row r="223" spans="1:2">
      <c r="A223" s="130" t="s">
        <v>679</v>
      </c>
      <c r="B223" s="165" t="s">
        <v>680</v>
      </c>
    </row>
    <row r="224" spans="1:2">
      <c r="A224" s="130" t="s">
        <v>681</v>
      </c>
      <c r="B224" s="165" t="s">
        <v>682</v>
      </c>
    </row>
    <row r="225" spans="1:2">
      <c r="A225" s="130" t="s">
        <v>683</v>
      </c>
      <c r="B225" s="165" t="s">
        <v>684</v>
      </c>
    </row>
    <row r="226" spans="1:2">
      <c r="A226" s="130" t="s">
        <v>685</v>
      </c>
      <c r="B226" s="165" t="s">
        <v>686</v>
      </c>
    </row>
  </sheetData>
  <protectedRanges>
    <protectedRange sqref="C98" name="Bereich1_1" securityDescriptor="O:WDG:WDD:(A;;CC;;;S-1-5-21-1993962763-1035525444-682003330-214100)"/>
  </protectedRanges>
  <autoFilter ref="B2:E119" xr:uid="{051378E1-BED8-4353-996E-5B8E2CB1DBFC}"/>
  <phoneticPr fontId="21" type="noConversion"/>
  <conditionalFormatting sqref="E29">
    <cfRule type="cellIs" dxfId="78" priority="124" stopIfTrue="1" operator="lessThan">
      <formula>$E$33/35</formula>
    </cfRule>
  </conditionalFormatting>
  <conditionalFormatting sqref="B37:D38 C88:D89 B113:D113 D14 D23 B73 C102:C103 B64:D64 B18:B19">
    <cfRule type="expression" dxfId="77" priority="123">
      <formula>IF($E14&gt;0,TRUE)</formula>
    </cfRule>
  </conditionalFormatting>
  <conditionalFormatting sqref="B6:D6">
    <cfRule type="expression" dxfId="76" priority="120">
      <formula>IF($E6&gt;0,TRUE)</formula>
    </cfRule>
  </conditionalFormatting>
  <conditionalFormatting sqref="B13:D13">
    <cfRule type="expression" dxfId="75" priority="114">
      <formula>IF($E13&gt;0,TRUE)</formula>
    </cfRule>
  </conditionalFormatting>
  <conditionalFormatting sqref="C15:D15">
    <cfRule type="expression" dxfId="74" priority="112">
      <formula>IF($E15&gt;0,TRUE)</formula>
    </cfRule>
  </conditionalFormatting>
  <conditionalFormatting sqref="B22:D22">
    <cfRule type="expression" dxfId="73" priority="108">
      <formula>IF($E22&gt;0,TRUE)</formula>
    </cfRule>
  </conditionalFormatting>
  <conditionalFormatting sqref="B23:C23">
    <cfRule type="expression" dxfId="72" priority="107">
      <formula>IF($E23&gt;0,TRUE)</formula>
    </cfRule>
  </conditionalFormatting>
  <conditionalFormatting sqref="B24:D24">
    <cfRule type="expression" dxfId="71" priority="106">
      <formula>IF($E24&gt;0,TRUE)</formula>
    </cfRule>
  </conditionalFormatting>
  <conditionalFormatting sqref="B25:D25">
    <cfRule type="expression" dxfId="70" priority="105">
      <formula>IF($E25&gt;0,TRUE)</formula>
    </cfRule>
  </conditionalFormatting>
  <conditionalFormatting sqref="B26:D26">
    <cfRule type="expression" dxfId="69" priority="104">
      <formula>IF($E26&gt;0,TRUE)</formula>
    </cfRule>
  </conditionalFormatting>
  <conditionalFormatting sqref="B27:D27">
    <cfRule type="expression" dxfId="68" priority="103">
      <formula>IF($E27&gt;0,TRUE)</formula>
    </cfRule>
  </conditionalFormatting>
  <conditionalFormatting sqref="B28:D28">
    <cfRule type="expression" dxfId="67" priority="102">
      <formula>IF($E28&gt;0,TRUE)</formula>
    </cfRule>
  </conditionalFormatting>
  <conditionalFormatting sqref="B30:D30">
    <cfRule type="expression" dxfId="66" priority="101">
      <formula>IF($E30&gt;0,TRUE)</formula>
    </cfRule>
  </conditionalFormatting>
  <conditionalFormatting sqref="B32:D32">
    <cfRule type="expression" dxfId="65" priority="100">
      <formula>IF($E32&gt;0,TRUE)</formula>
    </cfRule>
  </conditionalFormatting>
  <conditionalFormatting sqref="B35:D35">
    <cfRule type="expression" dxfId="64" priority="99">
      <formula>IF($E35&gt;0,TRUE)</formula>
    </cfRule>
  </conditionalFormatting>
  <conditionalFormatting sqref="B40:D40">
    <cfRule type="expression" dxfId="63" priority="98">
      <formula>IF($E40&gt;0,TRUE)</formula>
    </cfRule>
  </conditionalFormatting>
  <conditionalFormatting sqref="B43:D43">
    <cfRule type="expression" dxfId="62" priority="97">
      <formula>IF($E43&gt;0,TRUE)</formula>
    </cfRule>
  </conditionalFormatting>
  <conditionalFormatting sqref="B44:D44">
    <cfRule type="expression" dxfId="61" priority="96">
      <formula>IF($E44&gt;0,TRUE)</formula>
    </cfRule>
  </conditionalFormatting>
  <conditionalFormatting sqref="B45:D45">
    <cfRule type="expression" dxfId="60" priority="95">
      <formula>IF($E45&gt;0,TRUE)</formula>
    </cfRule>
  </conditionalFormatting>
  <conditionalFormatting sqref="B49:D49">
    <cfRule type="expression" dxfId="59" priority="92">
      <formula>IF($E49&gt;0,TRUE)</formula>
    </cfRule>
  </conditionalFormatting>
  <conditionalFormatting sqref="B50:D50">
    <cfRule type="expression" dxfId="58" priority="91">
      <formula>IF($E50&gt;0,TRUE)</formula>
    </cfRule>
  </conditionalFormatting>
  <conditionalFormatting sqref="B56:D56">
    <cfRule type="expression" dxfId="57" priority="85">
      <formula>IF($E56&gt;0,TRUE)</formula>
    </cfRule>
  </conditionalFormatting>
  <conditionalFormatting sqref="B57:D57">
    <cfRule type="expression" dxfId="56" priority="82">
      <formula>IF($E57&gt;0,TRUE)</formula>
    </cfRule>
  </conditionalFormatting>
  <conditionalFormatting sqref="B59:D59">
    <cfRule type="expression" dxfId="55" priority="81">
      <formula>IF($E59&gt;0,TRUE)</formula>
    </cfRule>
  </conditionalFormatting>
  <conditionalFormatting sqref="B60:D60">
    <cfRule type="expression" dxfId="54" priority="80">
      <formula>IF($E60&gt;0,TRUE)</formula>
    </cfRule>
  </conditionalFormatting>
  <conditionalFormatting sqref="B62:D62">
    <cfRule type="expression" dxfId="53" priority="79">
      <formula>IF($E62&gt;0,TRUE)</formula>
    </cfRule>
  </conditionalFormatting>
  <conditionalFormatting sqref="B63:D63">
    <cfRule type="expression" dxfId="52" priority="78">
      <formula>IF($E63&gt;0,TRUE)</formula>
    </cfRule>
  </conditionalFormatting>
  <conditionalFormatting sqref="B65:D65">
    <cfRule type="expression" dxfId="51" priority="76">
      <formula>IF($E65&gt;0,TRUE)</formula>
    </cfRule>
  </conditionalFormatting>
  <conditionalFormatting sqref="B66:D66">
    <cfRule type="expression" dxfId="50" priority="75">
      <formula>IF($E66&gt;0,TRUE)</formula>
    </cfRule>
  </conditionalFormatting>
  <conditionalFormatting sqref="B67:D67">
    <cfRule type="expression" dxfId="49" priority="74">
      <formula>IF($E67&gt;0,TRUE)</formula>
    </cfRule>
  </conditionalFormatting>
  <conditionalFormatting sqref="B69:D69">
    <cfRule type="expression" dxfId="48" priority="71">
      <formula>IF($E69&gt;0,TRUE)</formula>
    </cfRule>
  </conditionalFormatting>
  <conditionalFormatting sqref="B70:D70">
    <cfRule type="expression" dxfId="47" priority="70">
      <formula>IF($E70&gt;0,TRUE)</formula>
    </cfRule>
  </conditionalFormatting>
  <conditionalFormatting sqref="C71:D71">
    <cfRule type="expression" dxfId="46" priority="69">
      <formula>IF($E71&gt;0,TRUE)</formula>
    </cfRule>
  </conditionalFormatting>
  <conditionalFormatting sqref="B72:D72">
    <cfRule type="expression" dxfId="45" priority="68">
      <formula>IF($E72&gt;0,TRUE)</formula>
    </cfRule>
  </conditionalFormatting>
  <conditionalFormatting sqref="C73:D73">
    <cfRule type="expression" dxfId="44" priority="67">
      <formula>IF($E73&gt;0,TRUE)</formula>
    </cfRule>
  </conditionalFormatting>
  <conditionalFormatting sqref="B74:D74">
    <cfRule type="expression" dxfId="43" priority="66">
      <formula>IF($E74&gt;0,TRUE)</formula>
    </cfRule>
  </conditionalFormatting>
  <conditionalFormatting sqref="B75:D75">
    <cfRule type="expression" dxfId="42" priority="65">
      <formula>IF($E75&gt;0,TRUE)</formula>
    </cfRule>
  </conditionalFormatting>
  <conditionalFormatting sqref="B76:D76">
    <cfRule type="expression" dxfId="41" priority="64">
      <formula>IF($E76&gt;0,TRUE)</formula>
    </cfRule>
  </conditionalFormatting>
  <conditionalFormatting sqref="B77:D77">
    <cfRule type="expression" dxfId="40" priority="63">
      <formula>IF($E77&gt;0,TRUE)</formula>
    </cfRule>
  </conditionalFormatting>
  <conditionalFormatting sqref="C84:D84">
    <cfRule type="expression" dxfId="39" priority="62">
      <formula>IF($E84&gt;0,TRUE)</formula>
    </cfRule>
  </conditionalFormatting>
  <conditionalFormatting sqref="C85:D85">
    <cfRule type="expression" dxfId="38" priority="61">
      <formula>IF($E85&gt;0,TRUE)</formula>
    </cfRule>
  </conditionalFormatting>
  <conditionalFormatting sqref="C86:D86">
    <cfRule type="expression" dxfId="37" priority="60">
      <formula>IF($E86&gt;0,TRUE)</formula>
    </cfRule>
  </conditionalFormatting>
  <conditionalFormatting sqref="C87:D87">
    <cfRule type="expression" dxfId="36" priority="59">
      <formula>IF($E87&gt;0,TRUE)</formula>
    </cfRule>
  </conditionalFormatting>
  <conditionalFormatting sqref="B91:D91">
    <cfRule type="expression" dxfId="35" priority="58">
      <formula>IF($E91&gt;0,TRUE)</formula>
    </cfRule>
  </conditionalFormatting>
  <conditionalFormatting sqref="B96:D96">
    <cfRule type="expression" dxfId="34" priority="57">
      <formula>IF($E96&gt;0,TRUE)</formula>
    </cfRule>
  </conditionalFormatting>
  <conditionalFormatting sqref="B98:D98">
    <cfRule type="expression" dxfId="33" priority="54">
      <formula>IF($E98&gt;0,TRUE)</formula>
    </cfRule>
  </conditionalFormatting>
  <conditionalFormatting sqref="B100:D100">
    <cfRule type="expression" dxfId="32" priority="52">
      <formula>IF($E100&gt;0,TRUE)</formula>
    </cfRule>
  </conditionalFormatting>
  <conditionalFormatting sqref="C101:D101">
    <cfRule type="expression" dxfId="31" priority="51">
      <formula>IF($E101&gt;0,TRUE)</formula>
    </cfRule>
  </conditionalFormatting>
  <conditionalFormatting sqref="D102">
    <cfRule type="expression" dxfId="30" priority="50">
      <formula>IF($E102&gt;0,TRUE)</formula>
    </cfRule>
  </conditionalFormatting>
  <conditionalFormatting sqref="B105:D105">
    <cfRule type="expression" dxfId="29" priority="49">
      <formula>IF($E105&gt;0,TRUE)</formula>
    </cfRule>
  </conditionalFormatting>
  <conditionalFormatting sqref="B106:D106">
    <cfRule type="expression" dxfId="28" priority="48">
      <formula>IF($E106&gt;0,TRUE)</formula>
    </cfRule>
  </conditionalFormatting>
  <conditionalFormatting sqref="B108:D108">
    <cfRule type="expression" dxfId="27" priority="47">
      <formula>IF($E108&gt;0,TRUE)</formula>
    </cfRule>
  </conditionalFormatting>
  <conditionalFormatting sqref="B112:D112">
    <cfRule type="expression" dxfId="26" priority="46">
      <formula>IF($E112&gt;0,TRUE)</formula>
    </cfRule>
  </conditionalFormatting>
  <conditionalFormatting sqref="C118:D118">
    <cfRule type="expression" dxfId="25" priority="44">
      <formula>IF($E118&gt;0,TRUE)</formula>
    </cfRule>
  </conditionalFormatting>
  <conditionalFormatting sqref="B119:D119">
    <cfRule type="expression" dxfId="24" priority="43">
      <formula>IF($E119&gt;0,TRUE)</formula>
    </cfRule>
  </conditionalFormatting>
  <conditionalFormatting sqref="C9:D9">
    <cfRule type="expression" dxfId="23" priority="41">
      <formula>IF($E9&gt;0,TRUE)</formula>
    </cfRule>
  </conditionalFormatting>
  <conditionalFormatting sqref="B97:D97">
    <cfRule type="expression" dxfId="22" priority="40">
      <formula>IF($E97&gt;0,TRUE)</formula>
    </cfRule>
  </conditionalFormatting>
  <conditionalFormatting sqref="D103">
    <cfRule type="expression" dxfId="21" priority="37">
      <formula>IF($E103&gt;0,TRUE)</formula>
    </cfRule>
  </conditionalFormatting>
  <conditionalFormatting sqref="C104:D104">
    <cfRule type="expression" dxfId="20" priority="36">
      <formula>IF($E104&gt;0,TRUE)</formula>
    </cfRule>
  </conditionalFormatting>
  <conditionalFormatting sqref="B101:B103">
    <cfRule type="expression" dxfId="19" priority="35">
      <formula>IF($E101&gt;0,TRUE)</formula>
    </cfRule>
  </conditionalFormatting>
  <conditionalFormatting sqref="B104">
    <cfRule type="expression" dxfId="18" priority="34">
      <formula>IF($E104&gt;0,TRUE)</formula>
    </cfRule>
  </conditionalFormatting>
  <conditionalFormatting sqref="B107:D107">
    <cfRule type="expression" dxfId="17" priority="33">
      <formula>IF($E107&gt;0,TRUE)</formula>
    </cfRule>
  </conditionalFormatting>
  <conditionalFormatting sqref="B71">
    <cfRule type="expression" dxfId="16" priority="30">
      <formula>IF($E71&gt;0,TRUE)</formula>
    </cfRule>
  </conditionalFormatting>
  <conditionalFormatting sqref="E33">
    <cfRule type="cellIs" dxfId="15" priority="19" stopIfTrue="1" operator="lessThan">
      <formula>$E$36/32</formula>
    </cfRule>
  </conditionalFormatting>
  <conditionalFormatting sqref="C14">
    <cfRule type="expression" dxfId="14" priority="18">
      <formula>IF($E14&gt;0,TRUE)</formula>
    </cfRule>
  </conditionalFormatting>
  <conditionalFormatting sqref="B31:D31">
    <cfRule type="expression" dxfId="13" priority="17">
      <formula>IF($E31&gt;0,TRUE)</formula>
    </cfRule>
  </conditionalFormatting>
  <conditionalFormatting sqref="B75:C75">
    <cfRule type="expression" dxfId="12" priority="16">
      <formula>IF($E75&gt;0,TRUE)</formula>
    </cfRule>
  </conditionalFormatting>
  <conditionalFormatting sqref="B76:C76">
    <cfRule type="expression" dxfId="11" priority="15">
      <formula>IF($E76&gt;0,TRUE)</formula>
    </cfRule>
  </conditionalFormatting>
  <conditionalFormatting sqref="B78:D78">
    <cfRule type="expression" dxfId="10" priority="14">
      <formula>IF($E78&gt;0,TRUE)</formula>
    </cfRule>
  </conditionalFormatting>
  <conditionalFormatting sqref="B79:D79">
    <cfRule type="expression" dxfId="9" priority="13">
      <formula>IF($E79&gt;0,TRUE)</formula>
    </cfRule>
  </conditionalFormatting>
  <conditionalFormatting sqref="B34">
    <cfRule type="expression" dxfId="8" priority="10">
      <formula>IF($E34&gt;0,TRUE)</formula>
    </cfRule>
  </conditionalFormatting>
  <conditionalFormatting sqref="B14:B15">
    <cfRule type="expression" dxfId="7" priority="8">
      <formula>IF($E14&gt;0,TRUE)</formula>
    </cfRule>
  </conditionalFormatting>
  <conditionalFormatting sqref="B9:B10">
    <cfRule type="expression" dxfId="6" priority="7">
      <formula>IF($E9&gt;0,TRUE)</formula>
    </cfRule>
  </conditionalFormatting>
  <conditionalFormatting sqref="B82:B90">
    <cfRule type="expression" dxfId="5" priority="6">
      <formula>IF($E82&gt;0,TRUE)</formula>
    </cfRule>
  </conditionalFormatting>
  <conditionalFormatting sqref="B92">
    <cfRule type="expression" dxfId="4" priority="5">
      <formula>IF($E92&gt;0,TRUE)</formula>
    </cfRule>
  </conditionalFormatting>
  <conditionalFormatting sqref="B21:C21">
    <cfRule type="expression" dxfId="3" priority="4">
      <formula>IF($E21&gt;0,TRUE)</formula>
    </cfRule>
  </conditionalFormatting>
  <conditionalFormatting sqref="D21">
    <cfRule type="expression" dxfId="2" priority="3">
      <formula>IF($E21&gt;0,TRUE)</formula>
    </cfRule>
  </conditionalFormatting>
  <conditionalFormatting sqref="B20:C20">
    <cfRule type="expression" dxfId="1" priority="2">
      <formula>IF($E20&gt;0,TRUE)</formula>
    </cfRule>
  </conditionalFormatting>
  <conditionalFormatting sqref="D20">
    <cfRule type="expression" dxfId="0" priority="1">
      <formula>IF($E20&gt;0,TRUE)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827" r:id="rId4" name="cmd_gotoContainmentICS">
          <controlPr defaultSize="0" autoLine="0" r:id="rId5">
            <anchor moveWithCells="1">
              <from>
                <xdr:col>5</xdr:col>
                <xdr:colOff>63500</xdr:colOff>
                <xdr:row>0</xdr:row>
                <xdr:rowOff>1409700</xdr:rowOff>
              </from>
              <to>
                <xdr:col>5</xdr:col>
                <xdr:colOff>1701800</xdr:colOff>
                <xdr:row>0</xdr:row>
                <xdr:rowOff>2012950</xdr:rowOff>
              </to>
            </anchor>
          </controlPr>
        </control>
      </mc:Choice>
      <mc:Fallback>
        <control shapeId="34827" r:id="rId4" name="cmd_gotoContainmentICS"/>
      </mc:Fallback>
    </mc:AlternateContent>
    <mc:AlternateContent xmlns:mc="http://schemas.openxmlformats.org/markup-compatibility/2006">
      <mc:Choice Requires="x14">
        <control shapeId="34826" r:id="rId6" name="cmd_gotocableICS">
          <controlPr defaultSize="0" autoLine="0" r:id="rId7">
            <anchor moveWithCells="1">
              <from>
                <xdr:col>5</xdr:col>
                <xdr:colOff>63500</xdr:colOff>
                <xdr:row>0</xdr:row>
                <xdr:rowOff>768350</xdr:rowOff>
              </from>
              <to>
                <xdr:col>5</xdr:col>
                <xdr:colOff>1663700</xdr:colOff>
                <xdr:row>0</xdr:row>
                <xdr:rowOff>1333500</xdr:rowOff>
              </to>
            </anchor>
          </controlPr>
        </control>
      </mc:Choice>
      <mc:Fallback>
        <control shapeId="34826" r:id="rId6" name="cmd_gotocableICS"/>
      </mc:Fallback>
    </mc:AlternateContent>
    <mc:AlternateContent xmlns:mc="http://schemas.openxmlformats.org/markup-compatibility/2006">
      <mc:Choice Requires="x14">
        <control shapeId="34818" r:id="rId8" name="Transfer_QtynPrice_toPLC_Cost">
          <controlPr defaultSize="0" autoLine="0" autoPict="0" r:id="rId9">
            <anchor moveWithCells="1">
              <from>
                <xdr:col>5</xdr:col>
                <xdr:colOff>1758950</xdr:colOff>
                <xdr:row>0</xdr:row>
                <xdr:rowOff>425450</xdr:rowOff>
              </from>
              <to>
                <xdr:col>5</xdr:col>
                <xdr:colOff>3422650</xdr:colOff>
                <xdr:row>0</xdr:row>
                <xdr:rowOff>1530350</xdr:rowOff>
              </to>
            </anchor>
          </controlPr>
        </control>
      </mc:Choice>
      <mc:Fallback>
        <control shapeId="34818" r:id="rId8" name="Transfer_QtynPrice_toPLC_Cost"/>
      </mc:Fallback>
    </mc:AlternateContent>
    <mc:AlternateContent xmlns:mc="http://schemas.openxmlformats.org/markup-compatibility/2006">
      <mc:Choice Requires="x14">
        <control shapeId="34817" r:id="rId10" name="Count_AllDev_ICS">
          <controlPr defaultSize="0" autoLine="0" r:id="rId11">
            <anchor moveWithCells="1">
              <from>
                <xdr:col>5</xdr:col>
                <xdr:colOff>69850</xdr:colOff>
                <xdr:row>0</xdr:row>
                <xdr:rowOff>69850</xdr:rowOff>
              </from>
              <to>
                <xdr:col>5</xdr:col>
                <xdr:colOff>1670050</xdr:colOff>
                <xdr:row>0</xdr:row>
                <xdr:rowOff>673100</xdr:rowOff>
              </to>
            </anchor>
          </controlPr>
        </control>
      </mc:Choice>
      <mc:Fallback>
        <control shapeId="34817" r:id="rId10" name="Count_AllDev_IC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4FEC4-360F-4777-A92A-DAB636A59421}">
  <sheetPr codeName="Tabelle4">
    <outlinePr summaryBelow="0"/>
  </sheetPr>
  <dimension ref="B1:BT95"/>
  <sheetViews>
    <sheetView zoomScaleNormal="100" workbookViewId="0">
      <pane xSplit="4" ySplit="7" topLeftCell="E16" activePane="bottomRight" state="frozen"/>
      <selection pane="topRight" activeCell="D1" sqref="D1"/>
      <selection pane="bottomLeft" activeCell="A8" sqref="A8"/>
      <selection pane="bottomRight" activeCell="D56" sqref="D56"/>
    </sheetView>
  </sheetViews>
  <sheetFormatPr defaultColWidth="11.453125" defaultRowHeight="13"/>
  <cols>
    <col min="1" max="1" width="4.54296875" style="1" customWidth="1"/>
    <col min="2" max="2" width="8.54296875" style="1" bestFit="1" customWidth="1"/>
    <col min="3" max="3" width="16.08984375" style="73" bestFit="1" customWidth="1"/>
    <col min="4" max="4" width="21.08984375" style="1" customWidth="1"/>
    <col min="5" max="8" width="5.54296875" style="1" customWidth="1"/>
    <col min="9" max="9" width="3.54296875" style="1" bestFit="1" customWidth="1"/>
    <col min="10" max="10" width="4.36328125" style="1" bestFit="1" customWidth="1"/>
    <col min="11" max="11" width="4.08984375" style="1" bestFit="1" customWidth="1"/>
    <col min="12" max="12" width="3.54296875" style="1" bestFit="1" customWidth="1"/>
    <col min="13" max="13" width="4.54296875" style="1" bestFit="1" customWidth="1"/>
    <col min="14" max="14" width="4.453125" style="1" bestFit="1" customWidth="1"/>
    <col min="15" max="18" width="3.54296875" style="1" bestFit="1" customWidth="1"/>
    <col min="19" max="19" width="3.90625" style="1" bestFit="1" customWidth="1"/>
    <col min="20" max="22" width="4.08984375" style="1" bestFit="1" customWidth="1"/>
    <col min="23" max="24" width="3.54296875" style="1" bestFit="1" customWidth="1"/>
    <col min="25" max="25" width="4.54296875" style="1" bestFit="1" customWidth="1"/>
    <col min="26" max="26" width="5.36328125" style="1" customWidth="1"/>
    <col min="27" max="27" width="5.6328125" style="1" bestFit="1" customWidth="1"/>
    <col min="28" max="28" width="4.36328125" style="1" bestFit="1" customWidth="1"/>
    <col min="29" max="30" width="4.6328125" style="1" bestFit="1" customWidth="1"/>
    <col min="31" max="32" width="4.90625" style="1" bestFit="1" customWidth="1"/>
    <col min="33" max="34" width="5.36328125" style="1" customWidth="1"/>
    <col min="35" max="42" width="5.54296875" style="1" customWidth="1"/>
    <col min="43" max="43" width="5.54296875" style="1" bestFit="1" customWidth="1"/>
    <col min="44" max="46" width="4.6328125" style="1" customWidth="1"/>
    <col min="47" max="48" width="5.453125" style="1" customWidth="1"/>
    <col min="49" max="56" width="4.453125" style="1" customWidth="1"/>
    <col min="57" max="59" width="4.6328125" style="1" customWidth="1"/>
    <col min="60" max="60" width="4.6328125" style="83" customWidth="1"/>
    <col min="61" max="70" width="4.6328125" style="1" customWidth="1"/>
    <col min="71" max="71" width="4.08984375" style="1" bestFit="1" customWidth="1"/>
    <col min="72" max="16384" width="11.453125" style="1"/>
  </cols>
  <sheetData>
    <row r="1" spans="2:72" ht="15.75" customHeight="1">
      <c r="D1" s="38"/>
      <c r="BH1" s="1"/>
    </row>
    <row r="2" spans="2:72" ht="15.75" customHeight="1">
      <c r="D2" s="2"/>
    </row>
    <row r="3" spans="2:72" ht="20" customHeight="1"/>
    <row r="4" spans="2:72" ht="18" customHeight="1" thickBot="1">
      <c r="D4" s="39"/>
    </row>
    <row r="5" spans="2:72" ht="124.5" customHeight="1" thickBot="1">
      <c r="B5" s="189"/>
      <c r="C5" s="190"/>
      <c r="D5" s="188" t="s">
        <v>115</v>
      </c>
      <c r="E5" s="277" t="s">
        <v>116</v>
      </c>
      <c r="F5" s="277" t="s">
        <v>117</v>
      </c>
      <c r="G5" s="277" t="s">
        <v>118</v>
      </c>
      <c r="H5" s="277" t="s">
        <v>119</v>
      </c>
      <c r="I5" s="277" t="s">
        <v>120</v>
      </c>
      <c r="J5" s="277" t="s">
        <v>121</v>
      </c>
      <c r="K5" s="277" t="s">
        <v>122</v>
      </c>
      <c r="L5" s="277" t="s">
        <v>123</v>
      </c>
      <c r="M5" s="277" t="s">
        <v>124</v>
      </c>
      <c r="N5" s="277" t="s">
        <v>125</v>
      </c>
      <c r="O5" s="277" t="s">
        <v>126</v>
      </c>
      <c r="P5" s="277" t="s">
        <v>127</v>
      </c>
      <c r="Q5" s="277" t="s">
        <v>128</v>
      </c>
      <c r="R5" s="277" t="s">
        <v>129</v>
      </c>
      <c r="S5" s="277" t="s">
        <v>130</v>
      </c>
      <c r="T5" s="277" t="s">
        <v>131</v>
      </c>
      <c r="U5" s="277" t="s">
        <v>132</v>
      </c>
      <c r="V5" s="277" t="s">
        <v>133</v>
      </c>
      <c r="W5" s="277" t="s">
        <v>134</v>
      </c>
      <c r="X5" s="277" t="s">
        <v>135</v>
      </c>
      <c r="Y5" s="277" t="s">
        <v>136</v>
      </c>
      <c r="Z5" s="277" t="s">
        <v>137</v>
      </c>
      <c r="AA5" s="277" t="s">
        <v>138</v>
      </c>
      <c r="AB5" s="277" t="s">
        <v>139</v>
      </c>
      <c r="AC5" s="277" t="s">
        <v>140</v>
      </c>
      <c r="AD5" s="277" t="s">
        <v>141</v>
      </c>
      <c r="AE5" s="277" t="s">
        <v>142</v>
      </c>
      <c r="AF5" s="277" t="s">
        <v>143</v>
      </c>
      <c r="AG5" s="277" t="s">
        <v>144</v>
      </c>
      <c r="AH5" s="277" t="s">
        <v>145</v>
      </c>
      <c r="AI5" s="277" t="s">
        <v>243</v>
      </c>
      <c r="AJ5" s="277" t="s">
        <v>245</v>
      </c>
      <c r="AK5" s="277" t="s">
        <v>247</v>
      </c>
      <c r="AL5" s="277" t="s">
        <v>248</v>
      </c>
      <c r="AM5" s="277" t="s">
        <v>250</v>
      </c>
      <c r="AN5" s="277" t="s">
        <v>252</v>
      </c>
      <c r="AO5" s="277" t="s">
        <v>254</v>
      </c>
      <c r="AP5" s="277" t="s">
        <v>255</v>
      </c>
      <c r="AQ5" s="277" t="s">
        <v>146</v>
      </c>
      <c r="AR5" s="277" t="s">
        <v>147</v>
      </c>
      <c r="AS5" s="277" t="s">
        <v>148</v>
      </c>
      <c r="AT5" s="277" t="s">
        <v>149</v>
      </c>
      <c r="AU5" s="277" t="s">
        <v>150</v>
      </c>
      <c r="AV5" s="277" t="s">
        <v>151</v>
      </c>
      <c r="AW5" s="278" t="s">
        <v>152</v>
      </c>
      <c r="AX5" s="278" t="s">
        <v>153</v>
      </c>
      <c r="AY5" s="278" t="s">
        <v>154</v>
      </c>
      <c r="AZ5" s="278" t="s">
        <v>155</v>
      </c>
      <c r="BA5" s="278" t="s">
        <v>156</v>
      </c>
      <c r="BB5" s="278" t="s">
        <v>157</v>
      </c>
      <c r="BC5" s="278" t="s">
        <v>158</v>
      </c>
      <c r="BD5" s="278" t="s">
        <v>159</v>
      </c>
      <c r="BE5" s="207" t="s">
        <v>264</v>
      </c>
      <c r="BF5" s="207" t="s">
        <v>265</v>
      </c>
      <c r="BG5" s="207" t="s">
        <v>266</v>
      </c>
      <c r="BH5" s="207" t="s">
        <v>267</v>
      </c>
      <c r="BI5" s="207" t="s">
        <v>268</v>
      </c>
      <c r="BJ5" s="207" t="s">
        <v>698</v>
      </c>
      <c r="BK5" s="207" t="s">
        <v>699</v>
      </c>
      <c r="BL5" s="207" t="s">
        <v>700</v>
      </c>
      <c r="BM5" s="207" t="s">
        <v>701</v>
      </c>
      <c r="BN5" s="207" t="s">
        <v>702</v>
      </c>
      <c r="BO5" s="207" t="s">
        <v>703</v>
      </c>
      <c r="BP5" s="207" t="s">
        <v>704</v>
      </c>
      <c r="BQ5" s="207" t="s">
        <v>705</v>
      </c>
      <c r="BR5" s="207" t="s">
        <v>706</v>
      </c>
    </row>
    <row r="6" spans="2:72" s="3" customFormat="1" ht="15" thickBot="1">
      <c r="B6" s="191"/>
      <c r="C6" s="192"/>
      <c r="D6" s="281"/>
      <c r="E6" s="114" t="s">
        <v>160</v>
      </c>
      <c r="F6" s="115"/>
      <c r="G6" s="115"/>
      <c r="H6" s="116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80"/>
      <c r="T6" s="280"/>
      <c r="U6" s="280"/>
      <c r="V6" s="280"/>
      <c r="W6" s="279"/>
      <c r="X6" s="280"/>
      <c r="Y6" s="280"/>
      <c r="Z6" s="280"/>
      <c r="AA6" s="279"/>
      <c r="AB6" s="279"/>
      <c r="AC6" s="279"/>
      <c r="AD6" s="279"/>
      <c r="AE6" s="280"/>
      <c r="AF6" s="280"/>
      <c r="AG6" s="280"/>
      <c r="AH6" s="280"/>
      <c r="AI6" s="280"/>
      <c r="AJ6" s="280"/>
      <c r="AK6" s="280"/>
      <c r="AL6" s="279"/>
      <c r="AM6" s="279"/>
      <c r="AN6" s="279"/>
      <c r="AO6" s="279"/>
      <c r="AP6" s="279"/>
      <c r="AQ6" s="280"/>
      <c r="AR6" s="279"/>
      <c r="AS6" s="280"/>
      <c r="AT6" s="279"/>
      <c r="AU6" s="280"/>
      <c r="AV6" s="280"/>
      <c r="AW6" s="279"/>
      <c r="AX6" s="280"/>
      <c r="AY6" s="280"/>
      <c r="AZ6" s="280"/>
      <c r="BA6" s="280"/>
      <c r="BB6" s="280"/>
      <c r="BC6" s="280"/>
      <c r="BD6" s="280"/>
      <c r="BE6" s="280"/>
      <c r="BF6" s="280"/>
      <c r="BG6" s="279"/>
      <c r="BH6" s="280"/>
      <c r="BI6" s="280"/>
      <c r="BJ6" s="280"/>
      <c r="BK6" s="280"/>
      <c r="BL6" s="280"/>
      <c r="BM6" s="280"/>
      <c r="BN6" s="280"/>
      <c r="BO6" s="280"/>
      <c r="BP6" s="280"/>
      <c r="BQ6" s="280"/>
      <c r="BR6" s="280"/>
      <c r="BT6" s="1"/>
    </row>
    <row r="7" spans="2:72" s="27" customFormat="1" ht="24" customHeight="1" thickBot="1">
      <c r="B7" s="183"/>
      <c r="C7" s="194" t="s">
        <v>14</v>
      </c>
      <c r="D7" s="194" t="s">
        <v>161</v>
      </c>
      <c r="E7" s="193" t="s">
        <v>18</v>
      </c>
      <c r="F7" s="117" t="s">
        <v>19</v>
      </c>
      <c r="G7" s="117" t="s">
        <v>20</v>
      </c>
      <c r="H7" s="229" t="s">
        <v>21</v>
      </c>
      <c r="I7" s="230" t="s">
        <v>22</v>
      </c>
      <c r="J7" s="231" t="s">
        <v>23</v>
      </c>
      <c r="K7" s="231" t="s">
        <v>24</v>
      </c>
      <c r="L7" s="231" t="s">
        <v>25</v>
      </c>
      <c r="M7" s="231" t="s">
        <v>26</v>
      </c>
      <c r="N7" s="231" t="s">
        <v>27</v>
      </c>
      <c r="O7" s="231" t="s">
        <v>28</v>
      </c>
      <c r="P7" s="231" t="s">
        <v>29</v>
      </c>
      <c r="Q7" s="231" t="s">
        <v>30</v>
      </c>
      <c r="R7" s="231" t="s">
        <v>31</v>
      </c>
      <c r="S7" s="231" t="s">
        <v>32</v>
      </c>
      <c r="T7" s="231" t="s">
        <v>33</v>
      </c>
      <c r="U7" s="231" t="s">
        <v>34</v>
      </c>
      <c r="V7" s="231" t="s">
        <v>35</v>
      </c>
      <c r="W7" s="231" t="s">
        <v>36</v>
      </c>
      <c r="X7" s="231" t="s">
        <v>37</v>
      </c>
      <c r="Y7" s="231" t="s">
        <v>38</v>
      </c>
      <c r="Z7" s="231" t="s">
        <v>39</v>
      </c>
      <c r="AA7" s="231" t="s">
        <v>40</v>
      </c>
      <c r="AB7" s="231" t="s">
        <v>41</v>
      </c>
      <c r="AC7" s="231" t="s">
        <v>42</v>
      </c>
      <c r="AD7" s="231" t="s">
        <v>43</v>
      </c>
      <c r="AE7" s="231" t="s">
        <v>44</v>
      </c>
      <c r="AF7" s="231" t="s">
        <v>45</v>
      </c>
      <c r="AG7" s="231" t="s">
        <v>46</v>
      </c>
      <c r="AH7" s="231" t="s">
        <v>47</v>
      </c>
      <c r="AI7" s="231" t="s">
        <v>162</v>
      </c>
      <c r="AJ7" s="231" t="s">
        <v>163</v>
      </c>
      <c r="AK7" s="231" t="s">
        <v>164</v>
      </c>
      <c r="AL7" s="231" t="s">
        <v>691</v>
      </c>
      <c r="AM7" s="231" t="s">
        <v>692</v>
      </c>
      <c r="AN7" s="231" t="s">
        <v>165</v>
      </c>
      <c r="AO7" s="231" t="s">
        <v>166</v>
      </c>
      <c r="AP7" s="231" t="s">
        <v>167</v>
      </c>
      <c r="AQ7" s="231" t="s">
        <v>168</v>
      </c>
      <c r="AR7" s="231" t="s">
        <v>53</v>
      </c>
      <c r="AS7" s="231" t="s">
        <v>54</v>
      </c>
      <c r="AT7" s="231" t="s">
        <v>55</v>
      </c>
      <c r="AU7" s="231" t="s">
        <v>56</v>
      </c>
      <c r="AV7" s="231" t="s">
        <v>57</v>
      </c>
      <c r="AW7" s="276" t="s">
        <v>169</v>
      </c>
      <c r="AX7" s="276" t="s">
        <v>170</v>
      </c>
      <c r="AY7" s="276" t="s">
        <v>171</v>
      </c>
      <c r="AZ7" s="276" t="s">
        <v>172</v>
      </c>
      <c r="BA7" s="276" t="s">
        <v>173</v>
      </c>
      <c r="BB7" s="276" t="s">
        <v>174</v>
      </c>
      <c r="BC7" s="276" t="s">
        <v>175</v>
      </c>
      <c r="BD7" s="276" t="s">
        <v>176</v>
      </c>
      <c r="BE7" s="231" t="s">
        <v>264</v>
      </c>
      <c r="BF7" s="231" t="s">
        <v>265</v>
      </c>
      <c r="BG7" s="231" t="s">
        <v>266</v>
      </c>
      <c r="BH7" s="231" t="s">
        <v>267</v>
      </c>
      <c r="BI7" s="231" t="s">
        <v>268</v>
      </c>
      <c r="BJ7" s="231" t="s">
        <v>698</v>
      </c>
      <c r="BK7" s="231" t="s">
        <v>699</v>
      </c>
      <c r="BL7" s="231" t="s">
        <v>700</v>
      </c>
      <c r="BM7" s="231" t="s">
        <v>701</v>
      </c>
      <c r="BN7" s="231" t="s">
        <v>702</v>
      </c>
      <c r="BO7" s="231" t="s">
        <v>703</v>
      </c>
      <c r="BP7" s="231" t="s">
        <v>704</v>
      </c>
      <c r="BQ7" s="231" t="s">
        <v>705</v>
      </c>
      <c r="BR7" s="231" t="s">
        <v>706</v>
      </c>
      <c r="BS7" s="118" t="s">
        <v>58</v>
      </c>
      <c r="BT7" s="1"/>
    </row>
    <row r="8" spans="2:72" ht="15.5">
      <c r="B8" s="57" t="s">
        <v>177</v>
      </c>
      <c r="C8" s="75" t="s">
        <v>178</v>
      </c>
      <c r="D8" s="94" t="s">
        <v>179</v>
      </c>
      <c r="E8" s="90"/>
      <c r="F8" s="8">
        <v>1</v>
      </c>
      <c r="G8" s="7"/>
      <c r="H8" s="7"/>
      <c r="I8" s="232">
        <v>2</v>
      </c>
      <c r="J8" s="7"/>
      <c r="K8" s="7"/>
      <c r="L8" s="7"/>
      <c r="M8" s="7"/>
      <c r="N8" s="7"/>
      <c r="O8" s="7"/>
      <c r="P8" s="7"/>
      <c r="Q8" s="7"/>
      <c r="R8" s="7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7"/>
      <c r="AJ8" s="7"/>
      <c r="AK8" s="7"/>
      <c r="AL8" s="7"/>
      <c r="AM8" s="7"/>
      <c r="AN8" s="7"/>
      <c r="AO8" s="7"/>
      <c r="AP8" s="7"/>
      <c r="AQ8" s="9"/>
      <c r="AR8" s="9"/>
      <c r="AS8" s="9"/>
      <c r="AT8" s="7"/>
      <c r="AU8" s="9"/>
      <c r="AV8" s="7"/>
      <c r="AW8" s="7"/>
      <c r="AX8" s="7"/>
      <c r="AY8" s="7"/>
      <c r="AZ8" s="7"/>
      <c r="BA8" s="7"/>
      <c r="BB8" s="7"/>
      <c r="BC8" s="9"/>
      <c r="BD8" s="9"/>
      <c r="BE8" s="9"/>
      <c r="BF8" s="9"/>
      <c r="BG8" s="9"/>
      <c r="BH8" s="85"/>
      <c r="BI8" s="7"/>
      <c r="BJ8" s="9"/>
      <c r="BK8" s="9"/>
      <c r="BL8" s="9"/>
      <c r="BM8" s="9"/>
      <c r="BN8" s="9"/>
      <c r="BO8" s="9"/>
      <c r="BP8" s="9"/>
      <c r="BQ8" s="9"/>
      <c r="BR8" s="9"/>
      <c r="BS8" s="11"/>
    </row>
    <row r="9" spans="2:72">
      <c r="B9" s="54"/>
      <c r="C9" s="186" t="s">
        <v>180</v>
      </c>
      <c r="D9" s="94" t="s">
        <v>181</v>
      </c>
      <c r="E9" s="90"/>
      <c r="F9" s="8">
        <v>1</v>
      </c>
      <c r="G9" s="7"/>
      <c r="H9" s="7"/>
      <c r="I9" s="232">
        <v>2</v>
      </c>
      <c r="J9" s="7"/>
      <c r="K9" s="7"/>
      <c r="L9" s="7"/>
      <c r="M9" s="7"/>
      <c r="N9" s="7"/>
      <c r="O9" s="7"/>
      <c r="P9" s="7"/>
      <c r="Q9" s="9"/>
      <c r="R9" s="7"/>
      <c r="S9" s="9"/>
      <c r="T9" s="9"/>
      <c r="U9" s="9"/>
      <c r="V9" s="9"/>
      <c r="W9" s="9"/>
      <c r="X9" s="9"/>
      <c r="Y9" s="9"/>
      <c r="Z9" s="9"/>
      <c r="AA9" s="9"/>
      <c r="AB9" s="9"/>
      <c r="AC9" s="7"/>
      <c r="AD9" s="9"/>
      <c r="AE9" s="9"/>
      <c r="AF9" s="9"/>
      <c r="AG9" s="9"/>
      <c r="AH9" s="9"/>
      <c r="AI9" s="7"/>
      <c r="AJ9" s="7"/>
      <c r="AK9" s="7"/>
      <c r="AL9" s="7"/>
      <c r="AM9" s="7"/>
      <c r="AN9" s="7"/>
      <c r="AO9" s="7"/>
      <c r="AP9" s="7"/>
      <c r="AQ9" s="9"/>
      <c r="AR9" s="9"/>
      <c r="AS9" s="9"/>
      <c r="AT9" s="7"/>
      <c r="AU9" s="9"/>
      <c r="AV9" s="7"/>
      <c r="AW9" s="7"/>
      <c r="AX9" s="7"/>
      <c r="AY9" s="7"/>
      <c r="AZ9" s="7"/>
      <c r="BA9" s="7"/>
      <c r="BB9" s="7"/>
      <c r="BC9" s="9"/>
      <c r="BD9" s="9"/>
      <c r="BE9" s="9"/>
      <c r="BF9" s="9"/>
      <c r="BG9" s="9"/>
      <c r="BH9" s="85"/>
      <c r="BI9" s="7"/>
      <c r="BJ9" s="9"/>
      <c r="BK9" s="9"/>
      <c r="BL9" s="9"/>
      <c r="BM9" s="9"/>
      <c r="BN9" s="9"/>
      <c r="BO9" s="9"/>
      <c r="BP9" s="9"/>
      <c r="BQ9" s="9"/>
      <c r="BR9" s="9"/>
      <c r="BS9" s="11"/>
    </row>
    <row r="10" spans="2:72">
      <c r="B10" s="54"/>
      <c r="C10" s="186" t="s">
        <v>180</v>
      </c>
      <c r="D10" s="94" t="s">
        <v>182</v>
      </c>
      <c r="E10" s="52">
        <v>1</v>
      </c>
      <c r="F10" s="7"/>
      <c r="G10" s="7"/>
      <c r="H10" s="7"/>
      <c r="I10" s="232">
        <v>1</v>
      </c>
      <c r="J10" s="7"/>
      <c r="K10" s="7"/>
      <c r="L10" s="7"/>
      <c r="M10" s="7"/>
      <c r="N10" s="7"/>
      <c r="O10" s="7"/>
      <c r="P10" s="8">
        <v>1</v>
      </c>
      <c r="Q10" s="9"/>
      <c r="R10" s="7"/>
      <c r="S10" s="9"/>
      <c r="T10" s="9"/>
      <c r="U10" s="9"/>
      <c r="V10" s="9"/>
      <c r="W10" s="9"/>
      <c r="X10" s="9"/>
      <c r="Y10" s="10">
        <v>1</v>
      </c>
      <c r="Z10" s="9"/>
      <c r="AA10" s="9"/>
      <c r="AB10" s="9"/>
      <c r="AC10" s="8">
        <v>1</v>
      </c>
      <c r="AD10" s="9"/>
      <c r="AE10" s="9"/>
      <c r="AF10" s="9"/>
      <c r="AG10" s="9"/>
      <c r="AH10" s="9"/>
      <c r="AI10" s="7"/>
      <c r="AJ10" s="7"/>
      <c r="AK10" s="7"/>
      <c r="AL10" s="7"/>
      <c r="AM10" s="7"/>
      <c r="AN10" s="7"/>
      <c r="AO10" s="7"/>
      <c r="AP10" s="7"/>
      <c r="AQ10" s="9"/>
      <c r="AR10" s="9"/>
      <c r="AS10" s="9"/>
      <c r="AT10" s="7"/>
      <c r="AU10" s="9"/>
      <c r="AV10" s="7"/>
      <c r="AW10" s="7"/>
      <c r="AX10" s="7"/>
      <c r="AY10" s="7"/>
      <c r="AZ10" s="7"/>
      <c r="BA10" s="7"/>
      <c r="BB10" s="7"/>
      <c r="BC10" s="9"/>
      <c r="BD10" s="9"/>
      <c r="BE10" s="9"/>
      <c r="BF10" s="9"/>
      <c r="BG10" s="9"/>
      <c r="BH10" s="85"/>
      <c r="BI10" s="7"/>
      <c r="BJ10" s="9"/>
      <c r="BK10" s="9"/>
      <c r="BL10" s="9"/>
      <c r="BM10" s="9"/>
      <c r="BN10" s="9"/>
      <c r="BO10" s="9"/>
      <c r="BP10" s="9"/>
      <c r="BQ10" s="9"/>
      <c r="BR10" s="9"/>
      <c r="BS10" s="11"/>
    </row>
    <row r="11" spans="2:72">
      <c r="B11" s="54"/>
      <c r="C11" s="186" t="s">
        <v>180</v>
      </c>
      <c r="D11" s="94" t="s">
        <v>183</v>
      </c>
      <c r="E11" s="90"/>
      <c r="F11" s="8">
        <v>1</v>
      </c>
      <c r="G11" s="7"/>
      <c r="H11" s="7"/>
      <c r="I11" s="232">
        <v>2</v>
      </c>
      <c r="J11" s="7"/>
      <c r="K11" s="7"/>
      <c r="L11" s="7"/>
      <c r="M11" s="7"/>
      <c r="N11" s="7"/>
      <c r="O11" s="7"/>
      <c r="P11" s="7"/>
      <c r="Q11" s="8">
        <v>1</v>
      </c>
      <c r="R11" s="7"/>
      <c r="S11" s="9"/>
      <c r="T11" s="9"/>
      <c r="U11" s="9"/>
      <c r="V11" s="9"/>
      <c r="W11" s="9"/>
      <c r="X11" s="9"/>
      <c r="Y11" s="9"/>
      <c r="Z11" s="9"/>
      <c r="AA11" s="9"/>
      <c r="AB11" s="9"/>
      <c r="AC11" s="7"/>
      <c r="AD11" s="9"/>
      <c r="AE11" s="9"/>
      <c r="AF11" s="9"/>
      <c r="AG11" s="10">
        <v>1</v>
      </c>
      <c r="AH11" s="9"/>
      <c r="AI11" s="7"/>
      <c r="AJ11" s="7"/>
      <c r="AK11" s="7"/>
      <c r="AL11" s="7"/>
      <c r="AM11" s="7"/>
      <c r="AN11" s="7"/>
      <c r="AO11" s="7"/>
      <c r="AP11" s="7"/>
      <c r="AQ11" s="9"/>
      <c r="AR11" s="9"/>
      <c r="AS11" s="9"/>
      <c r="AT11" s="7"/>
      <c r="AU11" s="9"/>
      <c r="AV11" s="7"/>
      <c r="AW11" s="7"/>
      <c r="AX11" s="7"/>
      <c r="AY11" s="8">
        <v>1</v>
      </c>
      <c r="AZ11" s="7"/>
      <c r="BA11" s="7"/>
      <c r="BB11" s="7"/>
      <c r="BC11" s="9"/>
      <c r="BD11" s="9"/>
      <c r="BE11" s="9"/>
      <c r="BF11" s="9"/>
      <c r="BG11" s="9"/>
      <c r="BH11" s="85"/>
      <c r="BI11" s="7"/>
      <c r="BJ11" s="9"/>
      <c r="BK11" s="9"/>
      <c r="BL11" s="9"/>
      <c r="BM11" s="9"/>
      <c r="BN11" s="9"/>
      <c r="BO11" s="9"/>
      <c r="BP11" s="9"/>
      <c r="BQ11" s="9"/>
      <c r="BR11" s="9"/>
      <c r="BS11" s="11"/>
    </row>
    <row r="12" spans="2:72">
      <c r="B12" s="54"/>
      <c r="C12" s="186" t="s">
        <v>180</v>
      </c>
      <c r="D12" s="95" t="s">
        <v>184</v>
      </c>
      <c r="E12" s="196"/>
      <c r="F12" s="195"/>
      <c r="G12" s="195"/>
      <c r="H12" s="195"/>
      <c r="I12" s="235">
        <v>4</v>
      </c>
      <c r="J12" s="195"/>
      <c r="K12" s="195"/>
      <c r="L12" s="195"/>
      <c r="M12" s="195"/>
      <c r="N12" s="195"/>
      <c r="O12" s="195"/>
      <c r="P12" s="195"/>
      <c r="Q12" s="271"/>
      <c r="R12" s="195"/>
      <c r="S12" s="271"/>
      <c r="T12" s="271"/>
      <c r="U12" s="271"/>
      <c r="V12" s="271"/>
      <c r="W12" s="271"/>
      <c r="X12" s="271"/>
      <c r="Y12" s="271">
        <v>1</v>
      </c>
      <c r="Z12" s="271"/>
      <c r="AA12" s="271"/>
      <c r="AB12" s="271"/>
      <c r="AC12" s="195"/>
      <c r="AD12" s="271"/>
      <c r="AE12" s="271"/>
      <c r="AF12" s="271"/>
      <c r="AG12" s="271">
        <v>1</v>
      </c>
      <c r="AH12" s="271"/>
      <c r="AI12" s="195"/>
      <c r="AJ12" s="195"/>
      <c r="AK12" s="195"/>
      <c r="AL12" s="195"/>
      <c r="AM12" s="195"/>
      <c r="AN12" s="195"/>
      <c r="AO12" s="195"/>
      <c r="AP12" s="195"/>
      <c r="AQ12" s="271"/>
      <c r="AR12" s="271"/>
      <c r="AS12" s="271"/>
      <c r="AT12" s="195">
        <v>1</v>
      </c>
      <c r="AU12" s="271"/>
      <c r="AV12" s="195"/>
      <c r="AW12" s="195"/>
      <c r="AX12" s="195"/>
      <c r="AY12" s="195"/>
      <c r="AZ12" s="195"/>
      <c r="BA12" s="195"/>
      <c r="BB12" s="195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11"/>
    </row>
    <row r="13" spans="2:72">
      <c r="B13" s="54"/>
      <c r="C13" s="75" t="s">
        <v>185</v>
      </c>
      <c r="D13" s="94" t="s">
        <v>186</v>
      </c>
      <c r="E13" s="52">
        <v>1</v>
      </c>
      <c r="F13" s="7"/>
      <c r="G13" s="7"/>
      <c r="H13" s="7"/>
      <c r="I13" s="232">
        <v>1</v>
      </c>
      <c r="J13" s="7"/>
      <c r="K13" s="7"/>
      <c r="L13" s="7"/>
      <c r="M13" s="7"/>
      <c r="N13" s="7"/>
      <c r="O13" s="7"/>
      <c r="P13" s="7"/>
      <c r="Q13" s="9"/>
      <c r="R13" s="7"/>
      <c r="S13" s="9"/>
      <c r="T13" s="9"/>
      <c r="U13" s="9"/>
      <c r="V13" s="9"/>
      <c r="W13" s="9"/>
      <c r="X13" s="9"/>
      <c r="Y13" s="9"/>
      <c r="Z13" s="9"/>
      <c r="AA13" s="9"/>
      <c r="AB13" s="9"/>
      <c r="AC13" s="7"/>
      <c r="AD13" s="9"/>
      <c r="AE13" s="9"/>
      <c r="AF13" s="9"/>
      <c r="AG13" s="9"/>
      <c r="AH13" s="9"/>
      <c r="AI13" s="7"/>
      <c r="AJ13" s="7"/>
      <c r="AK13" s="7"/>
      <c r="AL13" s="7"/>
      <c r="AM13" s="7"/>
      <c r="AN13" s="7"/>
      <c r="AO13" s="7"/>
      <c r="AP13" s="7"/>
      <c r="AQ13" s="9"/>
      <c r="AR13" s="9"/>
      <c r="AS13" s="9"/>
      <c r="AT13" s="7"/>
      <c r="AU13" s="9"/>
      <c r="AV13" s="7"/>
      <c r="AW13" s="8">
        <v>1</v>
      </c>
      <c r="AX13" s="7"/>
      <c r="AY13" s="7"/>
      <c r="AZ13" s="7"/>
      <c r="BA13" s="7"/>
      <c r="BB13" s="7"/>
      <c r="BC13" s="9"/>
      <c r="BD13" s="9"/>
      <c r="BE13" s="9"/>
      <c r="BF13" s="9"/>
      <c r="BG13" s="9"/>
      <c r="BH13" s="85"/>
      <c r="BI13" s="7"/>
      <c r="BJ13" s="9"/>
      <c r="BK13" s="9"/>
      <c r="BL13" s="9"/>
      <c r="BM13" s="9"/>
      <c r="BN13" s="9"/>
      <c r="BO13" s="9"/>
      <c r="BP13" s="9"/>
      <c r="BQ13" s="9"/>
      <c r="BR13" s="9"/>
      <c r="BS13" s="11"/>
    </row>
    <row r="14" spans="2:72">
      <c r="B14" s="54"/>
      <c r="C14" s="75" t="s">
        <v>185</v>
      </c>
      <c r="D14" s="94" t="s">
        <v>187</v>
      </c>
      <c r="E14" s="52">
        <v>1</v>
      </c>
      <c r="F14" s="7"/>
      <c r="G14" s="7"/>
      <c r="H14" s="7"/>
      <c r="I14" s="232">
        <v>1</v>
      </c>
      <c r="J14" s="7"/>
      <c r="K14" s="7"/>
      <c r="L14" s="7"/>
      <c r="M14" s="7"/>
      <c r="N14" s="7"/>
      <c r="O14" s="7"/>
      <c r="P14" s="7"/>
      <c r="Q14" s="9"/>
      <c r="R14" s="7"/>
      <c r="S14" s="9"/>
      <c r="T14" s="9"/>
      <c r="U14" s="9"/>
      <c r="V14" s="9"/>
      <c r="W14" s="9"/>
      <c r="X14" s="9"/>
      <c r="Y14" s="9"/>
      <c r="Z14" s="9"/>
      <c r="AA14" s="9"/>
      <c r="AB14" s="9"/>
      <c r="AC14" s="7"/>
      <c r="AD14" s="9"/>
      <c r="AE14" s="9"/>
      <c r="AF14" s="9"/>
      <c r="AG14" s="9"/>
      <c r="AH14" s="9"/>
      <c r="AI14" s="7"/>
      <c r="AJ14" s="7"/>
      <c r="AK14" s="7"/>
      <c r="AL14" s="7"/>
      <c r="AM14" s="7"/>
      <c r="AN14" s="7"/>
      <c r="AO14" s="7"/>
      <c r="AP14" s="7"/>
      <c r="AQ14" s="9"/>
      <c r="AR14" s="9"/>
      <c r="AS14" s="9"/>
      <c r="AT14" s="7"/>
      <c r="AU14" s="9"/>
      <c r="AV14" s="7"/>
      <c r="AW14" s="7"/>
      <c r="AX14" s="7"/>
      <c r="AY14" s="7"/>
      <c r="AZ14" s="8">
        <v>1</v>
      </c>
      <c r="BA14" s="7"/>
      <c r="BB14" s="7"/>
      <c r="BC14" s="9"/>
      <c r="BD14" s="9"/>
      <c r="BE14" s="9"/>
      <c r="BF14" s="9"/>
      <c r="BG14" s="9"/>
      <c r="BH14" s="85"/>
      <c r="BI14" s="7"/>
      <c r="BJ14" s="9"/>
      <c r="BK14" s="9"/>
      <c r="BL14" s="9"/>
      <c r="BM14" s="9"/>
      <c r="BN14" s="9"/>
      <c r="BO14" s="9"/>
      <c r="BP14" s="9"/>
      <c r="BQ14" s="9"/>
      <c r="BR14" s="9"/>
      <c r="BS14" s="11"/>
    </row>
    <row r="15" spans="2:72">
      <c r="B15" s="54"/>
      <c r="C15" s="75" t="s">
        <v>188</v>
      </c>
      <c r="D15" s="94" t="s">
        <v>189</v>
      </c>
      <c r="E15" s="52">
        <v>1</v>
      </c>
      <c r="F15" s="7"/>
      <c r="G15" s="7"/>
      <c r="H15" s="7"/>
      <c r="I15" s="232">
        <v>1</v>
      </c>
      <c r="J15" s="7"/>
      <c r="K15" s="7"/>
      <c r="L15" s="7"/>
      <c r="M15" s="7"/>
      <c r="N15" s="7"/>
      <c r="O15" s="7"/>
      <c r="P15" s="7"/>
      <c r="Q15" s="9"/>
      <c r="R15" s="7"/>
      <c r="S15" s="9"/>
      <c r="T15" s="9"/>
      <c r="U15" s="9"/>
      <c r="V15" s="9"/>
      <c r="W15" s="9"/>
      <c r="X15" s="9"/>
      <c r="Y15" s="9"/>
      <c r="Z15" s="9"/>
      <c r="AA15" s="9"/>
      <c r="AB15" s="9"/>
      <c r="AC15" s="7"/>
      <c r="AD15" s="9"/>
      <c r="AE15" s="9"/>
      <c r="AF15" s="9"/>
      <c r="AG15" s="9"/>
      <c r="AH15" s="9"/>
      <c r="AI15" s="7"/>
      <c r="AJ15" s="7"/>
      <c r="AK15" s="7"/>
      <c r="AL15" s="7"/>
      <c r="AM15" s="7"/>
      <c r="AN15" s="7"/>
      <c r="AO15" s="7"/>
      <c r="AP15" s="7"/>
      <c r="AQ15" s="9"/>
      <c r="AR15" s="9"/>
      <c r="AS15" s="9"/>
      <c r="AT15" s="7"/>
      <c r="AU15" s="9"/>
      <c r="AV15" s="7"/>
      <c r="AW15" s="7"/>
      <c r="AX15" s="8">
        <v>1</v>
      </c>
      <c r="AY15" s="7"/>
      <c r="AZ15" s="7"/>
      <c r="BA15" s="7"/>
      <c r="BB15" s="7"/>
      <c r="BC15" s="9"/>
      <c r="BD15" s="9"/>
      <c r="BE15" s="9"/>
      <c r="BF15" s="9"/>
      <c r="BG15" s="9"/>
      <c r="BH15" s="85"/>
      <c r="BI15" s="7"/>
      <c r="BJ15" s="9"/>
      <c r="BK15" s="9"/>
      <c r="BL15" s="9"/>
      <c r="BM15" s="9"/>
      <c r="BN15" s="9"/>
      <c r="BO15" s="9"/>
      <c r="BP15" s="9"/>
      <c r="BQ15" s="9"/>
      <c r="BR15" s="9"/>
      <c r="BS15" s="11"/>
    </row>
    <row r="16" spans="2:72">
      <c r="B16" s="54"/>
      <c r="C16" s="75" t="s">
        <v>190</v>
      </c>
      <c r="D16" s="94" t="s">
        <v>191</v>
      </c>
      <c r="E16" s="52">
        <v>1</v>
      </c>
      <c r="F16" s="7"/>
      <c r="G16" s="7"/>
      <c r="H16" s="7"/>
      <c r="I16" s="232">
        <v>2</v>
      </c>
      <c r="J16" s="7"/>
      <c r="K16" s="7"/>
      <c r="L16" s="7"/>
      <c r="M16" s="7"/>
      <c r="N16" s="7"/>
      <c r="O16" s="7"/>
      <c r="P16" s="7"/>
      <c r="Q16" s="9"/>
      <c r="R16" s="7"/>
      <c r="S16" s="9"/>
      <c r="T16" s="9"/>
      <c r="U16" s="9"/>
      <c r="V16" s="9"/>
      <c r="W16" s="9"/>
      <c r="X16" s="9"/>
      <c r="Y16" s="9"/>
      <c r="Z16" s="9"/>
      <c r="AA16" s="9"/>
      <c r="AB16" s="9"/>
      <c r="AC16" s="7"/>
      <c r="AD16" s="9"/>
      <c r="AE16" s="9"/>
      <c r="AF16" s="9"/>
      <c r="AG16" s="9"/>
      <c r="AH16" s="9"/>
      <c r="AI16" s="7"/>
      <c r="AJ16" s="7"/>
      <c r="AK16" s="7"/>
      <c r="AL16" s="7"/>
      <c r="AM16" s="7"/>
      <c r="AN16" s="7"/>
      <c r="AO16" s="7"/>
      <c r="AP16" s="7"/>
      <c r="AQ16" s="9"/>
      <c r="AR16" s="9"/>
      <c r="AS16" s="9"/>
      <c r="AT16" s="8">
        <v>1</v>
      </c>
      <c r="AU16" s="9"/>
      <c r="AV16" s="7"/>
      <c r="AW16" s="8">
        <v>1</v>
      </c>
      <c r="AX16" s="7"/>
      <c r="AY16" s="7"/>
      <c r="AZ16" s="7"/>
      <c r="BA16" s="7"/>
      <c r="BB16" s="7"/>
      <c r="BC16" s="9"/>
      <c r="BD16" s="9"/>
      <c r="BE16" s="9"/>
      <c r="BF16" s="9"/>
      <c r="BG16" s="9"/>
      <c r="BH16" s="85"/>
      <c r="BI16" s="7"/>
      <c r="BJ16" s="9"/>
      <c r="BK16" s="9"/>
      <c r="BL16" s="9"/>
      <c r="BM16" s="9"/>
      <c r="BN16" s="9"/>
      <c r="BO16" s="9"/>
      <c r="BP16" s="9"/>
      <c r="BQ16" s="9"/>
      <c r="BR16" s="9"/>
      <c r="BS16" s="11"/>
    </row>
    <row r="17" spans="2:71">
      <c r="B17" s="54"/>
      <c r="C17" s="75" t="s">
        <v>192</v>
      </c>
      <c r="D17" s="94" t="s">
        <v>193</v>
      </c>
      <c r="E17" s="52">
        <v>1</v>
      </c>
      <c r="F17" s="7"/>
      <c r="G17" s="7"/>
      <c r="H17" s="7"/>
      <c r="I17" s="232">
        <v>2</v>
      </c>
      <c r="J17" s="7"/>
      <c r="K17" s="7"/>
      <c r="L17" s="7"/>
      <c r="M17" s="7"/>
      <c r="N17" s="7"/>
      <c r="O17" s="7"/>
      <c r="P17" s="7"/>
      <c r="Q17" s="9"/>
      <c r="R17" s="7"/>
      <c r="S17" s="12">
        <v>0.5</v>
      </c>
      <c r="T17" s="9"/>
      <c r="U17" s="9"/>
      <c r="V17" s="9"/>
      <c r="W17" s="9"/>
      <c r="X17" s="9"/>
      <c r="Y17" s="9"/>
      <c r="Z17" s="9"/>
      <c r="AA17" s="9"/>
      <c r="AB17" s="9"/>
      <c r="AC17" s="7"/>
      <c r="AD17" s="7"/>
      <c r="AE17" s="9"/>
      <c r="AF17" s="9"/>
      <c r="AG17" s="9"/>
      <c r="AH17" s="9"/>
      <c r="AI17" s="7"/>
      <c r="AJ17" s="7"/>
      <c r="AK17" s="7"/>
      <c r="AL17" s="7"/>
      <c r="AM17" s="7"/>
      <c r="AN17" s="7"/>
      <c r="AO17" s="7"/>
      <c r="AP17" s="7"/>
      <c r="AQ17" s="9"/>
      <c r="AR17" s="9"/>
      <c r="AS17" s="9"/>
      <c r="AT17" s="7"/>
      <c r="AU17" s="9"/>
      <c r="AV17" s="7"/>
      <c r="AW17" s="7"/>
      <c r="AX17" s="7"/>
      <c r="AY17" s="7"/>
      <c r="AZ17" s="8">
        <v>1</v>
      </c>
      <c r="BA17" s="7"/>
      <c r="BB17" s="7"/>
      <c r="BC17" s="9"/>
      <c r="BD17" s="9"/>
      <c r="BE17" s="9"/>
      <c r="BF17" s="9"/>
      <c r="BG17" s="9"/>
      <c r="BH17" s="85"/>
      <c r="BI17" s="7"/>
      <c r="BJ17" s="9"/>
      <c r="BK17" s="9"/>
      <c r="BL17" s="9"/>
      <c r="BM17" s="9"/>
      <c r="BN17" s="9"/>
      <c r="BO17" s="9"/>
      <c r="BP17" s="9"/>
      <c r="BQ17" s="9"/>
      <c r="BR17" s="9"/>
      <c r="BS17" s="11"/>
    </row>
    <row r="18" spans="2:71">
      <c r="B18" s="54"/>
      <c r="C18" s="75" t="s">
        <v>194</v>
      </c>
      <c r="D18" s="94" t="s">
        <v>195</v>
      </c>
      <c r="E18" s="52">
        <v>1</v>
      </c>
      <c r="F18" s="7"/>
      <c r="G18" s="7"/>
      <c r="H18" s="7"/>
      <c r="I18" s="232">
        <v>2</v>
      </c>
      <c r="J18" s="7"/>
      <c r="K18" s="7"/>
      <c r="L18" s="7"/>
      <c r="M18" s="7"/>
      <c r="N18" s="7"/>
      <c r="O18" s="7"/>
      <c r="P18" s="7"/>
      <c r="Q18" s="9"/>
      <c r="R18" s="7"/>
      <c r="S18" s="12">
        <v>0.5</v>
      </c>
      <c r="T18" s="9"/>
      <c r="U18" s="9"/>
      <c r="V18" s="9"/>
      <c r="W18" s="9"/>
      <c r="X18" s="9"/>
      <c r="Y18" s="9"/>
      <c r="Z18" s="9"/>
      <c r="AA18" s="9"/>
      <c r="AB18" s="9"/>
      <c r="AC18" s="7"/>
      <c r="AD18" s="9"/>
      <c r="AE18" s="9"/>
      <c r="AF18" s="9"/>
      <c r="AG18" s="9"/>
      <c r="AH18" s="9"/>
      <c r="AI18" s="7"/>
      <c r="AJ18" s="7"/>
      <c r="AK18" s="7"/>
      <c r="AL18" s="7"/>
      <c r="AM18" s="7"/>
      <c r="AN18" s="7"/>
      <c r="AO18" s="7"/>
      <c r="AP18" s="7"/>
      <c r="AQ18" s="9"/>
      <c r="AR18" s="9"/>
      <c r="AS18" s="9"/>
      <c r="AT18" s="7"/>
      <c r="AU18" s="9"/>
      <c r="AV18" s="7"/>
      <c r="AW18" s="7"/>
      <c r="AX18" s="7"/>
      <c r="AY18" s="7"/>
      <c r="AZ18" s="8">
        <v>1</v>
      </c>
      <c r="BA18" s="7"/>
      <c r="BB18" s="7"/>
      <c r="BC18" s="9"/>
      <c r="BD18" s="9"/>
      <c r="BE18" s="9"/>
      <c r="BF18" s="9"/>
      <c r="BG18" s="9"/>
      <c r="BH18" s="85"/>
      <c r="BI18" s="7"/>
      <c r="BJ18" s="9"/>
      <c r="BK18" s="9"/>
      <c r="BL18" s="9"/>
      <c r="BM18" s="9"/>
      <c r="BN18" s="9"/>
      <c r="BO18" s="9"/>
      <c r="BP18" s="9"/>
      <c r="BQ18" s="9"/>
      <c r="BR18" s="9"/>
      <c r="BS18" s="11"/>
    </row>
    <row r="19" spans="2:71">
      <c r="B19" s="54"/>
      <c r="C19" s="75" t="s">
        <v>196</v>
      </c>
      <c r="D19" s="94" t="s">
        <v>197</v>
      </c>
      <c r="E19" s="52">
        <v>1</v>
      </c>
      <c r="F19" s="7"/>
      <c r="G19" s="7"/>
      <c r="H19" s="7"/>
      <c r="I19" s="233"/>
      <c r="J19" s="8">
        <v>1</v>
      </c>
      <c r="K19" s="7"/>
      <c r="L19" s="7"/>
      <c r="M19" s="7"/>
      <c r="N19" s="7"/>
      <c r="O19" s="7"/>
      <c r="P19" s="7"/>
      <c r="Q19" s="9"/>
      <c r="R19" s="7"/>
      <c r="S19" s="9"/>
      <c r="T19" s="7"/>
      <c r="U19" s="9"/>
      <c r="V19" s="9"/>
      <c r="W19" s="9"/>
      <c r="X19" s="10">
        <v>1</v>
      </c>
      <c r="Y19" s="9"/>
      <c r="Z19" s="9"/>
      <c r="AA19" s="9"/>
      <c r="AB19" s="9"/>
      <c r="AC19" s="7"/>
      <c r="AD19" s="9"/>
      <c r="AE19" s="9"/>
      <c r="AF19" s="9"/>
      <c r="AG19" s="10">
        <v>1</v>
      </c>
      <c r="AH19" s="9"/>
      <c r="AI19" s="7"/>
      <c r="AJ19" s="7"/>
      <c r="AK19" s="7"/>
      <c r="AL19" s="7"/>
      <c r="AM19" s="7"/>
      <c r="AN19" s="7"/>
      <c r="AO19" s="7"/>
      <c r="AP19" s="7"/>
      <c r="AQ19" s="9"/>
      <c r="AR19" s="9"/>
      <c r="AS19" s="9"/>
      <c r="AT19" s="8">
        <v>1</v>
      </c>
      <c r="AU19" s="9"/>
      <c r="AV19" s="7"/>
      <c r="AW19" s="7"/>
      <c r="AX19" s="8">
        <v>1</v>
      </c>
      <c r="AY19" s="7"/>
      <c r="AZ19" s="7"/>
      <c r="BA19" s="7"/>
      <c r="BB19" s="7"/>
      <c r="BC19" s="9"/>
      <c r="BD19" s="9"/>
      <c r="BE19" s="9"/>
      <c r="BF19" s="9"/>
      <c r="BG19" s="9"/>
      <c r="BH19" s="85"/>
      <c r="BI19" s="7"/>
      <c r="BJ19" s="9"/>
      <c r="BK19" s="9"/>
      <c r="BL19" s="9"/>
      <c r="BM19" s="9"/>
      <c r="BN19" s="9"/>
      <c r="BO19" s="9"/>
      <c r="BP19" s="9"/>
      <c r="BQ19" s="9"/>
      <c r="BR19" s="9"/>
      <c r="BS19" s="11"/>
    </row>
    <row r="20" spans="2:71" ht="13.5" thickBot="1">
      <c r="B20" s="54"/>
      <c r="C20" s="75" t="s">
        <v>198</v>
      </c>
      <c r="D20" s="94" t="s">
        <v>199</v>
      </c>
      <c r="E20" s="52">
        <v>1</v>
      </c>
      <c r="F20" s="7"/>
      <c r="G20" s="7"/>
      <c r="H20" s="7"/>
      <c r="I20" s="233"/>
      <c r="J20" s="8">
        <v>1</v>
      </c>
      <c r="K20" s="7"/>
      <c r="L20" s="7"/>
      <c r="M20" s="7"/>
      <c r="N20" s="7"/>
      <c r="O20" s="7"/>
      <c r="P20" s="7"/>
      <c r="Q20" s="9"/>
      <c r="R20" s="7"/>
      <c r="S20" s="9"/>
      <c r="T20" s="7"/>
      <c r="U20" s="9"/>
      <c r="V20" s="9"/>
      <c r="W20" s="9"/>
      <c r="X20" s="10">
        <v>1</v>
      </c>
      <c r="Y20" s="9"/>
      <c r="Z20" s="9"/>
      <c r="AA20" s="9"/>
      <c r="AB20" s="9"/>
      <c r="AC20" s="7"/>
      <c r="AD20" s="9"/>
      <c r="AE20" s="9"/>
      <c r="AF20" s="9"/>
      <c r="AG20" s="10">
        <v>1</v>
      </c>
      <c r="AH20" s="9"/>
      <c r="AI20" s="7"/>
      <c r="AJ20" s="7"/>
      <c r="AK20" s="7"/>
      <c r="AL20" s="7"/>
      <c r="AM20" s="7"/>
      <c r="AN20" s="7"/>
      <c r="AO20" s="7"/>
      <c r="AP20" s="7"/>
      <c r="AQ20" s="9"/>
      <c r="AR20" s="9"/>
      <c r="AS20" s="9"/>
      <c r="AT20" s="8">
        <v>1</v>
      </c>
      <c r="AU20" s="9"/>
      <c r="AV20" s="7"/>
      <c r="AW20" s="292"/>
      <c r="AX20" s="293">
        <v>1</v>
      </c>
      <c r="AY20" s="292"/>
      <c r="AZ20" s="292"/>
      <c r="BA20" s="292"/>
      <c r="BB20" s="292"/>
      <c r="BC20" s="294"/>
      <c r="BD20" s="294"/>
      <c r="BE20" s="9"/>
      <c r="BF20" s="9"/>
      <c r="BG20" s="9"/>
      <c r="BH20" s="85"/>
      <c r="BI20" s="7"/>
      <c r="BJ20" s="9"/>
      <c r="BK20" s="9"/>
      <c r="BL20" s="9"/>
      <c r="BM20" s="9"/>
      <c r="BN20" s="9"/>
      <c r="BO20" s="9"/>
      <c r="BP20" s="9"/>
      <c r="BQ20" s="9"/>
      <c r="BR20" s="9"/>
      <c r="BS20" s="11"/>
    </row>
    <row r="21" spans="2:71">
      <c r="B21" s="54"/>
      <c r="C21" s="75" t="s">
        <v>200</v>
      </c>
      <c r="D21" s="94" t="s">
        <v>90</v>
      </c>
      <c r="E21" s="90"/>
      <c r="F21" s="8">
        <v>3</v>
      </c>
      <c r="G21" s="7"/>
      <c r="H21" s="7"/>
      <c r="I21" s="232">
        <v>2</v>
      </c>
      <c r="J21" s="8">
        <v>1</v>
      </c>
      <c r="K21" s="7"/>
      <c r="L21" s="7"/>
      <c r="M21" s="7"/>
      <c r="N21" s="7"/>
      <c r="O21" s="7"/>
      <c r="P21" s="7"/>
      <c r="Q21" s="9"/>
      <c r="R21" s="7"/>
      <c r="S21" s="9"/>
      <c r="T21" s="9"/>
      <c r="U21" s="9"/>
      <c r="V21" s="9"/>
      <c r="W21" s="7"/>
      <c r="X21" s="10">
        <v>1</v>
      </c>
      <c r="Y21" s="7"/>
      <c r="Z21" s="7"/>
      <c r="AA21" s="7"/>
      <c r="AB21" s="7"/>
      <c r="AC21" s="7"/>
      <c r="AD21" s="9"/>
      <c r="AE21" s="9"/>
      <c r="AF21" s="9"/>
      <c r="AG21" s="9"/>
      <c r="AH21" s="9"/>
      <c r="AI21" s="7"/>
      <c r="AJ21" s="7"/>
      <c r="AK21" s="7"/>
      <c r="AL21" s="7"/>
      <c r="AM21" s="7"/>
      <c r="AN21" s="7"/>
      <c r="AO21" s="7"/>
      <c r="AP21" s="7"/>
      <c r="AQ21" s="9"/>
      <c r="AR21" s="7"/>
      <c r="AS21" s="7"/>
      <c r="AT21" s="8">
        <v>1</v>
      </c>
      <c r="AU21" s="7"/>
      <c r="AV21" s="7"/>
      <c r="AW21" s="295"/>
      <c r="AX21" s="296"/>
      <c r="AY21" s="296"/>
      <c r="AZ21" s="296"/>
      <c r="BA21" s="296"/>
      <c r="BB21" s="296"/>
      <c r="BC21" s="296"/>
      <c r="BD21" s="297"/>
      <c r="BE21" s="291"/>
      <c r="BF21" s="9"/>
      <c r="BG21" s="9"/>
      <c r="BH21" s="85"/>
      <c r="BI21" s="7"/>
      <c r="BJ21" s="9"/>
      <c r="BK21" s="9"/>
      <c r="BL21" s="9"/>
      <c r="BM21" s="9"/>
      <c r="BN21" s="9"/>
      <c r="BO21" s="9"/>
      <c r="BP21" s="9"/>
      <c r="BQ21" s="7"/>
      <c r="BR21" s="9"/>
      <c r="BS21" s="11"/>
    </row>
    <row r="22" spans="2:71">
      <c r="B22" s="54"/>
      <c r="C22" s="75" t="s">
        <v>201</v>
      </c>
      <c r="D22" s="94" t="s">
        <v>742</v>
      </c>
      <c r="E22" s="90"/>
      <c r="F22" s="8">
        <v>1</v>
      </c>
      <c r="G22" s="7"/>
      <c r="H22" s="7"/>
      <c r="I22" s="232">
        <v>2</v>
      </c>
      <c r="J22" s="8">
        <v>1</v>
      </c>
      <c r="K22" s="7"/>
      <c r="L22" s="7"/>
      <c r="M22" s="7"/>
      <c r="N22" s="7"/>
      <c r="O22" s="7"/>
      <c r="P22" s="7"/>
      <c r="Q22" s="9"/>
      <c r="R22" s="7"/>
      <c r="S22" s="9"/>
      <c r="T22" s="9"/>
      <c r="U22" s="9"/>
      <c r="V22" s="9"/>
      <c r="W22" s="9"/>
      <c r="X22" s="10">
        <v>1</v>
      </c>
      <c r="Y22" s="9"/>
      <c r="Z22" s="9"/>
      <c r="AA22" s="9"/>
      <c r="AB22" s="9"/>
      <c r="AC22" s="7"/>
      <c r="AD22" s="9"/>
      <c r="AE22" s="9"/>
      <c r="AF22" s="9"/>
      <c r="AG22" s="9"/>
      <c r="AH22" s="9"/>
      <c r="AI22" s="7"/>
      <c r="AJ22" s="7"/>
      <c r="AK22" s="7"/>
      <c r="AL22" s="7"/>
      <c r="AM22" s="7"/>
      <c r="AN22" s="7"/>
      <c r="AO22" s="7"/>
      <c r="AP22" s="7"/>
      <c r="AQ22" s="9"/>
      <c r="AR22" s="9"/>
      <c r="AS22" s="9"/>
      <c r="AT22" s="8">
        <v>1</v>
      </c>
      <c r="AU22" s="9"/>
      <c r="AV22" s="7"/>
      <c r="AW22" s="298"/>
      <c r="AX22" s="273"/>
      <c r="AY22" s="273"/>
      <c r="AZ22" s="273"/>
      <c r="BA22" s="273"/>
      <c r="BB22" s="273"/>
      <c r="BC22" s="274"/>
      <c r="BD22" s="299"/>
      <c r="BE22" s="291"/>
      <c r="BF22" s="9"/>
      <c r="BG22" s="9"/>
      <c r="BH22" s="85"/>
      <c r="BI22" s="7"/>
      <c r="BJ22" s="9"/>
      <c r="BK22" s="9"/>
      <c r="BL22" s="9"/>
      <c r="BM22" s="9"/>
      <c r="BN22" s="9"/>
      <c r="BO22" s="9"/>
      <c r="BP22" s="9"/>
      <c r="BQ22" s="9"/>
      <c r="BR22" s="9"/>
      <c r="BS22" s="11"/>
    </row>
    <row r="23" spans="2:71">
      <c r="B23" s="54"/>
      <c r="C23" s="75" t="s">
        <v>725</v>
      </c>
      <c r="D23" s="94" t="s">
        <v>92</v>
      </c>
      <c r="E23" s="52">
        <v>1</v>
      </c>
      <c r="F23" s="8">
        <v>1</v>
      </c>
      <c r="G23" s="7"/>
      <c r="H23" s="7"/>
      <c r="I23" s="232">
        <v>5</v>
      </c>
      <c r="J23" s="7"/>
      <c r="K23" s="7"/>
      <c r="L23" s="7"/>
      <c r="M23" s="7"/>
      <c r="N23" s="8">
        <v>2</v>
      </c>
      <c r="O23" s="7"/>
      <c r="P23" s="7"/>
      <c r="Q23" s="9"/>
      <c r="R23" s="7"/>
      <c r="S23" s="10">
        <v>1</v>
      </c>
      <c r="T23" s="9"/>
      <c r="U23" s="9"/>
      <c r="V23" s="9"/>
      <c r="W23" s="9"/>
      <c r="X23" s="10">
        <v>1</v>
      </c>
      <c r="Y23" s="9"/>
      <c r="Z23" s="9"/>
      <c r="AA23" s="9"/>
      <c r="AB23" s="9"/>
      <c r="AC23" s="7"/>
      <c r="AD23" s="9"/>
      <c r="AE23" s="9"/>
      <c r="AF23" s="9"/>
      <c r="AG23" s="9"/>
      <c r="AH23" s="9"/>
      <c r="AI23" s="7"/>
      <c r="AJ23" s="7"/>
      <c r="AK23" s="7"/>
      <c r="AL23" s="7"/>
      <c r="AM23" s="7"/>
      <c r="AN23" s="7"/>
      <c r="AO23" s="7"/>
      <c r="AP23" s="7"/>
      <c r="AQ23" s="9"/>
      <c r="AR23" s="9"/>
      <c r="AS23" s="9"/>
      <c r="AT23" s="8">
        <v>1</v>
      </c>
      <c r="AU23" s="9"/>
      <c r="AV23" s="7"/>
      <c r="AW23" s="298"/>
      <c r="AX23" s="273"/>
      <c r="AY23" s="273"/>
      <c r="AZ23" s="273"/>
      <c r="BA23" s="273"/>
      <c r="BB23" s="273"/>
      <c r="BC23" s="274"/>
      <c r="BD23" s="299"/>
      <c r="BE23" s="291"/>
      <c r="BF23" s="9"/>
      <c r="BG23" s="9"/>
      <c r="BH23" s="85"/>
      <c r="BI23" s="7"/>
      <c r="BJ23" s="9"/>
      <c r="BK23" s="9"/>
      <c r="BL23" s="9"/>
      <c r="BM23" s="9"/>
      <c r="BN23" s="9"/>
      <c r="BO23" s="9"/>
      <c r="BP23" s="9"/>
      <c r="BQ23" s="9"/>
      <c r="BR23" s="9"/>
      <c r="BS23" s="11"/>
    </row>
    <row r="24" spans="2:71">
      <c r="B24" s="54"/>
      <c r="C24" s="75" t="s">
        <v>202</v>
      </c>
      <c r="D24" s="94" t="s">
        <v>203</v>
      </c>
      <c r="E24" s="52">
        <v>1</v>
      </c>
      <c r="F24" s="8">
        <v>1</v>
      </c>
      <c r="G24" s="7"/>
      <c r="H24" s="7"/>
      <c r="I24" s="232">
        <v>4</v>
      </c>
      <c r="J24" s="7"/>
      <c r="K24" s="7"/>
      <c r="L24" s="7"/>
      <c r="M24" s="7"/>
      <c r="N24" s="8">
        <v>1</v>
      </c>
      <c r="O24" s="8">
        <v>1</v>
      </c>
      <c r="P24" s="7"/>
      <c r="Q24" s="9"/>
      <c r="R24" s="7"/>
      <c r="S24" s="9"/>
      <c r="T24" s="9"/>
      <c r="U24" s="9"/>
      <c r="V24" s="9"/>
      <c r="W24" s="9"/>
      <c r="X24" s="10">
        <v>1</v>
      </c>
      <c r="Y24" s="9"/>
      <c r="Z24" s="9"/>
      <c r="AA24" s="9"/>
      <c r="AB24" s="9"/>
      <c r="AC24" s="7"/>
      <c r="AD24" s="9"/>
      <c r="AE24" s="9"/>
      <c r="AF24" s="9"/>
      <c r="AG24" s="10">
        <v>1</v>
      </c>
      <c r="AH24" s="9"/>
      <c r="AI24" s="7"/>
      <c r="AJ24" s="7"/>
      <c r="AK24" s="7"/>
      <c r="AL24" s="7"/>
      <c r="AM24" s="7"/>
      <c r="AN24" s="7"/>
      <c r="AO24" s="7"/>
      <c r="AP24" s="7"/>
      <c r="AQ24" s="9"/>
      <c r="AR24" s="9"/>
      <c r="AS24" s="9"/>
      <c r="AT24" s="8">
        <v>1</v>
      </c>
      <c r="AU24" s="9"/>
      <c r="AV24" s="7"/>
      <c r="AW24" s="300">
        <v>1</v>
      </c>
      <c r="AX24" s="273"/>
      <c r="AY24" s="273"/>
      <c r="AZ24" s="273"/>
      <c r="BA24" s="273"/>
      <c r="BB24" s="273"/>
      <c r="BC24" s="274"/>
      <c r="BD24" s="299"/>
      <c r="BE24" s="291"/>
      <c r="BF24" s="9"/>
      <c r="BG24" s="9"/>
      <c r="BH24" s="85"/>
      <c r="BI24" s="7"/>
      <c r="BJ24" s="9"/>
      <c r="BK24" s="9"/>
      <c r="BL24" s="9"/>
      <c r="BM24" s="9"/>
      <c r="BN24" s="9"/>
      <c r="BO24" s="9"/>
      <c r="BP24" s="9"/>
      <c r="BQ24" s="9"/>
      <c r="BR24" s="9"/>
      <c r="BS24" s="11"/>
    </row>
    <row r="25" spans="2:71">
      <c r="B25" s="54"/>
      <c r="C25" s="75" t="s">
        <v>204</v>
      </c>
      <c r="D25" s="94" t="s">
        <v>205</v>
      </c>
      <c r="E25" s="52">
        <v>1</v>
      </c>
      <c r="F25" s="8">
        <v>1</v>
      </c>
      <c r="G25" s="7"/>
      <c r="H25" s="7"/>
      <c r="I25" s="232">
        <v>4</v>
      </c>
      <c r="J25" s="7"/>
      <c r="K25" s="7"/>
      <c r="L25" s="7"/>
      <c r="M25" s="7"/>
      <c r="N25" s="8">
        <v>1</v>
      </c>
      <c r="O25" s="8">
        <v>1</v>
      </c>
      <c r="P25" s="7"/>
      <c r="Q25" s="9"/>
      <c r="R25" s="7"/>
      <c r="S25" s="9"/>
      <c r="T25" s="9"/>
      <c r="U25" s="9"/>
      <c r="V25" s="9"/>
      <c r="W25" s="9"/>
      <c r="X25" s="10">
        <v>1</v>
      </c>
      <c r="Y25" s="9"/>
      <c r="Z25" s="9"/>
      <c r="AA25" s="9"/>
      <c r="AB25" s="9"/>
      <c r="AC25" s="7"/>
      <c r="AD25" s="9"/>
      <c r="AE25" s="9"/>
      <c r="AF25" s="9"/>
      <c r="AG25" s="10">
        <v>1</v>
      </c>
      <c r="AH25" s="9"/>
      <c r="AI25" s="7"/>
      <c r="AJ25" s="7"/>
      <c r="AK25" s="7"/>
      <c r="AL25" s="7"/>
      <c r="AM25" s="7"/>
      <c r="AN25" s="7"/>
      <c r="AO25" s="7"/>
      <c r="AP25" s="7"/>
      <c r="AQ25" s="9"/>
      <c r="AR25" s="9"/>
      <c r="AS25" s="9"/>
      <c r="AT25" s="8">
        <v>1</v>
      </c>
      <c r="AU25" s="9"/>
      <c r="AV25" s="7"/>
      <c r="AW25" s="300">
        <v>1</v>
      </c>
      <c r="AX25" s="273"/>
      <c r="AY25" s="273"/>
      <c r="AZ25" s="273"/>
      <c r="BA25" s="273"/>
      <c r="BB25" s="273"/>
      <c r="BC25" s="274"/>
      <c r="BD25" s="299"/>
      <c r="BE25" s="291"/>
      <c r="BF25" s="9"/>
      <c r="BG25" s="9"/>
      <c r="BH25" s="85"/>
      <c r="BI25" s="7"/>
      <c r="BJ25" s="9"/>
      <c r="BK25" s="9"/>
      <c r="BL25" s="9"/>
      <c r="BM25" s="9"/>
      <c r="BN25" s="9"/>
      <c r="BO25" s="9"/>
      <c r="BP25" s="9"/>
      <c r="BQ25" s="9"/>
      <c r="BR25" s="9"/>
      <c r="BS25" s="11"/>
    </row>
    <row r="26" spans="2:71" ht="13.5" thickBot="1">
      <c r="B26" s="54"/>
      <c r="C26" s="186" t="s">
        <v>180</v>
      </c>
      <c r="D26" s="94" t="s">
        <v>206</v>
      </c>
      <c r="E26" s="52">
        <v>3</v>
      </c>
      <c r="F26" s="8">
        <v>1</v>
      </c>
      <c r="G26" s="7"/>
      <c r="H26" s="7"/>
      <c r="I26" s="232">
        <v>8</v>
      </c>
      <c r="J26" s="7"/>
      <c r="K26" s="7"/>
      <c r="L26" s="7"/>
      <c r="M26" s="7"/>
      <c r="N26" s="8">
        <v>4</v>
      </c>
      <c r="O26" s="8">
        <v>2</v>
      </c>
      <c r="P26" s="7"/>
      <c r="Q26" s="9"/>
      <c r="R26" s="7"/>
      <c r="S26" s="9"/>
      <c r="T26" s="9"/>
      <c r="U26" s="9"/>
      <c r="V26" s="9"/>
      <c r="W26" s="9"/>
      <c r="X26" s="10">
        <v>1</v>
      </c>
      <c r="Y26" s="9"/>
      <c r="Z26" s="9"/>
      <c r="AA26" s="9"/>
      <c r="AB26" s="9"/>
      <c r="AC26" s="7"/>
      <c r="AD26" s="9"/>
      <c r="AE26" s="9"/>
      <c r="AF26" s="9"/>
      <c r="AG26" s="10">
        <v>1</v>
      </c>
      <c r="AH26" s="9"/>
      <c r="AI26" s="7"/>
      <c r="AJ26" s="7"/>
      <c r="AK26" s="7"/>
      <c r="AL26" s="7"/>
      <c r="AM26" s="7"/>
      <c r="AN26" s="7"/>
      <c r="AO26" s="7"/>
      <c r="AP26" s="7"/>
      <c r="AQ26" s="9"/>
      <c r="AR26" s="9"/>
      <c r="AS26" s="9"/>
      <c r="AT26" s="8">
        <v>1</v>
      </c>
      <c r="AU26" s="9"/>
      <c r="AV26" s="7"/>
      <c r="AW26" s="301">
        <v>3</v>
      </c>
      <c r="AX26" s="302"/>
      <c r="AY26" s="302"/>
      <c r="AZ26" s="302"/>
      <c r="BA26" s="302"/>
      <c r="BB26" s="302"/>
      <c r="BC26" s="303"/>
      <c r="BD26" s="304"/>
      <c r="BE26" s="291"/>
      <c r="BF26" s="9"/>
      <c r="BG26" s="9"/>
      <c r="BH26" s="85"/>
      <c r="BI26" s="7"/>
      <c r="BJ26" s="9"/>
      <c r="BK26" s="9"/>
      <c r="BL26" s="9"/>
      <c r="BM26" s="9"/>
      <c r="BN26" s="9"/>
      <c r="BO26" s="9"/>
      <c r="BP26" s="9"/>
      <c r="BQ26" s="9"/>
      <c r="BR26" s="9"/>
      <c r="BS26" s="11"/>
    </row>
    <row r="27" spans="2:71">
      <c r="B27" s="54"/>
      <c r="C27" s="186" t="s">
        <v>180</v>
      </c>
      <c r="D27" s="94" t="s">
        <v>207</v>
      </c>
      <c r="E27" s="52">
        <v>2</v>
      </c>
      <c r="F27" s="7"/>
      <c r="G27" s="7"/>
      <c r="H27" s="7"/>
      <c r="I27" s="233"/>
      <c r="J27" s="8">
        <v>2</v>
      </c>
      <c r="K27" s="7"/>
      <c r="L27" s="7"/>
      <c r="M27" s="7"/>
      <c r="N27" s="7"/>
      <c r="O27" s="7"/>
      <c r="P27" s="7"/>
      <c r="Q27" s="9"/>
      <c r="R27" s="7"/>
      <c r="S27" s="9"/>
      <c r="T27" s="7"/>
      <c r="U27" s="10">
        <v>1</v>
      </c>
      <c r="V27" s="9"/>
      <c r="W27" s="9"/>
      <c r="X27" s="9"/>
      <c r="Y27" s="9"/>
      <c r="Z27" s="10">
        <v>6</v>
      </c>
      <c r="AA27" s="9"/>
      <c r="AB27" s="9"/>
      <c r="AC27" s="7"/>
      <c r="AD27" s="10">
        <v>1</v>
      </c>
      <c r="AE27" s="9"/>
      <c r="AF27" s="9"/>
      <c r="AG27" s="10">
        <v>1</v>
      </c>
      <c r="AH27" s="9"/>
      <c r="AI27" s="7"/>
      <c r="AJ27" s="7"/>
      <c r="AK27" s="7"/>
      <c r="AL27" s="7"/>
      <c r="AM27" s="7"/>
      <c r="AN27" s="7"/>
      <c r="AO27" s="7"/>
      <c r="AP27" s="7"/>
      <c r="AQ27" s="9"/>
      <c r="AR27" s="9"/>
      <c r="AS27" s="9"/>
      <c r="AT27" s="7"/>
      <c r="AU27" s="9"/>
      <c r="AV27" s="7"/>
      <c r="AW27" s="7"/>
      <c r="AX27" s="7"/>
      <c r="AY27" s="7"/>
      <c r="AZ27" s="290">
        <v>2</v>
      </c>
      <c r="BA27" s="7"/>
      <c r="BB27" s="7"/>
      <c r="BC27" s="9"/>
      <c r="BD27" s="9"/>
      <c r="BE27" s="9"/>
      <c r="BF27" s="9"/>
      <c r="BG27" s="9"/>
      <c r="BH27" s="85"/>
      <c r="BI27" s="7"/>
      <c r="BJ27" s="9"/>
      <c r="BK27" s="9"/>
      <c r="BL27" s="9"/>
      <c r="BM27" s="9"/>
      <c r="BN27" s="9"/>
      <c r="BO27" s="9"/>
      <c r="BP27" s="9"/>
      <c r="BQ27" s="9"/>
      <c r="BR27" s="9"/>
      <c r="BS27" s="11"/>
    </row>
    <row r="28" spans="2:71">
      <c r="B28" s="54"/>
      <c r="C28" s="186" t="s">
        <v>180</v>
      </c>
      <c r="D28" s="94" t="s">
        <v>208</v>
      </c>
      <c r="E28" s="52">
        <v>2</v>
      </c>
      <c r="F28" s="7"/>
      <c r="G28" s="7"/>
      <c r="H28" s="7"/>
      <c r="I28" s="233"/>
      <c r="J28" s="8">
        <v>2</v>
      </c>
      <c r="K28" s="7"/>
      <c r="L28" s="7"/>
      <c r="M28" s="7"/>
      <c r="N28" s="7"/>
      <c r="O28" s="7"/>
      <c r="P28" s="7"/>
      <c r="Q28" s="9"/>
      <c r="R28" s="7"/>
      <c r="S28" s="9"/>
      <c r="T28" s="7"/>
      <c r="U28" s="10">
        <v>1</v>
      </c>
      <c r="V28" s="9"/>
      <c r="W28" s="9"/>
      <c r="X28" s="9"/>
      <c r="Y28" s="9"/>
      <c r="Z28" s="10">
        <v>6</v>
      </c>
      <c r="AA28" s="9"/>
      <c r="AB28" s="9"/>
      <c r="AC28" s="7"/>
      <c r="AD28" s="10">
        <v>1</v>
      </c>
      <c r="AE28" s="9"/>
      <c r="AF28" s="9"/>
      <c r="AG28" s="10">
        <v>1</v>
      </c>
      <c r="AH28" s="9"/>
      <c r="AI28" s="7"/>
      <c r="AJ28" s="7"/>
      <c r="AK28" s="7"/>
      <c r="AL28" s="7"/>
      <c r="AM28" s="7"/>
      <c r="AN28" s="7"/>
      <c r="AO28" s="7"/>
      <c r="AP28" s="7"/>
      <c r="AQ28" s="9"/>
      <c r="AR28" s="9"/>
      <c r="AS28" s="9"/>
      <c r="AT28" s="7"/>
      <c r="AU28" s="9"/>
      <c r="AV28" s="7"/>
      <c r="AW28" s="7"/>
      <c r="AX28" s="7"/>
      <c r="AY28" s="7"/>
      <c r="AZ28" s="290">
        <v>2</v>
      </c>
      <c r="BA28" s="7"/>
      <c r="BB28" s="7"/>
      <c r="BC28" s="9"/>
      <c r="BD28" s="9"/>
      <c r="BE28" s="9"/>
      <c r="BF28" s="9"/>
      <c r="BG28" s="9"/>
      <c r="BH28" s="85"/>
      <c r="BI28" s="7"/>
      <c r="BJ28" s="9"/>
      <c r="BK28" s="9"/>
      <c r="BL28" s="9"/>
      <c r="BM28" s="9"/>
      <c r="BN28" s="9"/>
      <c r="BO28" s="9"/>
      <c r="BP28" s="9"/>
      <c r="BQ28" s="9"/>
      <c r="BR28" s="9"/>
      <c r="BS28" s="11"/>
    </row>
    <row r="29" spans="2:71">
      <c r="B29" s="54"/>
      <c r="C29" s="186" t="s">
        <v>180</v>
      </c>
      <c r="D29" s="94" t="s">
        <v>209</v>
      </c>
      <c r="E29" s="90"/>
      <c r="F29" s="7"/>
      <c r="G29" s="7"/>
      <c r="H29" s="7"/>
      <c r="I29" s="234">
        <v>1</v>
      </c>
      <c r="J29" s="7"/>
      <c r="K29" s="7"/>
      <c r="L29" s="7"/>
      <c r="M29" s="7"/>
      <c r="N29" s="7"/>
      <c r="O29" s="7"/>
      <c r="P29" s="7"/>
      <c r="Q29" s="9"/>
      <c r="R29" s="7"/>
      <c r="S29" s="9"/>
      <c r="T29" s="9"/>
      <c r="U29" s="9"/>
      <c r="V29" s="9"/>
      <c r="W29" s="9"/>
      <c r="X29" s="234">
        <v>1</v>
      </c>
      <c r="Y29" s="9"/>
      <c r="Z29" s="9"/>
      <c r="AA29" s="9"/>
      <c r="AB29" s="9"/>
      <c r="AC29" s="7"/>
      <c r="AD29" s="9"/>
      <c r="AE29" s="9"/>
      <c r="AF29" s="7"/>
      <c r="AG29" s="9"/>
      <c r="AH29" s="9"/>
      <c r="AI29" s="7"/>
      <c r="AJ29" s="7"/>
      <c r="AK29" s="7"/>
      <c r="AL29" s="7"/>
      <c r="AM29" s="7"/>
      <c r="AN29" s="7"/>
      <c r="AO29" s="7"/>
      <c r="AP29" s="7"/>
      <c r="AQ29" s="9"/>
      <c r="AR29" s="9"/>
      <c r="AS29" s="9"/>
      <c r="AT29" s="7"/>
      <c r="AU29" s="9"/>
      <c r="AV29" s="7"/>
      <c r="AW29" s="7"/>
      <c r="AX29" s="7"/>
      <c r="AY29" s="7"/>
      <c r="AZ29" s="7"/>
      <c r="BA29" s="7"/>
      <c r="BB29" s="7"/>
      <c r="BC29" s="9"/>
      <c r="BD29" s="9"/>
      <c r="BE29" s="9"/>
      <c r="BF29" s="9"/>
      <c r="BG29" s="9"/>
      <c r="BH29" s="85"/>
      <c r="BI29" s="7"/>
      <c r="BJ29" s="9"/>
      <c r="BK29" s="9"/>
      <c r="BL29" s="9"/>
      <c r="BM29" s="9"/>
      <c r="BN29" s="9"/>
      <c r="BO29" s="9"/>
      <c r="BP29" s="9"/>
      <c r="BQ29" s="9"/>
      <c r="BR29" s="9"/>
      <c r="BS29" s="11"/>
    </row>
    <row r="30" spans="2:71">
      <c r="B30" s="54"/>
      <c r="C30" s="186" t="s">
        <v>180</v>
      </c>
      <c r="D30" s="94" t="s">
        <v>86</v>
      </c>
      <c r="E30" s="90"/>
      <c r="F30" s="7"/>
      <c r="G30" s="7"/>
      <c r="H30" s="7"/>
      <c r="I30" s="232">
        <v>2</v>
      </c>
      <c r="J30" s="7"/>
      <c r="K30" s="7"/>
      <c r="L30" s="7"/>
      <c r="M30" s="7"/>
      <c r="N30" s="7"/>
      <c r="O30" s="7"/>
      <c r="P30" s="7"/>
      <c r="Q30" s="9"/>
      <c r="R30" s="7"/>
      <c r="S30" s="9"/>
      <c r="T30" s="9"/>
      <c r="U30" s="9"/>
      <c r="V30" s="9"/>
      <c r="W30" s="9"/>
      <c r="X30" s="12">
        <v>1</v>
      </c>
      <c r="Y30" s="9"/>
      <c r="Z30" s="9"/>
      <c r="AA30" s="9"/>
      <c r="AB30" s="9"/>
      <c r="AC30" s="7"/>
      <c r="AD30" s="9"/>
      <c r="AE30" s="9"/>
      <c r="AF30" s="9"/>
      <c r="AG30" s="10">
        <v>1</v>
      </c>
      <c r="AH30" s="9"/>
      <c r="AI30" s="7"/>
      <c r="AJ30" s="7"/>
      <c r="AK30" s="7"/>
      <c r="AL30" s="7"/>
      <c r="AM30" s="7"/>
      <c r="AN30" s="7"/>
      <c r="AO30" s="7"/>
      <c r="AP30" s="7"/>
      <c r="AQ30" s="9"/>
      <c r="AR30" s="9"/>
      <c r="AS30" s="9"/>
      <c r="AT30" s="8">
        <v>2</v>
      </c>
      <c r="AU30" s="9"/>
      <c r="AV30" s="7"/>
      <c r="AW30" s="7"/>
      <c r="AX30" s="7"/>
      <c r="AY30" s="7"/>
      <c r="AZ30" s="7"/>
      <c r="BA30" s="7"/>
      <c r="BB30" s="7"/>
      <c r="BC30" s="9"/>
      <c r="BD30" s="9"/>
      <c r="BE30" s="9"/>
      <c r="BF30" s="9"/>
      <c r="BG30" s="9"/>
      <c r="BH30" s="85"/>
      <c r="BI30" s="7"/>
      <c r="BJ30" s="9"/>
      <c r="BK30" s="9"/>
      <c r="BL30" s="9"/>
      <c r="BM30" s="9"/>
      <c r="BN30" s="9"/>
      <c r="BO30" s="9"/>
      <c r="BP30" s="9"/>
      <c r="BQ30" s="9"/>
      <c r="BR30" s="9"/>
      <c r="BS30" s="11"/>
    </row>
    <row r="31" spans="2:71" ht="13.5" thickBot="1">
      <c r="B31" s="54"/>
      <c r="C31" s="186" t="s">
        <v>180</v>
      </c>
      <c r="D31" s="94" t="s">
        <v>87</v>
      </c>
      <c r="E31" s="90"/>
      <c r="F31" s="7"/>
      <c r="G31" s="7"/>
      <c r="H31" s="7"/>
      <c r="I31" s="232">
        <v>2</v>
      </c>
      <c r="J31" s="7"/>
      <c r="K31" s="7"/>
      <c r="L31" s="7"/>
      <c r="M31" s="7"/>
      <c r="N31" s="7"/>
      <c r="O31" s="7"/>
      <c r="P31" s="7"/>
      <c r="Q31" s="9"/>
      <c r="R31" s="7"/>
      <c r="S31" s="9"/>
      <c r="T31" s="9"/>
      <c r="U31" s="9"/>
      <c r="V31" s="9"/>
      <c r="W31" s="9"/>
      <c r="X31" s="10">
        <v>1</v>
      </c>
      <c r="Y31" s="9"/>
      <c r="Z31" s="9"/>
      <c r="AA31" s="9"/>
      <c r="AB31" s="9"/>
      <c r="AC31" s="7"/>
      <c r="AD31" s="9"/>
      <c r="AE31" s="9"/>
      <c r="AF31" s="9"/>
      <c r="AG31" s="10">
        <v>1</v>
      </c>
      <c r="AH31" s="9"/>
      <c r="AI31" s="7"/>
      <c r="AJ31" s="7"/>
      <c r="AK31" s="7"/>
      <c r="AL31" s="7"/>
      <c r="AM31" s="7"/>
      <c r="AN31" s="7"/>
      <c r="AO31" s="7"/>
      <c r="AP31" s="7"/>
      <c r="AQ31" s="9"/>
      <c r="AR31" s="9"/>
      <c r="AS31" s="9"/>
      <c r="AT31" s="8">
        <v>2</v>
      </c>
      <c r="AU31" s="9"/>
      <c r="AV31" s="7"/>
      <c r="AW31" s="292"/>
      <c r="AX31" s="292"/>
      <c r="AY31" s="292"/>
      <c r="AZ31" s="292"/>
      <c r="BA31" s="292"/>
      <c r="BB31" s="292"/>
      <c r="BC31" s="294"/>
      <c r="BD31" s="294"/>
      <c r="BE31" s="9"/>
      <c r="BF31" s="9"/>
      <c r="BG31" s="9"/>
      <c r="BH31" s="85"/>
      <c r="BI31" s="7"/>
      <c r="BJ31" s="9"/>
      <c r="BK31" s="9"/>
      <c r="BL31" s="9"/>
      <c r="BM31" s="9"/>
      <c r="BN31" s="9"/>
      <c r="BO31" s="9"/>
      <c r="BP31" s="9"/>
      <c r="BQ31" s="9"/>
      <c r="BR31" s="9"/>
      <c r="BS31" s="11"/>
    </row>
    <row r="32" spans="2:71">
      <c r="B32" s="54"/>
      <c r="C32" s="186" t="s">
        <v>180</v>
      </c>
      <c r="D32" s="94" t="s">
        <v>98</v>
      </c>
      <c r="E32" s="90"/>
      <c r="F32" s="8">
        <v>2</v>
      </c>
      <c r="G32" s="7"/>
      <c r="H32" s="7"/>
      <c r="I32" s="232">
        <v>4</v>
      </c>
      <c r="J32" s="7"/>
      <c r="K32" s="7"/>
      <c r="L32" s="7"/>
      <c r="M32" s="7"/>
      <c r="N32" s="8">
        <v>4</v>
      </c>
      <c r="O32" s="8">
        <v>2</v>
      </c>
      <c r="P32" s="7"/>
      <c r="Q32" s="9"/>
      <c r="R32" s="7"/>
      <c r="S32" s="9"/>
      <c r="T32" s="10">
        <v>2</v>
      </c>
      <c r="U32" s="9"/>
      <c r="V32" s="9"/>
      <c r="W32" s="9"/>
      <c r="X32" s="10">
        <v>2</v>
      </c>
      <c r="Y32" s="9"/>
      <c r="Z32" s="9"/>
      <c r="AA32" s="9"/>
      <c r="AB32" s="9"/>
      <c r="AC32" s="7"/>
      <c r="AD32" s="9"/>
      <c r="AE32" s="9"/>
      <c r="AF32" s="9"/>
      <c r="AG32" s="10">
        <v>2</v>
      </c>
      <c r="AH32" s="9"/>
      <c r="AI32" s="7"/>
      <c r="AJ32" s="7"/>
      <c r="AK32" s="7"/>
      <c r="AL32" s="7"/>
      <c r="AM32" s="7"/>
      <c r="AN32" s="7"/>
      <c r="AO32" s="7"/>
      <c r="AP32" s="7"/>
      <c r="AQ32" s="9"/>
      <c r="AR32" s="9"/>
      <c r="AS32" s="9"/>
      <c r="AT32" s="8">
        <v>2</v>
      </c>
      <c r="AU32" s="9"/>
      <c r="AV32" s="7"/>
      <c r="AW32" s="305">
        <v>1</v>
      </c>
      <c r="AX32" s="296"/>
      <c r="AY32" s="296"/>
      <c r="AZ32" s="296"/>
      <c r="BA32" s="306">
        <v>1</v>
      </c>
      <c r="BB32" s="296"/>
      <c r="BC32" s="307"/>
      <c r="BD32" s="297"/>
      <c r="BE32" s="291"/>
      <c r="BF32" s="9"/>
      <c r="BG32" s="9"/>
      <c r="BH32" s="85"/>
      <c r="BI32" s="7"/>
      <c r="BJ32" s="9"/>
      <c r="BK32" s="9"/>
      <c r="BL32" s="9"/>
      <c r="BM32" s="9"/>
      <c r="BN32" s="9"/>
      <c r="BO32" s="9"/>
      <c r="BP32" s="9"/>
      <c r="BQ32" s="9"/>
      <c r="BR32" s="9"/>
      <c r="BS32" s="11"/>
    </row>
    <row r="33" spans="2:71">
      <c r="B33" s="54"/>
      <c r="C33" s="186" t="s">
        <v>180</v>
      </c>
      <c r="D33" s="94" t="s">
        <v>99</v>
      </c>
      <c r="E33" s="90"/>
      <c r="F33" s="8">
        <v>1</v>
      </c>
      <c r="G33" s="7"/>
      <c r="H33" s="7"/>
      <c r="I33" s="232">
        <v>4</v>
      </c>
      <c r="J33" s="7"/>
      <c r="K33" s="7"/>
      <c r="L33" s="7"/>
      <c r="M33" s="7"/>
      <c r="N33" s="7"/>
      <c r="O33" s="7"/>
      <c r="P33" s="7"/>
      <c r="Q33" s="9"/>
      <c r="R33" s="7"/>
      <c r="S33" s="9"/>
      <c r="T33" s="10">
        <v>2</v>
      </c>
      <c r="U33" s="9"/>
      <c r="V33" s="9"/>
      <c r="W33" s="9"/>
      <c r="X33" s="10">
        <v>2</v>
      </c>
      <c r="Y33" s="9"/>
      <c r="Z33" s="9"/>
      <c r="AA33" s="9"/>
      <c r="AB33" s="9"/>
      <c r="AC33" s="7"/>
      <c r="AD33" s="9"/>
      <c r="AE33" s="9"/>
      <c r="AF33" s="9"/>
      <c r="AG33" s="10">
        <v>2</v>
      </c>
      <c r="AH33" s="9"/>
      <c r="AI33" s="7"/>
      <c r="AJ33" s="7"/>
      <c r="AK33" s="7"/>
      <c r="AL33" s="7"/>
      <c r="AM33" s="7"/>
      <c r="AN33" s="7"/>
      <c r="AO33" s="7"/>
      <c r="AP33" s="7"/>
      <c r="AQ33" s="9"/>
      <c r="AR33" s="9"/>
      <c r="AS33" s="9"/>
      <c r="AT33" s="8">
        <v>2</v>
      </c>
      <c r="AU33" s="9"/>
      <c r="AV33" s="7"/>
      <c r="AW33" s="298"/>
      <c r="AX33" s="273"/>
      <c r="AY33" s="273"/>
      <c r="AZ33" s="273"/>
      <c r="BA33" s="289">
        <v>1</v>
      </c>
      <c r="BB33" s="273"/>
      <c r="BC33" s="274"/>
      <c r="BD33" s="299"/>
      <c r="BE33" s="291"/>
      <c r="BF33" s="9"/>
      <c r="BG33" s="9"/>
      <c r="BH33" s="85"/>
      <c r="BI33" s="7"/>
      <c r="BJ33" s="9"/>
      <c r="BK33" s="9"/>
      <c r="BL33" s="9"/>
      <c r="BM33" s="9"/>
      <c r="BN33" s="9"/>
      <c r="BO33" s="9"/>
      <c r="BP33" s="9"/>
      <c r="BQ33" s="9"/>
      <c r="BR33" s="9"/>
      <c r="BS33" s="11"/>
    </row>
    <row r="34" spans="2:71">
      <c r="B34" s="54"/>
      <c r="C34" s="186" t="s">
        <v>180</v>
      </c>
      <c r="D34" s="95" t="s">
        <v>96</v>
      </c>
      <c r="E34" s="196">
        <v>1</v>
      </c>
      <c r="F34" s="195"/>
      <c r="G34" s="195"/>
      <c r="H34" s="195"/>
      <c r="I34" s="235"/>
      <c r="J34" s="195"/>
      <c r="K34" s="195"/>
      <c r="L34" s="195"/>
      <c r="M34" s="195"/>
      <c r="N34" s="195"/>
      <c r="O34" s="195"/>
      <c r="P34" s="195"/>
      <c r="Q34" s="195"/>
      <c r="R34" s="195"/>
      <c r="S34" s="195"/>
      <c r="T34" s="195"/>
      <c r="U34" s="195"/>
      <c r="V34" s="195"/>
      <c r="W34" s="195"/>
      <c r="X34" s="195"/>
      <c r="Y34" s="195"/>
      <c r="Z34" s="195"/>
      <c r="AA34" s="195"/>
      <c r="AB34" s="195"/>
      <c r="AC34" s="195"/>
      <c r="AD34" s="195"/>
      <c r="AE34" s="195"/>
      <c r="AF34" s="195"/>
      <c r="AG34" s="195"/>
      <c r="AH34" s="195"/>
      <c r="AI34" s="195"/>
      <c r="AJ34" s="195"/>
      <c r="AK34" s="195"/>
      <c r="AL34" s="195"/>
      <c r="AM34" s="195"/>
      <c r="AN34" s="195"/>
      <c r="AO34" s="195"/>
      <c r="AP34" s="195"/>
      <c r="AQ34" s="195"/>
      <c r="AR34" s="195"/>
      <c r="AS34" s="195"/>
      <c r="AT34" s="195"/>
      <c r="AU34" s="195"/>
      <c r="AV34" s="195"/>
      <c r="AW34" s="308"/>
      <c r="AX34" s="275"/>
      <c r="AY34" s="275">
        <v>1</v>
      </c>
      <c r="AZ34" s="275"/>
      <c r="BA34" s="275"/>
      <c r="BB34" s="275"/>
      <c r="BC34" s="275"/>
      <c r="BD34" s="309"/>
      <c r="BE34" s="196"/>
      <c r="BF34" s="195"/>
      <c r="BG34" s="195"/>
      <c r="BH34" s="195"/>
      <c r="BI34" s="195"/>
      <c r="BJ34" s="195"/>
      <c r="BK34" s="195"/>
      <c r="BL34" s="195"/>
      <c r="BM34" s="195"/>
      <c r="BN34" s="195"/>
      <c r="BO34" s="195"/>
      <c r="BP34" s="195"/>
      <c r="BQ34" s="195"/>
      <c r="BR34" s="9"/>
      <c r="BS34" s="11"/>
    </row>
    <row r="35" spans="2:71" ht="13.5" thickBot="1">
      <c r="B35" s="54"/>
      <c r="C35" s="186" t="s">
        <v>180</v>
      </c>
      <c r="D35" s="95" t="s">
        <v>97</v>
      </c>
      <c r="E35" s="196">
        <v>1</v>
      </c>
      <c r="F35" s="195"/>
      <c r="G35" s="195"/>
      <c r="H35" s="195"/>
      <c r="I35" s="23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  <c r="X35" s="195"/>
      <c r="Y35" s="195"/>
      <c r="Z35" s="195"/>
      <c r="AA35" s="195"/>
      <c r="AB35" s="195"/>
      <c r="AC35" s="195"/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195"/>
      <c r="AS35" s="195"/>
      <c r="AT35" s="195"/>
      <c r="AU35" s="195"/>
      <c r="AV35" s="195"/>
      <c r="AW35" s="310"/>
      <c r="AX35" s="311"/>
      <c r="AY35" s="311"/>
      <c r="AZ35" s="311">
        <v>1</v>
      </c>
      <c r="BA35" s="311"/>
      <c r="BB35" s="311"/>
      <c r="BC35" s="311"/>
      <c r="BD35" s="312"/>
      <c r="BE35" s="196"/>
      <c r="BF35" s="195"/>
      <c r="BG35" s="195"/>
      <c r="BH35" s="195"/>
      <c r="BI35" s="195"/>
      <c r="BJ35" s="195"/>
      <c r="BK35" s="195"/>
      <c r="BL35" s="195"/>
      <c r="BM35" s="195"/>
      <c r="BN35" s="195"/>
      <c r="BO35" s="195"/>
      <c r="BP35" s="195"/>
      <c r="BQ35" s="195"/>
      <c r="BR35" s="9"/>
      <c r="BS35" s="11"/>
    </row>
    <row r="36" spans="2:71">
      <c r="B36" s="54"/>
      <c r="C36" s="186" t="s">
        <v>180</v>
      </c>
      <c r="D36" s="184" t="s">
        <v>210</v>
      </c>
      <c r="E36" s="9"/>
      <c r="F36" s="9"/>
      <c r="G36" s="9"/>
      <c r="H36" s="7"/>
      <c r="I36" s="233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9"/>
      <c r="BD36" s="9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9"/>
      <c r="BS36" s="11"/>
    </row>
    <row r="37" spans="2:71">
      <c r="B37" s="54"/>
      <c r="C37" s="186" t="s">
        <v>180</v>
      </c>
      <c r="D37" s="122" t="s">
        <v>211</v>
      </c>
      <c r="E37" s="219"/>
      <c r="F37" s="13"/>
      <c r="G37" s="13"/>
      <c r="H37" s="13"/>
      <c r="I37" s="236">
        <v>2</v>
      </c>
      <c r="J37" s="13"/>
      <c r="K37" s="13"/>
      <c r="L37" s="16">
        <v>1</v>
      </c>
      <c r="M37" s="13"/>
      <c r="N37" s="13"/>
      <c r="O37" s="13"/>
      <c r="P37" s="13"/>
      <c r="Q37" s="15"/>
      <c r="R37" s="15"/>
      <c r="S37" s="15"/>
      <c r="T37" s="15"/>
      <c r="U37" s="16">
        <v>1</v>
      </c>
      <c r="V37" s="15"/>
      <c r="W37" s="15"/>
      <c r="X37" s="16">
        <v>1</v>
      </c>
      <c r="Y37" s="15"/>
      <c r="Z37" s="15"/>
      <c r="AA37" s="15"/>
      <c r="AB37" s="15"/>
      <c r="AC37" s="13"/>
      <c r="AD37" s="15"/>
      <c r="AE37" s="15"/>
      <c r="AF37" s="15"/>
      <c r="AG37" s="16">
        <v>1</v>
      </c>
      <c r="AH37" s="15"/>
      <c r="AI37" s="13"/>
      <c r="AJ37" s="13"/>
      <c r="AK37" s="13"/>
      <c r="AL37" s="13"/>
      <c r="AM37" s="13"/>
      <c r="AN37" s="13"/>
      <c r="AO37" s="13"/>
      <c r="AP37" s="13"/>
      <c r="AQ37" s="15"/>
      <c r="AR37" s="13"/>
      <c r="AS37" s="13"/>
      <c r="AT37" s="16">
        <v>1</v>
      </c>
      <c r="AU37" s="13"/>
      <c r="AV37" s="7"/>
      <c r="AW37" s="7"/>
      <c r="AX37" s="7"/>
      <c r="AY37" s="7"/>
      <c r="AZ37" s="7"/>
      <c r="BA37" s="7"/>
      <c r="BB37" s="7"/>
      <c r="BC37" s="15"/>
      <c r="BD37" s="15"/>
      <c r="BE37" s="15"/>
      <c r="BF37" s="15"/>
      <c r="BG37" s="15"/>
      <c r="BH37" s="86"/>
      <c r="BI37" s="13"/>
      <c r="BJ37" s="15"/>
      <c r="BK37" s="15"/>
      <c r="BL37" s="15"/>
      <c r="BM37" s="15"/>
      <c r="BN37" s="15"/>
      <c r="BO37" s="15"/>
      <c r="BP37" s="15"/>
      <c r="BQ37" s="15"/>
      <c r="BR37" s="15"/>
      <c r="BS37" s="17"/>
    </row>
    <row r="38" spans="2:71">
      <c r="B38" s="54"/>
      <c r="C38" s="186"/>
      <c r="D38" s="324" t="s">
        <v>734</v>
      </c>
      <c r="E38" s="25"/>
      <c r="F38" s="292"/>
      <c r="G38" s="292"/>
      <c r="H38" s="292"/>
      <c r="I38" s="327"/>
      <c r="J38" s="292"/>
      <c r="K38" s="292"/>
      <c r="L38" s="294"/>
      <c r="M38" s="292"/>
      <c r="N38" s="292"/>
      <c r="O38" s="292"/>
      <c r="P38" s="292"/>
      <c r="Q38" s="294"/>
      <c r="R38" s="294"/>
      <c r="S38" s="294"/>
      <c r="T38" s="294"/>
      <c r="U38" s="294"/>
      <c r="V38" s="294"/>
      <c r="W38" s="294"/>
      <c r="X38" s="328">
        <v>1</v>
      </c>
      <c r="Y38" s="294"/>
      <c r="Z38" s="294"/>
      <c r="AA38" s="294"/>
      <c r="AB38" s="294"/>
      <c r="AC38" s="292"/>
      <c r="AD38" s="294"/>
      <c r="AE38" s="294"/>
      <c r="AF38" s="294"/>
      <c r="AG38" s="294"/>
      <c r="AH38" s="294"/>
      <c r="AI38" s="292"/>
      <c r="AJ38" s="292"/>
      <c r="AK38" s="292"/>
      <c r="AL38" s="292"/>
      <c r="AM38" s="292"/>
      <c r="AN38" s="292"/>
      <c r="AO38" s="292"/>
      <c r="AP38" s="292"/>
      <c r="AQ38" s="294"/>
      <c r="AR38" s="292"/>
      <c r="AS38" s="292"/>
      <c r="AT38" s="294"/>
      <c r="AU38" s="292"/>
      <c r="AV38" s="292"/>
      <c r="AW38" s="292"/>
      <c r="AX38" s="292"/>
      <c r="AY38" s="292"/>
      <c r="AZ38" s="292"/>
      <c r="BA38" s="292"/>
      <c r="BB38" s="292"/>
      <c r="BC38" s="294"/>
      <c r="BD38" s="294"/>
      <c r="BE38" s="294"/>
      <c r="BF38" s="294"/>
      <c r="BG38" s="294"/>
      <c r="BH38" s="325"/>
      <c r="BI38" s="292"/>
      <c r="BJ38" s="294"/>
      <c r="BK38" s="294"/>
      <c r="BL38" s="294"/>
      <c r="BM38" s="294"/>
      <c r="BN38" s="294"/>
      <c r="BO38" s="294"/>
      <c r="BP38" s="294"/>
      <c r="BQ38" s="294"/>
      <c r="BR38" s="294"/>
      <c r="BS38" s="326"/>
    </row>
    <row r="39" spans="2:71" ht="13.5" thickBot="1">
      <c r="B39" s="56"/>
      <c r="C39" s="187" t="s">
        <v>180</v>
      </c>
      <c r="D39" s="272" t="s">
        <v>212</v>
      </c>
      <c r="E39" s="92"/>
      <c r="F39" s="4"/>
      <c r="G39" s="4"/>
      <c r="H39" s="4"/>
      <c r="I39" s="237">
        <v>2</v>
      </c>
      <c r="J39" s="4"/>
      <c r="K39" s="4"/>
      <c r="L39" s="218">
        <v>1</v>
      </c>
      <c r="M39" s="4"/>
      <c r="N39" s="4"/>
      <c r="O39" s="4"/>
      <c r="P39" s="4"/>
      <c r="Q39" s="5"/>
      <c r="R39" s="5"/>
      <c r="S39" s="5"/>
      <c r="T39" s="5"/>
      <c r="U39" s="218">
        <v>1</v>
      </c>
      <c r="V39" s="5"/>
      <c r="W39" s="5"/>
      <c r="X39" s="218">
        <v>1</v>
      </c>
      <c r="Y39" s="5"/>
      <c r="Z39" s="5"/>
      <c r="AA39" s="5"/>
      <c r="AB39" s="5"/>
      <c r="AC39" s="4"/>
      <c r="AD39" s="5"/>
      <c r="AE39" s="5"/>
      <c r="AF39" s="5"/>
      <c r="AG39" s="218">
        <v>1</v>
      </c>
      <c r="AH39" s="5"/>
      <c r="AI39" s="4"/>
      <c r="AJ39" s="4"/>
      <c r="AK39" s="4"/>
      <c r="AL39" s="4"/>
      <c r="AM39" s="4"/>
      <c r="AN39" s="4"/>
      <c r="AO39" s="4"/>
      <c r="AP39" s="4"/>
      <c r="AQ39" s="5"/>
      <c r="AR39" s="4"/>
      <c r="AS39" s="4"/>
      <c r="AT39" s="218">
        <v>1</v>
      </c>
      <c r="AU39" s="4"/>
      <c r="AV39" s="4"/>
      <c r="AW39" s="4"/>
      <c r="AX39" s="4"/>
      <c r="AY39" s="4"/>
      <c r="AZ39" s="4"/>
      <c r="BA39" s="4"/>
      <c r="BB39" s="4"/>
      <c r="BC39" s="5"/>
      <c r="BD39" s="5"/>
      <c r="BE39" s="5"/>
      <c r="BF39" s="5"/>
      <c r="BG39" s="5"/>
      <c r="BH39" s="84"/>
      <c r="BI39" s="4"/>
      <c r="BJ39" s="5"/>
      <c r="BK39" s="5"/>
      <c r="BL39" s="5"/>
      <c r="BM39" s="5"/>
      <c r="BN39" s="5"/>
      <c r="BO39" s="5"/>
      <c r="BP39" s="5"/>
      <c r="BQ39" s="5"/>
      <c r="BR39" s="5"/>
      <c r="BS39" s="6"/>
    </row>
    <row r="40" spans="2:71" ht="15.5">
      <c r="B40" s="53" t="s">
        <v>70</v>
      </c>
      <c r="C40" s="77" t="s">
        <v>213</v>
      </c>
      <c r="D40" s="208" t="s">
        <v>214</v>
      </c>
      <c r="E40" s="209">
        <v>1</v>
      </c>
      <c r="F40" s="210"/>
      <c r="G40" s="210"/>
      <c r="H40" s="210"/>
      <c r="I40" s="238">
        <v>1</v>
      </c>
      <c r="J40" s="210"/>
      <c r="K40" s="210"/>
      <c r="L40" s="210"/>
      <c r="M40" s="210"/>
      <c r="N40" s="210"/>
      <c r="O40" s="210"/>
      <c r="P40" s="210"/>
      <c r="Q40" s="212"/>
      <c r="R40" s="210"/>
      <c r="S40" s="212"/>
      <c r="T40" s="212"/>
      <c r="U40" s="212"/>
      <c r="V40" s="212"/>
      <c r="W40" s="212"/>
      <c r="X40" s="212"/>
      <c r="Y40" s="212"/>
      <c r="Z40" s="212"/>
      <c r="AA40" s="212"/>
      <c r="AB40" s="212"/>
      <c r="AC40" s="210"/>
      <c r="AD40" s="212"/>
      <c r="AE40" s="212"/>
      <c r="AF40" s="212"/>
      <c r="AG40" s="212"/>
      <c r="AH40" s="212"/>
      <c r="AI40" s="210"/>
      <c r="AJ40" s="210"/>
      <c r="AK40" s="210"/>
      <c r="AL40" s="210"/>
      <c r="AM40" s="210"/>
      <c r="AN40" s="210"/>
      <c r="AO40" s="210"/>
      <c r="AP40" s="210"/>
      <c r="AQ40" s="212"/>
      <c r="AR40" s="212"/>
      <c r="AS40" s="212"/>
      <c r="AT40" s="210"/>
      <c r="AU40" s="212"/>
      <c r="AV40" s="210"/>
      <c r="AW40" s="210"/>
      <c r="AX40" s="270">
        <v>1</v>
      </c>
      <c r="AY40" s="210"/>
      <c r="AZ40" s="210"/>
      <c r="BA40" s="210"/>
      <c r="BB40" s="210"/>
      <c r="BC40" s="212"/>
      <c r="BD40" s="212"/>
      <c r="BE40" s="212"/>
      <c r="BF40" s="212"/>
      <c r="BG40" s="212"/>
      <c r="BH40" s="211"/>
      <c r="BI40" s="210"/>
      <c r="BJ40" s="212"/>
      <c r="BK40" s="212"/>
      <c r="BL40" s="212"/>
      <c r="BM40" s="212"/>
      <c r="BN40" s="212"/>
      <c r="BO40" s="212"/>
      <c r="BP40" s="212"/>
      <c r="BQ40" s="212"/>
      <c r="BR40" s="212"/>
      <c r="BS40" s="213"/>
    </row>
    <row r="41" spans="2:71">
      <c r="B41" s="54"/>
      <c r="C41" s="75" t="s">
        <v>215</v>
      </c>
      <c r="D41" s="94" t="s">
        <v>216</v>
      </c>
      <c r="E41" s="52">
        <v>1</v>
      </c>
      <c r="F41" s="7"/>
      <c r="G41" s="7"/>
      <c r="H41" s="7"/>
      <c r="I41" s="234">
        <v>1</v>
      </c>
      <c r="J41" s="7"/>
      <c r="K41" s="7"/>
      <c r="L41" s="7"/>
      <c r="M41" s="7"/>
      <c r="N41" s="7"/>
      <c r="O41" s="7"/>
      <c r="P41" s="7"/>
      <c r="Q41" s="9"/>
      <c r="R41" s="7"/>
      <c r="S41" s="9"/>
      <c r="T41" s="9"/>
      <c r="U41" s="9"/>
      <c r="V41" s="9"/>
      <c r="W41" s="9"/>
      <c r="X41" s="9"/>
      <c r="Y41" s="9"/>
      <c r="Z41" s="9"/>
      <c r="AA41" s="9"/>
      <c r="AB41" s="9"/>
      <c r="AC41" s="7"/>
      <c r="AD41" s="9"/>
      <c r="AE41" s="9"/>
      <c r="AF41" s="9"/>
      <c r="AG41" s="9"/>
      <c r="AH41" s="9"/>
      <c r="AI41" s="7"/>
      <c r="AJ41" s="7"/>
      <c r="AK41" s="7"/>
      <c r="AL41" s="7"/>
      <c r="AM41" s="7"/>
      <c r="AN41" s="7"/>
      <c r="AO41" s="7"/>
      <c r="AP41" s="7"/>
      <c r="AQ41" s="9"/>
      <c r="AR41" s="9"/>
      <c r="AS41" s="9"/>
      <c r="AT41" s="7"/>
      <c r="AU41" s="9"/>
      <c r="AV41" s="7"/>
      <c r="AW41" s="7"/>
      <c r="AX41" s="7"/>
      <c r="AY41" s="7"/>
      <c r="AZ41" s="8">
        <v>1</v>
      </c>
      <c r="BA41" s="7"/>
      <c r="BB41" s="7"/>
      <c r="BC41" s="9"/>
      <c r="BD41" s="9"/>
      <c r="BE41" s="9"/>
      <c r="BF41" s="9"/>
      <c r="BG41" s="9"/>
      <c r="BH41" s="85"/>
      <c r="BI41" s="7"/>
      <c r="BJ41" s="9"/>
      <c r="BK41" s="9"/>
      <c r="BL41" s="9"/>
      <c r="BM41" s="9"/>
      <c r="BN41" s="15"/>
      <c r="BO41" s="15"/>
      <c r="BP41" s="15"/>
      <c r="BQ41" s="9"/>
      <c r="BR41" s="9"/>
      <c r="BS41" s="11"/>
    </row>
    <row r="42" spans="2:71">
      <c r="B42" s="54"/>
      <c r="C42" s="75" t="s">
        <v>217</v>
      </c>
      <c r="D42" s="94" t="s">
        <v>218</v>
      </c>
      <c r="E42" s="52">
        <v>1</v>
      </c>
      <c r="F42" s="7"/>
      <c r="G42" s="7"/>
      <c r="H42" s="7"/>
      <c r="I42" s="234">
        <v>1</v>
      </c>
      <c r="J42" s="7"/>
      <c r="K42" s="7"/>
      <c r="L42" s="7"/>
      <c r="M42" s="7"/>
      <c r="N42" s="7"/>
      <c r="O42" s="7"/>
      <c r="P42" s="7"/>
      <c r="Q42" s="9"/>
      <c r="R42" s="7"/>
      <c r="S42" s="9"/>
      <c r="T42" s="9"/>
      <c r="U42" s="9"/>
      <c r="V42" s="9"/>
      <c r="W42" s="9"/>
      <c r="X42" s="9"/>
      <c r="Y42" s="9"/>
      <c r="Z42" s="9"/>
      <c r="AA42" s="9"/>
      <c r="AB42" s="9"/>
      <c r="AC42" s="7"/>
      <c r="AD42" s="9"/>
      <c r="AE42" s="9"/>
      <c r="AF42" s="9"/>
      <c r="AG42" s="9"/>
      <c r="AH42" s="9"/>
      <c r="AI42" s="7"/>
      <c r="AJ42" s="7"/>
      <c r="AK42" s="7"/>
      <c r="AL42" s="7"/>
      <c r="AM42" s="7"/>
      <c r="AN42" s="7"/>
      <c r="AO42" s="7"/>
      <c r="AP42" s="7"/>
      <c r="AQ42" s="9"/>
      <c r="AR42" s="9"/>
      <c r="AS42" s="9"/>
      <c r="AT42" s="7"/>
      <c r="AU42" s="9"/>
      <c r="AV42" s="7"/>
      <c r="AW42" s="7"/>
      <c r="AX42" s="8">
        <v>1</v>
      </c>
      <c r="AY42" s="7"/>
      <c r="AZ42" s="7"/>
      <c r="BA42" s="7"/>
      <c r="BB42" s="7"/>
      <c r="BC42" s="9"/>
      <c r="BD42" s="9"/>
      <c r="BE42" s="9"/>
      <c r="BF42" s="9"/>
      <c r="BG42" s="9"/>
      <c r="BH42" s="85"/>
      <c r="BI42" s="7"/>
      <c r="BJ42" s="9"/>
      <c r="BK42" s="9"/>
      <c r="BL42" s="9"/>
      <c r="BM42" s="9"/>
      <c r="BN42" s="15"/>
      <c r="BO42" s="15"/>
      <c r="BP42" s="15"/>
      <c r="BQ42" s="9"/>
      <c r="BR42" s="9"/>
      <c r="BS42" s="11"/>
    </row>
    <row r="43" spans="2:71">
      <c r="B43" s="54"/>
      <c r="C43" s="75" t="s">
        <v>219</v>
      </c>
      <c r="D43" s="94" t="s">
        <v>220</v>
      </c>
      <c r="E43" s="52">
        <v>1</v>
      </c>
      <c r="F43" s="8">
        <v>1</v>
      </c>
      <c r="G43" s="7"/>
      <c r="H43" s="7"/>
      <c r="I43" s="234">
        <v>4</v>
      </c>
      <c r="J43" s="7"/>
      <c r="K43" s="7"/>
      <c r="L43" s="7"/>
      <c r="M43" s="7"/>
      <c r="N43" s="8">
        <v>2</v>
      </c>
      <c r="O43" s="7"/>
      <c r="P43" s="7"/>
      <c r="Q43" s="9"/>
      <c r="R43" s="7"/>
      <c r="S43" s="9"/>
      <c r="T43" s="9"/>
      <c r="U43" s="9"/>
      <c r="V43" s="9"/>
      <c r="W43" s="9"/>
      <c r="X43" s="9"/>
      <c r="Y43" s="9"/>
      <c r="Z43" s="9"/>
      <c r="AA43" s="9"/>
      <c r="AB43" s="9"/>
      <c r="AC43" s="7"/>
      <c r="AD43" s="9"/>
      <c r="AE43" s="9"/>
      <c r="AF43" s="9"/>
      <c r="AG43" s="9"/>
      <c r="AH43" s="9"/>
      <c r="AI43" s="7"/>
      <c r="AJ43" s="7"/>
      <c r="AK43" s="7"/>
      <c r="AL43" s="7"/>
      <c r="AM43" s="7"/>
      <c r="AN43" s="7"/>
      <c r="AO43" s="7"/>
      <c r="AP43" s="7"/>
      <c r="AQ43" s="9"/>
      <c r="AR43" s="9"/>
      <c r="AS43" s="9"/>
      <c r="AT43" s="7"/>
      <c r="AU43" s="9"/>
      <c r="AV43" s="8">
        <v>1</v>
      </c>
      <c r="AW43" s="7"/>
      <c r="AX43" s="8">
        <v>1</v>
      </c>
      <c r="AY43" s="7"/>
      <c r="AZ43" s="7"/>
      <c r="BA43" s="7"/>
      <c r="BB43" s="7"/>
      <c r="BC43" s="9"/>
      <c r="BD43" s="9"/>
      <c r="BE43" s="9"/>
      <c r="BF43" s="9"/>
      <c r="BG43" s="9"/>
      <c r="BH43" s="85"/>
      <c r="BI43" s="7"/>
      <c r="BJ43" s="9"/>
      <c r="BK43" s="9"/>
      <c r="BL43" s="9"/>
      <c r="BM43" s="9"/>
      <c r="BN43" s="15"/>
      <c r="BO43" s="15"/>
      <c r="BP43" s="15"/>
      <c r="BQ43" s="9"/>
      <c r="BR43" s="9"/>
      <c r="BS43" s="11"/>
    </row>
    <row r="44" spans="2:71">
      <c r="B44" s="54"/>
      <c r="C44" s="75" t="s">
        <v>221</v>
      </c>
      <c r="D44" s="94" t="s">
        <v>222</v>
      </c>
      <c r="E44" s="52">
        <v>1</v>
      </c>
      <c r="F44" s="8">
        <v>1</v>
      </c>
      <c r="G44" s="7"/>
      <c r="H44" s="7"/>
      <c r="I44" s="234">
        <v>4</v>
      </c>
      <c r="J44" s="7"/>
      <c r="K44" s="7"/>
      <c r="L44" s="7"/>
      <c r="M44" s="7"/>
      <c r="N44" s="8">
        <v>2</v>
      </c>
      <c r="O44" s="7"/>
      <c r="P44" s="7"/>
      <c r="Q44" s="9"/>
      <c r="R44" s="7"/>
      <c r="S44" s="9"/>
      <c r="T44" s="9"/>
      <c r="U44" s="9"/>
      <c r="V44" s="9"/>
      <c r="W44" s="9"/>
      <c r="X44" s="9"/>
      <c r="Y44" s="9"/>
      <c r="Z44" s="9"/>
      <c r="AA44" s="9"/>
      <c r="AB44" s="9"/>
      <c r="AC44" s="7"/>
      <c r="AD44" s="9"/>
      <c r="AE44" s="9"/>
      <c r="AF44" s="9"/>
      <c r="AG44" s="9"/>
      <c r="AH44" s="9"/>
      <c r="AI44" s="7"/>
      <c r="AJ44" s="7"/>
      <c r="AK44" s="7"/>
      <c r="AL44" s="7"/>
      <c r="AM44" s="7"/>
      <c r="AN44" s="7"/>
      <c r="AO44" s="7"/>
      <c r="AP44" s="7"/>
      <c r="AQ44" s="9"/>
      <c r="AR44" s="10">
        <v>1</v>
      </c>
      <c r="AS44" s="9"/>
      <c r="AT44" s="7"/>
      <c r="AU44" s="9"/>
      <c r="AV44" s="8">
        <v>1</v>
      </c>
      <c r="AW44" s="7"/>
      <c r="AX44" s="8">
        <v>1</v>
      </c>
      <c r="AY44" s="7"/>
      <c r="AZ44" s="7"/>
      <c r="BA44" s="7"/>
      <c r="BB44" s="7"/>
      <c r="BC44" s="9"/>
      <c r="BD44" s="9"/>
      <c r="BE44" s="9"/>
      <c r="BF44" s="9"/>
      <c r="BG44" s="9"/>
      <c r="BH44" s="85"/>
      <c r="BI44" s="7"/>
      <c r="BJ44" s="9"/>
      <c r="BK44" s="9"/>
      <c r="BL44" s="9"/>
      <c r="BM44" s="9"/>
      <c r="BN44" s="15"/>
      <c r="BO44" s="15"/>
      <c r="BP44" s="15"/>
      <c r="BQ44" s="9"/>
      <c r="BR44" s="9"/>
      <c r="BS44" s="11"/>
    </row>
    <row r="45" spans="2:71" ht="13.5" thickBot="1">
      <c r="B45" s="54"/>
      <c r="C45" s="75" t="s">
        <v>223</v>
      </c>
      <c r="D45" s="94" t="s">
        <v>224</v>
      </c>
      <c r="E45" s="52">
        <v>1</v>
      </c>
      <c r="F45" s="7"/>
      <c r="G45" s="7"/>
      <c r="H45" s="7"/>
      <c r="I45" s="234">
        <v>2</v>
      </c>
      <c r="J45" s="7"/>
      <c r="K45" s="7"/>
      <c r="L45" s="7"/>
      <c r="M45" s="7"/>
      <c r="N45" s="7"/>
      <c r="O45" s="7"/>
      <c r="P45" s="7"/>
      <c r="Q45" s="9"/>
      <c r="R45" s="7"/>
      <c r="S45" s="12">
        <v>0.5</v>
      </c>
      <c r="T45" s="9"/>
      <c r="U45" s="9"/>
      <c r="V45" s="9"/>
      <c r="W45" s="9"/>
      <c r="X45" s="9"/>
      <c r="Y45" s="9"/>
      <c r="Z45" s="9"/>
      <c r="AA45" s="9"/>
      <c r="AB45" s="9"/>
      <c r="AC45" s="7"/>
      <c r="AD45" s="9"/>
      <c r="AE45" s="9"/>
      <c r="AF45" s="9"/>
      <c r="AG45" s="9"/>
      <c r="AH45" s="9"/>
      <c r="AI45" s="7"/>
      <c r="AJ45" s="7"/>
      <c r="AK45" s="7"/>
      <c r="AL45" s="7"/>
      <c r="AM45" s="7"/>
      <c r="AN45" s="7"/>
      <c r="AO45" s="7"/>
      <c r="AP45" s="7"/>
      <c r="AQ45" s="9"/>
      <c r="AR45" s="9"/>
      <c r="AS45" s="9"/>
      <c r="AT45" s="7"/>
      <c r="AU45" s="9"/>
      <c r="AV45" s="7"/>
      <c r="AW45" s="292"/>
      <c r="AX45" s="292"/>
      <c r="AY45" s="292"/>
      <c r="AZ45" s="293">
        <v>1</v>
      </c>
      <c r="BA45" s="292"/>
      <c r="BB45" s="292"/>
      <c r="BC45" s="294"/>
      <c r="BD45" s="294"/>
      <c r="BE45" s="9"/>
      <c r="BF45" s="9"/>
      <c r="BG45" s="9"/>
      <c r="BH45" s="85"/>
      <c r="BI45" s="7"/>
      <c r="BJ45" s="9"/>
      <c r="BK45" s="9"/>
      <c r="BL45" s="9"/>
      <c r="BM45" s="9"/>
      <c r="BN45" s="15"/>
      <c r="BO45" s="15"/>
      <c r="BP45" s="15"/>
      <c r="BQ45" s="9"/>
      <c r="BR45" s="9"/>
      <c r="BS45" s="11"/>
    </row>
    <row r="46" spans="2:71">
      <c r="B46" s="54"/>
      <c r="C46" s="186" t="s">
        <v>226</v>
      </c>
      <c r="D46" s="94" t="s">
        <v>100</v>
      </c>
      <c r="E46" s="52">
        <v>1</v>
      </c>
      <c r="F46" s="7"/>
      <c r="G46" s="7"/>
      <c r="H46" s="8">
        <v>1</v>
      </c>
      <c r="I46" s="232">
        <v>5</v>
      </c>
      <c r="J46" s="7"/>
      <c r="K46" s="7"/>
      <c r="L46" s="7"/>
      <c r="M46" s="7"/>
      <c r="N46" s="8">
        <v>2</v>
      </c>
      <c r="O46" s="7"/>
      <c r="P46" s="7"/>
      <c r="Q46" s="9"/>
      <c r="R46" s="7"/>
      <c r="S46" s="10">
        <v>1</v>
      </c>
      <c r="T46" s="9"/>
      <c r="U46" s="9"/>
      <c r="V46" s="9"/>
      <c r="W46" s="9"/>
      <c r="X46" s="10">
        <v>1</v>
      </c>
      <c r="Y46" s="9"/>
      <c r="Z46" s="9"/>
      <c r="AA46" s="9"/>
      <c r="AB46" s="9"/>
      <c r="AC46" s="7"/>
      <c r="AD46" s="9"/>
      <c r="AE46" s="9"/>
      <c r="AF46" s="9"/>
      <c r="AG46" s="9"/>
      <c r="AH46" s="9"/>
      <c r="AI46" s="7"/>
      <c r="AJ46" s="7"/>
      <c r="AK46" s="7"/>
      <c r="AL46" s="7"/>
      <c r="AM46" s="7"/>
      <c r="AN46" s="7"/>
      <c r="AO46" s="7"/>
      <c r="AP46" s="7"/>
      <c r="AQ46" s="9"/>
      <c r="AR46" s="10">
        <v>1</v>
      </c>
      <c r="AS46" s="9"/>
      <c r="AT46" s="8">
        <v>1</v>
      </c>
      <c r="AU46" s="9"/>
      <c r="AV46" s="7"/>
      <c r="AW46" s="295"/>
      <c r="AX46" s="296"/>
      <c r="AY46" s="296"/>
      <c r="AZ46" s="296"/>
      <c r="BA46" s="296"/>
      <c r="BB46" s="296"/>
      <c r="BC46" s="307"/>
      <c r="BD46" s="297"/>
      <c r="BE46" s="291"/>
      <c r="BF46" s="9"/>
      <c r="BG46" s="9"/>
      <c r="BH46" s="85"/>
      <c r="BI46" s="7"/>
      <c r="BJ46" s="9"/>
      <c r="BK46" s="9"/>
      <c r="BL46" s="9"/>
      <c r="BM46" s="9"/>
      <c r="BN46" s="15"/>
      <c r="BO46" s="15"/>
      <c r="BP46" s="15"/>
      <c r="BQ46" s="9"/>
      <c r="BR46" s="9"/>
      <c r="BS46" s="11"/>
    </row>
    <row r="47" spans="2:71">
      <c r="B47" s="54"/>
      <c r="C47" s="75" t="s">
        <v>225</v>
      </c>
      <c r="D47" s="94" t="s">
        <v>724</v>
      </c>
      <c r="E47" s="52">
        <v>1</v>
      </c>
      <c r="F47" s="7"/>
      <c r="G47" s="7"/>
      <c r="H47" s="8">
        <v>1</v>
      </c>
      <c r="I47" s="232">
        <v>5</v>
      </c>
      <c r="J47" s="7"/>
      <c r="K47" s="7"/>
      <c r="L47" s="7"/>
      <c r="M47" s="7"/>
      <c r="N47" s="8">
        <v>2</v>
      </c>
      <c r="O47" s="7"/>
      <c r="P47" s="7"/>
      <c r="Q47" s="9"/>
      <c r="R47" s="7"/>
      <c r="S47" s="10">
        <v>1</v>
      </c>
      <c r="T47" s="9"/>
      <c r="U47" s="9"/>
      <c r="V47" s="9"/>
      <c r="W47" s="9"/>
      <c r="X47" s="10">
        <v>1</v>
      </c>
      <c r="Y47" s="9"/>
      <c r="Z47" s="9"/>
      <c r="AA47" s="9"/>
      <c r="AB47" s="9"/>
      <c r="AC47" s="7"/>
      <c r="AD47" s="9"/>
      <c r="AE47" s="9"/>
      <c r="AF47" s="9"/>
      <c r="AG47" s="9"/>
      <c r="AH47" s="9"/>
      <c r="AI47" s="7"/>
      <c r="AJ47" s="7"/>
      <c r="AK47" s="7"/>
      <c r="AL47" s="7"/>
      <c r="AM47" s="7"/>
      <c r="AN47" s="7"/>
      <c r="AO47" s="7"/>
      <c r="AP47" s="7"/>
      <c r="AQ47" s="9"/>
      <c r="AR47" s="10">
        <v>1</v>
      </c>
      <c r="AS47" s="9"/>
      <c r="AT47" s="8">
        <v>1</v>
      </c>
      <c r="AU47" s="9"/>
      <c r="AV47" s="7"/>
      <c r="AW47" s="298"/>
      <c r="AX47" s="273"/>
      <c r="AY47" s="273"/>
      <c r="AZ47" s="273"/>
      <c r="BA47" s="273"/>
      <c r="BB47" s="273"/>
      <c r="BC47" s="274"/>
      <c r="BD47" s="299"/>
      <c r="BE47" s="291"/>
      <c r="BF47" s="9"/>
      <c r="BG47" s="9"/>
      <c r="BH47" s="85"/>
      <c r="BI47" s="7"/>
      <c r="BJ47" s="9"/>
      <c r="BK47" s="9"/>
      <c r="BL47" s="9"/>
      <c r="BM47" s="9"/>
      <c r="BN47" s="15"/>
      <c r="BO47" s="15"/>
      <c r="BP47" s="15"/>
      <c r="BQ47" s="9"/>
      <c r="BR47" s="9"/>
      <c r="BS47" s="11"/>
    </row>
    <row r="48" spans="2:71">
      <c r="B48" s="54"/>
      <c r="C48" s="75" t="s">
        <v>227</v>
      </c>
      <c r="D48" s="94" t="s">
        <v>101</v>
      </c>
      <c r="E48" s="52">
        <v>1</v>
      </c>
      <c r="F48" s="8">
        <v>1</v>
      </c>
      <c r="G48" s="7"/>
      <c r="H48" s="7"/>
      <c r="I48" s="232">
        <v>4</v>
      </c>
      <c r="J48" s="7"/>
      <c r="K48" s="7"/>
      <c r="L48" s="7"/>
      <c r="M48" s="7"/>
      <c r="N48" s="8">
        <v>2</v>
      </c>
      <c r="O48" s="7"/>
      <c r="P48" s="7"/>
      <c r="Q48" s="9"/>
      <c r="R48" s="7"/>
      <c r="S48" s="9"/>
      <c r="T48" s="8">
        <v>1</v>
      </c>
      <c r="U48" s="9"/>
      <c r="V48" s="9"/>
      <c r="W48" s="9"/>
      <c r="X48" s="10">
        <v>2</v>
      </c>
      <c r="Y48" s="9"/>
      <c r="Z48" s="9"/>
      <c r="AA48" s="9"/>
      <c r="AB48" s="9"/>
      <c r="AC48" s="7"/>
      <c r="AD48" s="9"/>
      <c r="AE48" s="9"/>
      <c r="AF48" s="9"/>
      <c r="AG48" s="10">
        <v>1</v>
      </c>
      <c r="AH48" s="9"/>
      <c r="AI48" s="7"/>
      <c r="AJ48" s="7"/>
      <c r="AK48" s="7"/>
      <c r="AL48" s="7"/>
      <c r="AM48" s="7"/>
      <c r="AN48" s="7"/>
      <c r="AO48" s="7"/>
      <c r="AP48" s="7"/>
      <c r="AQ48" s="9"/>
      <c r="AR48" s="10">
        <v>1</v>
      </c>
      <c r="AS48" s="9"/>
      <c r="AT48" s="8">
        <v>1</v>
      </c>
      <c r="AU48" s="9"/>
      <c r="AV48" s="7"/>
      <c r="AW48" s="298"/>
      <c r="AX48" s="273"/>
      <c r="AY48" s="273"/>
      <c r="AZ48" s="273"/>
      <c r="BA48" s="273"/>
      <c r="BB48" s="273"/>
      <c r="BC48" s="274"/>
      <c r="BD48" s="299"/>
      <c r="BE48" s="291"/>
      <c r="BF48" s="9"/>
      <c r="BG48" s="9"/>
      <c r="BH48" s="85"/>
      <c r="BI48" s="7"/>
      <c r="BJ48" s="9"/>
      <c r="BK48" s="9"/>
      <c r="BL48" s="9"/>
      <c r="BM48" s="9"/>
      <c r="BN48" s="15"/>
      <c r="BO48" s="15"/>
      <c r="BP48" s="15"/>
      <c r="BQ48" s="9"/>
      <c r="BR48" s="9"/>
      <c r="BS48" s="11"/>
    </row>
    <row r="49" spans="2:71">
      <c r="B49" s="54"/>
      <c r="C49" s="75" t="s">
        <v>228</v>
      </c>
      <c r="D49" s="94" t="s">
        <v>102</v>
      </c>
      <c r="E49" s="52">
        <v>1</v>
      </c>
      <c r="F49" s="8">
        <v>2</v>
      </c>
      <c r="G49" s="7"/>
      <c r="H49" s="7"/>
      <c r="I49" s="232">
        <v>3</v>
      </c>
      <c r="J49" s="8">
        <v>8</v>
      </c>
      <c r="K49" s="7"/>
      <c r="L49" s="7"/>
      <c r="M49" s="7"/>
      <c r="N49" s="8">
        <v>5</v>
      </c>
      <c r="O49" s="8">
        <v>2</v>
      </c>
      <c r="P49" s="7"/>
      <c r="Q49" s="9"/>
      <c r="R49" s="7"/>
      <c r="S49" s="9"/>
      <c r="T49" s="8">
        <v>1</v>
      </c>
      <c r="U49" s="9"/>
      <c r="V49" s="9"/>
      <c r="W49" s="9"/>
      <c r="X49" s="10">
        <v>2</v>
      </c>
      <c r="Y49" s="9"/>
      <c r="Z49" s="9"/>
      <c r="AA49" s="9"/>
      <c r="AB49" s="9"/>
      <c r="AC49" s="7"/>
      <c r="AD49" s="9"/>
      <c r="AE49" s="9"/>
      <c r="AF49" s="9"/>
      <c r="AG49" s="10">
        <v>1</v>
      </c>
      <c r="AH49" s="9"/>
      <c r="AI49" s="7"/>
      <c r="AJ49" s="7"/>
      <c r="AK49" s="7"/>
      <c r="AL49" s="7"/>
      <c r="AM49" s="7"/>
      <c r="AN49" s="7"/>
      <c r="AO49" s="7"/>
      <c r="AP49" s="7"/>
      <c r="AQ49" s="9"/>
      <c r="AR49" s="10">
        <v>1</v>
      </c>
      <c r="AS49" s="9"/>
      <c r="AT49" s="8">
        <v>1</v>
      </c>
      <c r="AU49" s="9"/>
      <c r="AV49" s="7"/>
      <c r="AW49" s="298"/>
      <c r="AX49" s="273"/>
      <c r="AY49" s="273"/>
      <c r="AZ49" s="273"/>
      <c r="BA49" s="273"/>
      <c r="BB49" s="273"/>
      <c r="BC49" s="274"/>
      <c r="BD49" s="299"/>
      <c r="BE49" s="291"/>
      <c r="BF49" s="9"/>
      <c r="BG49" s="9"/>
      <c r="BH49" s="85"/>
      <c r="BI49" s="7"/>
      <c r="BJ49" s="9"/>
      <c r="BK49" s="9"/>
      <c r="BL49" s="9"/>
      <c r="BM49" s="9"/>
      <c r="BN49" s="15"/>
      <c r="BO49" s="15"/>
      <c r="BP49" s="15"/>
      <c r="BQ49" s="9"/>
      <c r="BR49" s="9"/>
      <c r="BS49" s="11"/>
    </row>
    <row r="50" spans="2:71">
      <c r="B50" s="54"/>
      <c r="C50" s="287" t="s">
        <v>229</v>
      </c>
      <c r="D50" s="94" t="s">
        <v>103</v>
      </c>
      <c r="E50" s="52">
        <v>5</v>
      </c>
      <c r="F50" s="8">
        <v>3</v>
      </c>
      <c r="G50" s="7"/>
      <c r="H50" s="7"/>
      <c r="I50" s="232">
        <v>11</v>
      </c>
      <c r="J50" s="8">
        <v>2</v>
      </c>
      <c r="K50" s="7"/>
      <c r="L50" s="7"/>
      <c r="M50" s="7"/>
      <c r="N50" s="8">
        <v>10</v>
      </c>
      <c r="O50" s="8">
        <v>4</v>
      </c>
      <c r="P50" s="7"/>
      <c r="Q50" s="9"/>
      <c r="R50" s="7"/>
      <c r="S50" s="9"/>
      <c r="T50" s="9"/>
      <c r="U50" s="9"/>
      <c r="V50" s="9"/>
      <c r="W50" s="9"/>
      <c r="X50" s="10">
        <v>2</v>
      </c>
      <c r="Y50" s="9"/>
      <c r="Z50" s="9"/>
      <c r="AA50" s="9"/>
      <c r="AB50" s="9"/>
      <c r="AC50" s="7"/>
      <c r="AD50" s="9"/>
      <c r="AE50" s="9"/>
      <c r="AF50" s="9"/>
      <c r="AG50" s="10">
        <v>1</v>
      </c>
      <c r="AH50" s="9"/>
      <c r="AI50" s="7"/>
      <c r="AJ50" s="7"/>
      <c r="AK50" s="7"/>
      <c r="AL50" s="7"/>
      <c r="AM50" s="7"/>
      <c r="AN50" s="7"/>
      <c r="AO50" s="7"/>
      <c r="AP50" s="7"/>
      <c r="AQ50" s="9"/>
      <c r="AR50" s="9"/>
      <c r="AS50" s="9"/>
      <c r="AT50" s="8">
        <v>1</v>
      </c>
      <c r="AU50" s="9"/>
      <c r="AV50" s="7"/>
      <c r="AW50" s="298"/>
      <c r="AX50" s="273"/>
      <c r="AY50" s="273"/>
      <c r="AZ50" s="273"/>
      <c r="BA50" s="273"/>
      <c r="BB50" s="273"/>
      <c r="BC50" s="274"/>
      <c r="BD50" s="299"/>
      <c r="BE50" s="291"/>
      <c r="BF50" s="9"/>
      <c r="BG50" s="9"/>
      <c r="BH50" s="85"/>
      <c r="BI50" s="7"/>
      <c r="BJ50" s="9"/>
      <c r="BK50" s="9"/>
      <c r="BL50" s="9"/>
      <c r="BM50" s="9"/>
      <c r="BN50" s="15"/>
      <c r="BO50" s="15"/>
      <c r="BP50" s="15"/>
      <c r="BQ50" s="9"/>
      <c r="BR50" s="9"/>
      <c r="BS50" s="11"/>
    </row>
    <row r="51" spans="2:71" ht="13.5" thickBot="1">
      <c r="B51" s="54"/>
      <c r="C51" s="287" t="s">
        <v>230</v>
      </c>
      <c r="D51" s="94" t="s">
        <v>231</v>
      </c>
      <c r="E51" s="90"/>
      <c r="F51" s="8">
        <v>3</v>
      </c>
      <c r="G51" s="7"/>
      <c r="H51" s="7"/>
      <c r="I51" s="232">
        <v>5</v>
      </c>
      <c r="J51" s="7"/>
      <c r="K51" s="7"/>
      <c r="L51" s="7"/>
      <c r="M51" s="7"/>
      <c r="N51" s="8">
        <v>2</v>
      </c>
      <c r="O51" s="7"/>
      <c r="P51" s="7"/>
      <c r="Q51" s="9"/>
      <c r="R51" s="7"/>
      <c r="S51" s="9"/>
      <c r="T51" s="9"/>
      <c r="U51" s="9"/>
      <c r="V51" s="9"/>
      <c r="W51" s="9"/>
      <c r="X51" s="9"/>
      <c r="Y51" s="9"/>
      <c r="Z51" s="9"/>
      <c r="AA51" s="9"/>
      <c r="AB51" s="9"/>
      <c r="AC51" s="7"/>
      <c r="AD51" s="9"/>
      <c r="AE51" s="9"/>
      <c r="AF51" s="9"/>
      <c r="AG51" s="9"/>
      <c r="AH51" s="9"/>
      <c r="AI51" s="7"/>
      <c r="AJ51" s="7"/>
      <c r="AK51" s="7"/>
      <c r="AL51" s="7"/>
      <c r="AM51" s="7"/>
      <c r="AN51" s="7"/>
      <c r="AO51" s="7"/>
      <c r="AP51" s="7"/>
      <c r="AQ51" s="9"/>
      <c r="AR51" s="9"/>
      <c r="AS51" s="9"/>
      <c r="AT51" s="8">
        <v>1</v>
      </c>
      <c r="AU51" s="9"/>
      <c r="AV51" s="7"/>
      <c r="AW51" s="301">
        <v>3</v>
      </c>
      <c r="AX51" s="302"/>
      <c r="AY51" s="302"/>
      <c r="AZ51" s="302"/>
      <c r="BA51" s="302"/>
      <c r="BB51" s="302"/>
      <c r="BC51" s="303"/>
      <c r="BD51" s="304"/>
      <c r="BE51" s="291"/>
      <c r="BF51" s="9"/>
      <c r="BG51" s="9"/>
      <c r="BH51" s="85"/>
      <c r="BI51" s="7"/>
      <c r="BJ51" s="9"/>
      <c r="BK51" s="9"/>
      <c r="BL51" s="9"/>
      <c r="BM51" s="9"/>
      <c r="BN51" s="15"/>
      <c r="BO51" s="15"/>
      <c r="BP51" s="15"/>
      <c r="BQ51" s="9"/>
      <c r="BR51" s="9"/>
      <c r="BS51" s="11"/>
    </row>
    <row r="52" spans="2:71">
      <c r="B52" s="54"/>
      <c r="C52" s="75" t="s">
        <v>232</v>
      </c>
      <c r="D52" s="94" t="s">
        <v>233</v>
      </c>
      <c r="E52" s="90"/>
      <c r="F52" s="8">
        <v>1</v>
      </c>
      <c r="G52" s="7"/>
      <c r="H52" s="7"/>
      <c r="I52" s="232">
        <v>2</v>
      </c>
      <c r="J52" s="7"/>
      <c r="K52" s="7"/>
      <c r="L52" s="7"/>
      <c r="M52" s="7"/>
      <c r="N52" s="7"/>
      <c r="O52" s="7"/>
      <c r="P52" s="7"/>
      <c r="Q52" s="9"/>
      <c r="R52" s="8">
        <v>1</v>
      </c>
      <c r="S52" s="9"/>
      <c r="T52" s="10">
        <v>1</v>
      </c>
      <c r="U52" s="9"/>
      <c r="V52" s="9"/>
      <c r="W52" s="9"/>
      <c r="X52" s="10">
        <v>1</v>
      </c>
      <c r="Y52" s="9"/>
      <c r="Z52" s="9"/>
      <c r="AA52" s="9"/>
      <c r="AB52" s="9"/>
      <c r="AC52" s="7"/>
      <c r="AD52" s="9"/>
      <c r="AE52" s="9"/>
      <c r="AF52" s="9"/>
      <c r="AG52" s="10">
        <v>1</v>
      </c>
      <c r="AH52" s="9"/>
      <c r="AI52" s="7"/>
      <c r="AJ52" s="7"/>
      <c r="AK52" s="7"/>
      <c r="AL52" s="7"/>
      <c r="AM52" s="7"/>
      <c r="AN52" s="7"/>
      <c r="AO52" s="7"/>
      <c r="AP52" s="7"/>
      <c r="AQ52" s="9"/>
      <c r="AR52" s="9"/>
      <c r="AS52" s="10">
        <v>1</v>
      </c>
      <c r="AT52" s="7"/>
      <c r="AU52" s="9"/>
      <c r="AV52" s="7"/>
      <c r="AW52" s="7"/>
      <c r="AX52" s="8">
        <v>1</v>
      </c>
      <c r="AY52" s="7"/>
      <c r="AZ52" s="7"/>
      <c r="BA52" s="7"/>
      <c r="BB52" s="7"/>
      <c r="BC52" s="9"/>
      <c r="BD52" s="9"/>
      <c r="BE52" s="9"/>
      <c r="BF52" s="9"/>
      <c r="BG52" s="9"/>
      <c r="BH52" s="85"/>
      <c r="BI52" s="7"/>
      <c r="BJ52" s="9"/>
      <c r="BK52" s="9"/>
      <c r="BL52" s="9"/>
      <c r="BM52" s="9"/>
      <c r="BN52" s="15"/>
      <c r="BO52" s="15"/>
      <c r="BP52" s="15"/>
      <c r="BQ52" s="9"/>
      <c r="BR52" s="9"/>
      <c r="BS52" s="11"/>
    </row>
    <row r="53" spans="2:71">
      <c r="B53" s="54"/>
      <c r="C53" s="186" t="s">
        <v>226</v>
      </c>
      <c r="D53" s="94" t="s">
        <v>234</v>
      </c>
      <c r="E53" s="90"/>
      <c r="F53" s="8">
        <v>1</v>
      </c>
      <c r="G53" s="7"/>
      <c r="H53" s="7"/>
      <c r="I53" s="232">
        <v>2</v>
      </c>
      <c r="J53" s="7"/>
      <c r="K53" s="7"/>
      <c r="L53" s="8">
        <v>1</v>
      </c>
      <c r="M53" s="7"/>
      <c r="N53" s="7"/>
      <c r="O53" s="7"/>
      <c r="P53" s="7"/>
      <c r="Q53" s="9"/>
      <c r="R53" s="7"/>
      <c r="S53" s="9"/>
      <c r="T53" s="10"/>
      <c r="U53" s="10">
        <v>1</v>
      </c>
      <c r="V53" s="9"/>
      <c r="W53" s="9"/>
      <c r="X53" s="10">
        <v>1</v>
      </c>
      <c r="Y53" s="9"/>
      <c r="Z53" s="9"/>
      <c r="AA53" s="9"/>
      <c r="AB53" s="9"/>
      <c r="AC53" s="7"/>
      <c r="AD53" s="9"/>
      <c r="AE53" s="9"/>
      <c r="AF53" s="9"/>
      <c r="AG53" s="10">
        <v>1</v>
      </c>
      <c r="AH53" s="10">
        <v>1</v>
      </c>
      <c r="AI53" s="7"/>
      <c r="AJ53" s="7"/>
      <c r="AK53" s="7"/>
      <c r="AL53" s="7"/>
      <c r="AM53" s="7"/>
      <c r="AN53" s="7"/>
      <c r="AO53" s="7"/>
      <c r="AP53" s="7"/>
      <c r="AQ53" s="9"/>
      <c r="AR53" s="9"/>
      <c r="AS53" s="9"/>
      <c r="AT53" s="7"/>
      <c r="AU53" s="9"/>
      <c r="AV53" s="7"/>
      <c r="AW53" s="7"/>
      <c r="AX53" s="8">
        <v>1</v>
      </c>
      <c r="AY53" s="7"/>
      <c r="AZ53" s="7"/>
      <c r="BA53" s="7"/>
      <c r="BB53" s="7"/>
      <c r="BC53" s="9"/>
      <c r="BD53" s="9"/>
      <c r="BE53" s="9"/>
      <c r="BF53" s="9"/>
      <c r="BG53" s="9"/>
      <c r="BH53" s="85"/>
      <c r="BI53" s="7"/>
      <c r="BJ53" s="9"/>
      <c r="BK53" s="9"/>
      <c r="BL53" s="9"/>
      <c r="BM53" s="9"/>
      <c r="BN53" s="15"/>
      <c r="BO53" s="15"/>
      <c r="BP53" s="15"/>
      <c r="BQ53" s="9"/>
      <c r="BR53" s="9"/>
      <c r="BS53" s="11"/>
    </row>
    <row r="54" spans="2:71">
      <c r="B54" s="54"/>
      <c r="C54" s="75" t="s">
        <v>235</v>
      </c>
      <c r="D54" s="94" t="s">
        <v>236</v>
      </c>
      <c r="E54" s="90"/>
      <c r="F54" s="7"/>
      <c r="G54" s="8">
        <v>1</v>
      </c>
      <c r="H54" s="7"/>
      <c r="I54" s="234">
        <v>2</v>
      </c>
      <c r="J54" s="7"/>
      <c r="K54" s="7"/>
      <c r="L54" s="7"/>
      <c r="M54" s="7"/>
      <c r="N54" s="7"/>
      <c r="O54" s="7"/>
      <c r="P54" s="7"/>
      <c r="Q54" s="9"/>
      <c r="R54" s="7"/>
      <c r="S54" s="9"/>
      <c r="T54" s="9"/>
      <c r="U54" s="9"/>
      <c r="V54" s="9"/>
      <c r="W54" s="9"/>
      <c r="X54" s="9"/>
      <c r="Y54" s="9"/>
      <c r="Z54" s="9"/>
      <c r="AA54" s="9"/>
      <c r="AB54" s="9"/>
      <c r="AC54" s="7"/>
      <c r="AD54" s="9"/>
      <c r="AE54" s="9"/>
      <c r="AF54" s="9"/>
      <c r="AG54" s="9"/>
      <c r="AH54" s="9"/>
      <c r="AI54" s="7"/>
      <c r="AJ54" s="7"/>
      <c r="AK54" s="7"/>
      <c r="AL54" s="7"/>
      <c r="AM54" s="7"/>
      <c r="AN54" s="7"/>
      <c r="AO54" s="7"/>
      <c r="AP54" s="7"/>
      <c r="AQ54" s="9"/>
      <c r="AR54" s="9"/>
      <c r="AS54" s="9"/>
      <c r="AT54" s="7"/>
      <c r="AU54" s="9"/>
      <c r="AV54" s="7"/>
      <c r="AW54" s="7"/>
      <c r="AX54" s="7"/>
      <c r="AY54" s="7"/>
      <c r="AZ54" s="7"/>
      <c r="BA54" s="7"/>
      <c r="BB54" s="8">
        <v>1</v>
      </c>
      <c r="BC54" s="9"/>
      <c r="BD54" s="9"/>
      <c r="BE54" s="9"/>
      <c r="BF54" s="9"/>
      <c r="BG54" s="9"/>
      <c r="BH54" s="85"/>
      <c r="BI54" s="7"/>
      <c r="BJ54" s="9"/>
      <c r="BK54" s="9"/>
      <c r="BL54" s="9"/>
      <c r="BM54" s="9"/>
      <c r="BN54" s="15"/>
      <c r="BO54" s="15"/>
      <c r="BP54" s="15"/>
      <c r="BQ54" s="9"/>
      <c r="BR54" s="9"/>
      <c r="BS54" s="11"/>
    </row>
    <row r="55" spans="2:71" ht="13.5" thickBot="1">
      <c r="B55" s="54"/>
      <c r="C55" s="75" t="s">
        <v>237</v>
      </c>
      <c r="D55" s="94" t="s">
        <v>238</v>
      </c>
      <c r="E55" s="52">
        <v>1</v>
      </c>
      <c r="F55" s="7"/>
      <c r="G55" s="7"/>
      <c r="H55" s="7"/>
      <c r="I55" s="232">
        <v>2</v>
      </c>
      <c r="J55" s="7"/>
      <c r="K55" s="7"/>
      <c r="L55" s="7"/>
      <c r="M55" s="7"/>
      <c r="N55" s="7"/>
      <c r="O55" s="7"/>
      <c r="P55" s="7"/>
      <c r="Q55" s="9"/>
      <c r="R55" s="8">
        <v>1</v>
      </c>
      <c r="S55" s="9"/>
      <c r="T55" s="9"/>
      <c r="U55" s="9"/>
      <c r="V55" s="9"/>
      <c r="W55" s="9"/>
      <c r="X55" s="9"/>
      <c r="Y55" s="9"/>
      <c r="Z55" s="9"/>
      <c r="AA55" s="9"/>
      <c r="AB55" s="9"/>
      <c r="AC55" s="7"/>
      <c r="AD55" s="10">
        <v>1</v>
      </c>
      <c r="AE55" s="9"/>
      <c r="AF55" s="9"/>
      <c r="AG55" s="10">
        <v>1</v>
      </c>
      <c r="AH55" s="9"/>
      <c r="AI55" s="7"/>
      <c r="AJ55" s="7"/>
      <c r="AK55" s="7"/>
      <c r="AL55" s="7"/>
      <c r="AM55" s="7"/>
      <c r="AN55" s="7"/>
      <c r="AO55" s="7"/>
      <c r="AP55" s="7"/>
      <c r="AQ55" s="9"/>
      <c r="AR55" s="10">
        <v>2</v>
      </c>
      <c r="AS55" s="10">
        <v>1</v>
      </c>
      <c r="AT55" s="8">
        <v>2</v>
      </c>
      <c r="AU55" s="9"/>
      <c r="AV55" s="7"/>
      <c r="AW55" s="292"/>
      <c r="AX55" s="293">
        <v>1</v>
      </c>
      <c r="AY55" s="292"/>
      <c r="AZ55" s="292"/>
      <c r="BA55" s="292"/>
      <c r="BB55" s="292"/>
      <c r="BC55" s="294"/>
      <c r="BD55" s="294"/>
      <c r="BE55" s="9"/>
      <c r="BF55" s="9"/>
      <c r="BG55" s="9"/>
      <c r="BH55" s="85"/>
      <c r="BI55" s="7"/>
      <c r="BJ55" s="9"/>
      <c r="BK55" s="9"/>
      <c r="BL55" s="9"/>
      <c r="BM55" s="9"/>
      <c r="BN55" s="15"/>
      <c r="BO55" s="15"/>
      <c r="BP55" s="15"/>
      <c r="BQ55" s="9"/>
      <c r="BR55" s="9"/>
      <c r="BS55" s="11"/>
    </row>
    <row r="56" spans="2:71">
      <c r="B56" s="54"/>
      <c r="C56" s="288" t="s">
        <v>226</v>
      </c>
      <c r="D56" s="94" t="s">
        <v>104</v>
      </c>
      <c r="E56" s="91"/>
      <c r="F56" s="14">
        <v>2</v>
      </c>
      <c r="G56" s="13"/>
      <c r="H56" s="13"/>
      <c r="I56" s="236">
        <v>4</v>
      </c>
      <c r="J56" s="13"/>
      <c r="K56" s="13"/>
      <c r="L56" s="13"/>
      <c r="M56" s="13"/>
      <c r="N56" s="14">
        <v>4</v>
      </c>
      <c r="O56" s="14">
        <v>2</v>
      </c>
      <c r="P56" s="13"/>
      <c r="Q56" s="15"/>
      <c r="R56" s="13"/>
      <c r="S56" s="15"/>
      <c r="T56" s="16">
        <v>2</v>
      </c>
      <c r="U56" s="15"/>
      <c r="V56" s="15"/>
      <c r="W56" s="15"/>
      <c r="X56" s="16">
        <v>2</v>
      </c>
      <c r="Y56" s="15"/>
      <c r="Z56" s="15"/>
      <c r="AA56" s="15"/>
      <c r="AB56" s="15"/>
      <c r="AC56" s="13"/>
      <c r="AD56" s="15"/>
      <c r="AE56" s="15"/>
      <c r="AF56" s="15"/>
      <c r="AG56" s="16">
        <v>2</v>
      </c>
      <c r="AH56" s="15"/>
      <c r="AI56" s="13"/>
      <c r="AJ56" s="13"/>
      <c r="AK56" s="13"/>
      <c r="AL56" s="13"/>
      <c r="AM56" s="13"/>
      <c r="AN56" s="13"/>
      <c r="AO56" s="13"/>
      <c r="AP56" s="13"/>
      <c r="AQ56" s="15"/>
      <c r="AR56" s="15"/>
      <c r="AS56" s="15"/>
      <c r="AT56" s="14">
        <v>1</v>
      </c>
      <c r="AU56" s="15"/>
      <c r="AV56" s="7"/>
      <c r="AW56" s="305">
        <v>1</v>
      </c>
      <c r="AX56" s="296"/>
      <c r="AY56" s="296"/>
      <c r="AZ56" s="296"/>
      <c r="BA56" s="306">
        <v>1</v>
      </c>
      <c r="BB56" s="296"/>
      <c r="BC56" s="307"/>
      <c r="BD56" s="297"/>
      <c r="BE56" s="313"/>
      <c r="BF56" s="15"/>
      <c r="BG56" s="15"/>
      <c r="BH56" s="86"/>
      <c r="BI56" s="13"/>
      <c r="BJ56" s="15"/>
      <c r="BK56" s="15"/>
      <c r="BL56" s="15"/>
      <c r="BM56" s="15"/>
      <c r="BN56" s="15"/>
      <c r="BO56" s="15"/>
      <c r="BP56" s="15"/>
      <c r="BQ56" s="15"/>
      <c r="BR56" s="15"/>
      <c r="BS56" s="17"/>
    </row>
    <row r="57" spans="2:71" ht="13.5" thickBot="1">
      <c r="B57" s="54"/>
      <c r="C57" s="288" t="s">
        <v>226</v>
      </c>
      <c r="D57" s="94" t="s">
        <v>105</v>
      </c>
      <c r="E57" s="91"/>
      <c r="F57" s="14">
        <v>1</v>
      </c>
      <c r="G57" s="13"/>
      <c r="H57" s="13"/>
      <c r="I57" s="236">
        <v>4</v>
      </c>
      <c r="J57" s="13"/>
      <c r="K57" s="13"/>
      <c r="L57" s="13"/>
      <c r="M57" s="13"/>
      <c r="N57" s="14"/>
      <c r="O57" s="14"/>
      <c r="P57" s="13"/>
      <c r="Q57" s="15"/>
      <c r="R57" s="13"/>
      <c r="S57" s="15"/>
      <c r="T57" s="16">
        <v>2</v>
      </c>
      <c r="U57" s="15"/>
      <c r="V57" s="15"/>
      <c r="W57" s="15"/>
      <c r="X57" s="16">
        <v>2</v>
      </c>
      <c r="Y57" s="15"/>
      <c r="Z57" s="15"/>
      <c r="AA57" s="15"/>
      <c r="AB57" s="15"/>
      <c r="AC57" s="13"/>
      <c r="AD57" s="15"/>
      <c r="AE57" s="15"/>
      <c r="AF57" s="15"/>
      <c r="AG57" s="16">
        <v>2</v>
      </c>
      <c r="AH57" s="15"/>
      <c r="AI57" s="13"/>
      <c r="AJ57" s="13"/>
      <c r="AK57" s="13"/>
      <c r="AL57" s="13"/>
      <c r="AM57" s="13"/>
      <c r="AN57" s="13"/>
      <c r="AO57" s="13"/>
      <c r="AP57" s="13"/>
      <c r="AQ57" s="15"/>
      <c r="AR57" s="15"/>
      <c r="AS57" s="15"/>
      <c r="AT57" s="14">
        <v>1</v>
      </c>
      <c r="AU57" s="15"/>
      <c r="AV57" s="7"/>
      <c r="AW57" s="314"/>
      <c r="AX57" s="302"/>
      <c r="AY57" s="302"/>
      <c r="AZ57" s="302"/>
      <c r="BA57" s="322">
        <v>1</v>
      </c>
      <c r="BB57" s="302"/>
      <c r="BC57" s="315"/>
      <c r="BD57" s="316"/>
      <c r="BE57" s="313"/>
      <c r="BF57" s="15"/>
      <c r="BG57" s="15"/>
      <c r="BH57" s="86"/>
      <c r="BI57" s="13"/>
      <c r="BJ57" s="15"/>
      <c r="BK57" s="15"/>
      <c r="BL57" s="15"/>
      <c r="BM57" s="15"/>
      <c r="BN57" s="15"/>
      <c r="BO57" s="15"/>
      <c r="BP57" s="15"/>
      <c r="BQ57" s="15"/>
      <c r="BR57" s="15"/>
      <c r="BS57" s="17"/>
    </row>
    <row r="58" spans="2:71">
      <c r="B58" s="54"/>
      <c r="C58" s="186"/>
      <c r="D58" s="324" t="s">
        <v>733</v>
      </c>
      <c r="E58" s="25"/>
      <c r="F58" s="292"/>
      <c r="G58" s="292"/>
      <c r="H58" s="292"/>
      <c r="I58" s="327"/>
      <c r="J58" s="292"/>
      <c r="K58" s="292"/>
      <c r="L58" s="294"/>
      <c r="M58" s="292"/>
      <c r="N58" s="292"/>
      <c r="O58" s="292"/>
      <c r="P58" s="292"/>
      <c r="Q58" s="294"/>
      <c r="R58" s="294"/>
      <c r="S58" s="294"/>
      <c r="T58" s="294"/>
      <c r="U58" s="294"/>
      <c r="V58" s="294"/>
      <c r="W58" s="294"/>
      <c r="X58" s="328">
        <v>1</v>
      </c>
      <c r="Y58" s="294"/>
      <c r="Z58" s="294"/>
      <c r="AA58" s="294"/>
      <c r="AB58" s="294"/>
      <c r="AC58" s="292"/>
      <c r="AD58" s="294"/>
      <c r="AE58" s="294"/>
      <c r="AF58" s="294"/>
      <c r="AG58" s="294"/>
      <c r="AH58" s="294"/>
      <c r="AI58" s="292"/>
      <c r="AJ58" s="292"/>
      <c r="AK58" s="292"/>
      <c r="AL58" s="292"/>
      <c r="AM58" s="292"/>
      <c r="AN58" s="292"/>
      <c r="AO58" s="292"/>
      <c r="AP58" s="292"/>
      <c r="AQ58" s="294"/>
      <c r="AR58" s="292"/>
      <c r="AS58" s="292"/>
      <c r="AT58" s="294"/>
      <c r="AU58" s="292"/>
      <c r="AV58" s="292"/>
      <c r="AW58" s="292"/>
      <c r="AX58" s="292"/>
      <c r="AY58" s="292"/>
      <c r="AZ58" s="292"/>
      <c r="BA58" s="292"/>
      <c r="BB58" s="292"/>
      <c r="BC58" s="294"/>
      <c r="BD58" s="294"/>
      <c r="BE58" s="294"/>
      <c r="BF58" s="294"/>
      <c r="BG58" s="294"/>
      <c r="BH58" s="325"/>
      <c r="BI58" s="292"/>
      <c r="BJ58" s="294"/>
      <c r="BK58" s="294"/>
      <c r="BL58" s="294"/>
      <c r="BM58" s="294"/>
      <c r="BN58" s="294"/>
      <c r="BO58" s="294"/>
      <c r="BP58" s="294"/>
      <c r="BQ58" s="294"/>
      <c r="BR58" s="294"/>
      <c r="BS58" s="326"/>
    </row>
    <row r="59" spans="2:71">
      <c r="B59" s="54"/>
      <c r="C59" s="75" t="s">
        <v>787</v>
      </c>
      <c r="D59" s="94" t="s">
        <v>788</v>
      </c>
      <c r="E59" s="52">
        <v>1</v>
      </c>
      <c r="F59" s="8">
        <v>1</v>
      </c>
      <c r="G59" s="7"/>
      <c r="H59" s="7"/>
      <c r="I59" s="232">
        <v>4</v>
      </c>
      <c r="J59" s="7"/>
      <c r="K59" s="7"/>
      <c r="L59" s="7"/>
      <c r="M59" s="7"/>
      <c r="N59" s="8">
        <v>1</v>
      </c>
      <c r="O59" s="8">
        <v>1</v>
      </c>
      <c r="P59" s="7"/>
      <c r="Q59" s="9"/>
      <c r="R59" s="7"/>
      <c r="S59" s="9"/>
      <c r="T59" s="9"/>
      <c r="U59" s="9"/>
      <c r="V59" s="9"/>
      <c r="W59" s="9"/>
      <c r="X59" s="10">
        <v>1</v>
      </c>
      <c r="Y59" s="9"/>
      <c r="Z59" s="9"/>
      <c r="AA59" s="9"/>
      <c r="AB59" s="9"/>
      <c r="AC59" s="7"/>
      <c r="AD59" s="9"/>
      <c r="AE59" s="9"/>
      <c r="AF59" s="9"/>
      <c r="AG59" s="10">
        <v>1</v>
      </c>
      <c r="AH59" s="9"/>
      <c r="AI59" s="7"/>
      <c r="AJ59" s="7"/>
      <c r="AK59" s="7"/>
      <c r="AL59" s="7"/>
      <c r="AM59" s="7"/>
      <c r="AN59" s="7"/>
      <c r="AO59" s="7"/>
      <c r="AP59" s="7"/>
      <c r="AQ59" s="9"/>
      <c r="AR59" s="9"/>
      <c r="AS59" s="9"/>
      <c r="AT59" s="8">
        <v>1</v>
      </c>
      <c r="AU59" s="9"/>
      <c r="AV59" s="7"/>
      <c r="AW59" s="300">
        <v>1</v>
      </c>
      <c r="AX59" s="273"/>
      <c r="AY59" s="273"/>
      <c r="AZ59" s="273"/>
      <c r="BA59" s="273"/>
      <c r="BB59" s="273"/>
      <c r="BC59" s="274"/>
      <c r="BD59" s="299"/>
      <c r="BE59" s="291"/>
      <c r="BF59" s="9"/>
      <c r="BG59" s="9"/>
      <c r="BH59" s="85"/>
      <c r="BI59" s="7"/>
      <c r="BJ59" s="9"/>
      <c r="BK59" s="9"/>
      <c r="BL59" s="9"/>
      <c r="BM59" s="9"/>
      <c r="BN59" s="9"/>
      <c r="BO59" s="9"/>
      <c r="BP59" s="9"/>
      <c r="BQ59" s="9"/>
      <c r="BR59" s="9"/>
      <c r="BS59" s="11"/>
    </row>
    <row r="60" spans="2:71" ht="13.5" thickBot="1">
      <c r="B60" s="56"/>
      <c r="C60" s="187" t="s">
        <v>226</v>
      </c>
      <c r="D60" s="214" t="s">
        <v>210</v>
      </c>
      <c r="E60" s="92"/>
      <c r="F60" s="4"/>
      <c r="G60" s="4"/>
      <c r="H60" s="4"/>
      <c r="I60" s="239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6"/>
    </row>
    <row r="61" spans="2:71" ht="15.5">
      <c r="B61" s="57" t="s">
        <v>239</v>
      </c>
      <c r="C61" s="75" t="s">
        <v>240</v>
      </c>
      <c r="D61" s="94" t="s">
        <v>82</v>
      </c>
      <c r="E61" s="90"/>
      <c r="F61" s="8">
        <v>1</v>
      </c>
      <c r="G61" s="7"/>
      <c r="H61" s="7"/>
      <c r="I61" s="232">
        <v>2</v>
      </c>
      <c r="J61" s="7"/>
      <c r="K61" s="7"/>
      <c r="L61" s="7"/>
      <c r="M61" s="7"/>
      <c r="N61" s="7"/>
      <c r="O61" s="7"/>
      <c r="P61" s="7"/>
      <c r="Q61" s="9"/>
      <c r="R61" s="7"/>
      <c r="S61" s="9"/>
      <c r="T61" s="9"/>
      <c r="U61" s="9"/>
      <c r="V61" s="9"/>
      <c r="W61" s="9"/>
      <c r="X61" s="10">
        <v>2</v>
      </c>
      <c r="Y61" s="9"/>
      <c r="Z61" s="9"/>
      <c r="AA61" s="9"/>
      <c r="AB61" s="9"/>
      <c r="AC61" s="7"/>
      <c r="AD61" s="9"/>
      <c r="AE61" s="9"/>
      <c r="AF61" s="9"/>
      <c r="AG61" s="9"/>
      <c r="AH61" s="9"/>
      <c r="AI61" s="7"/>
      <c r="AJ61" s="7"/>
      <c r="AK61" s="7"/>
      <c r="AL61" s="7"/>
      <c r="AM61" s="7"/>
      <c r="AN61" s="7"/>
      <c r="AO61" s="7"/>
      <c r="AP61" s="7"/>
      <c r="AQ61" s="9"/>
      <c r="AR61" s="9"/>
      <c r="AS61" s="9"/>
      <c r="AT61" s="8">
        <v>2</v>
      </c>
      <c r="AU61" s="7"/>
      <c r="AV61" s="7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85"/>
      <c r="BI61" s="7"/>
      <c r="BJ61" s="9"/>
      <c r="BK61" s="9"/>
      <c r="BL61" s="9"/>
      <c r="BM61" s="9"/>
      <c r="BN61" s="9"/>
      <c r="BO61" s="9"/>
      <c r="BP61" s="9"/>
      <c r="BQ61" s="9"/>
      <c r="BR61" s="9"/>
      <c r="BS61" s="11"/>
    </row>
    <row r="62" spans="2:71">
      <c r="B62" s="54"/>
      <c r="C62" s="75"/>
      <c r="D62" s="94" t="s">
        <v>241</v>
      </c>
      <c r="E62" s="90"/>
      <c r="F62" s="7"/>
      <c r="G62" s="7"/>
      <c r="H62" s="7"/>
      <c r="I62" s="232">
        <v>2</v>
      </c>
      <c r="J62" s="7"/>
      <c r="K62" s="7"/>
      <c r="L62" s="8">
        <v>1</v>
      </c>
      <c r="M62" s="7"/>
      <c r="N62" s="7"/>
      <c r="O62" s="7"/>
      <c r="P62" s="7"/>
      <c r="Q62" s="9"/>
      <c r="R62" s="7"/>
      <c r="S62" s="9"/>
      <c r="T62" s="9"/>
      <c r="U62" s="9"/>
      <c r="V62" s="9"/>
      <c r="W62" s="7"/>
      <c r="X62" s="7"/>
      <c r="Y62" s="9"/>
      <c r="Z62" s="9"/>
      <c r="AA62" s="7"/>
      <c r="AB62" s="7"/>
      <c r="AC62" s="7"/>
      <c r="AD62" s="9"/>
      <c r="AE62" s="9"/>
      <c r="AF62" s="9"/>
      <c r="AG62" s="9"/>
      <c r="AH62" s="9"/>
      <c r="AI62" s="7"/>
      <c r="AJ62" s="7"/>
      <c r="AK62" s="7"/>
      <c r="AL62" s="7"/>
      <c r="AM62" s="7"/>
      <c r="AN62" s="7"/>
      <c r="AO62" s="7"/>
      <c r="AP62" s="7"/>
      <c r="AQ62" s="9"/>
      <c r="AR62" s="7"/>
      <c r="AS62" s="7"/>
      <c r="AT62" s="10">
        <v>1</v>
      </c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9"/>
      <c r="BF62" s="9"/>
      <c r="BG62" s="9"/>
      <c r="BH62" s="85"/>
      <c r="BI62" s="7"/>
      <c r="BJ62" s="9"/>
      <c r="BK62" s="9"/>
      <c r="BL62" s="7"/>
      <c r="BM62" s="7"/>
      <c r="BN62" s="7"/>
      <c r="BO62" s="7"/>
      <c r="BP62" s="7"/>
      <c r="BQ62" s="7"/>
      <c r="BR62" s="9"/>
      <c r="BS62" s="11"/>
    </row>
    <row r="63" spans="2:71">
      <c r="B63" s="54"/>
      <c r="C63" s="75" t="s">
        <v>242</v>
      </c>
      <c r="D63" s="122" t="s">
        <v>243</v>
      </c>
      <c r="E63" s="90"/>
      <c r="F63" s="7"/>
      <c r="G63" s="7"/>
      <c r="H63" s="7"/>
      <c r="I63" s="240">
        <v>1</v>
      </c>
      <c r="J63" s="7"/>
      <c r="K63" s="7"/>
      <c r="L63" s="7"/>
      <c r="M63" s="7"/>
      <c r="N63" s="7"/>
      <c r="O63" s="7"/>
      <c r="P63" s="7"/>
      <c r="Q63" s="9"/>
      <c r="R63" s="7"/>
      <c r="S63" s="9"/>
      <c r="T63" s="9"/>
      <c r="U63" s="9"/>
      <c r="V63" s="9"/>
      <c r="W63" s="9"/>
      <c r="X63" s="10">
        <v>1</v>
      </c>
      <c r="Y63" s="9"/>
      <c r="Z63" s="9"/>
      <c r="AA63" s="9"/>
      <c r="AB63" s="9"/>
      <c r="AC63" s="7"/>
      <c r="AD63" s="9"/>
      <c r="AE63" s="9"/>
      <c r="AF63" s="9"/>
      <c r="AG63" s="9"/>
      <c r="AH63" s="9"/>
      <c r="AI63" s="8">
        <v>1</v>
      </c>
      <c r="AJ63" s="9"/>
      <c r="AK63" s="9"/>
      <c r="AL63" s="7"/>
      <c r="AM63" s="7"/>
      <c r="AN63" s="7"/>
      <c r="AO63" s="7"/>
      <c r="AP63" s="7"/>
      <c r="AQ63" s="9"/>
      <c r="AR63" s="9"/>
      <c r="AS63" s="9"/>
      <c r="AT63" s="7"/>
      <c r="AU63" s="9"/>
      <c r="AV63" s="7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85"/>
      <c r="BI63" s="7"/>
      <c r="BJ63" s="9"/>
      <c r="BK63" s="9"/>
      <c r="BL63" s="9"/>
      <c r="BM63" s="9"/>
      <c r="BN63" s="9"/>
      <c r="BO63" s="9"/>
      <c r="BP63" s="9"/>
      <c r="BQ63" s="9"/>
      <c r="BR63" s="9"/>
      <c r="BS63" s="11"/>
    </row>
    <row r="64" spans="2:71">
      <c r="B64" s="54"/>
      <c r="C64" s="75" t="s">
        <v>244</v>
      </c>
      <c r="D64" s="122" t="s">
        <v>245</v>
      </c>
      <c r="E64" s="90"/>
      <c r="F64" s="7"/>
      <c r="G64" s="7"/>
      <c r="H64" s="7"/>
      <c r="I64" s="240">
        <v>1</v>
      </c>
      <c r="J64" s="7"/>
      <c r="K64" s="7"/>
      <c r="L64" s="7"/>
      <c r="M64" s="7"/>
      <c r="N64" s="7"/>
      <c r="O64" s="7"/>
      <c r="P64" s="7"/>
      <c r="Q64" s="9"/>
      <c r="R64" s="7"/>
      <c r="S64" s="9"/>
      <c r="T64" s="9"/>
      <c r="U64" s="9"/>
      <c r="V64" s="9"/>
      <c r="W64" s="9"/>
      <c r="X64" s="10">
        <v>1</v>
      </c>
      <c r="Y64" s="9"/>
      <c r="Z64" s="9"/>
      <c r="AA64" s="9"/>
      <c r="AB64" s="9"/>
      <c r="AC64" s="7"/>
      <c r="AD64" s="9"/>
      <c r="AE64" s="9"/>
      <c r="AF64" s="9"/>
      <c r="AG64" s="9"/>
      <c r="AH64" s="9"/>
      <c r="AI64" s="9"/>
      <c r="AJ64" s="8">
        <v>1</v>
      </c>
      <c r="AK64" s="9"/>
      <c r="AL64" s="7"/>
      <c r="AM64" s="7"/>
      <c r="AN64" s="7"/>
      <c r="AO64" s="7"/>
      <c r="AP64" s="7"/>
      <c r="AQ64" s="9"/>
      <c r="AR64" s="9"/>
      <c r="AS64" s="9"/>
      <c r="AT64" s="7"/>
      <c r="AU64" s="9"/>
      <c r="AV64" s="7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85"/>
      <c r="BI64" s="7"/>
      <c r="BJ64" s="9"/>
      <c r="BK64" s="9"/>
      <c r="BL64" s="9"/>
      <c r="BM64" s="9"/>
      <c r="BN64" s="9"/>
      <c r="BO64" s="9"/>
      <c r="BP64" s="9"/>
      <c r="BQ64" s="9"/>
      <c r="BR64" s="9"/>
      <c r="BS64" s="11"/>
    </row>
    <row r="65" spans="2:71">
      <c r="B65" s="54"/>
      <c r="C65" s="75" t="s">
        <v>246</v>
      </c>
      <c r="D65" s="122" t="s">
        <v>247</v>
      </c>
      <c r="E65" s="90"/>
      <c r="F65" s="7"/>
      <c r="G65" s="7"/>
      <c r="H65" s="7"/>
      <c r="I65" s="240">
        <v>1</v>
      </c>
      <c r="J65" s="7"/>
      <c r="K65" s="7"/>
      <c r="L65" s="7"/>
      <c r="M65" s="7"/>
      <c r="N65" s="7"/>
      <c r="O65" s="7"/>
      <c r="P65" s="7"/>
      <c r="Q65" s="9"/>
      <c r="R65" s="7"/>
      <c r="S65" s="9"/>
      <c r="T65" s="9"/>
      <c r="U65" s="9"/>
      <c r="V65" s="9"/>
      <c r="W65" s="9"/>
      <c r="X65" s="10">
        <v>1</v>
      </c>
      <c r="Y65" s="9"/>
      <c r="Z65" s="9"/>
      <c r="AA65" s="9"/>
      <c r="AB65" s="9"/>
      <c r="AC65" s="7"/>
      <c r="AD65" s="9"/>
      <c r="AE65" s="9"/>
      <c r="AF65" s="9"/>
      <c r="AG65" s="9"/>
      <c r="AH65" s="9"/>
      <c r="AI65" s="9"/>
      <c r="AJ65" s="9"/>
      <c r="AK65" s="8">
        <v>1</v>
      </c>
      <c r="AL65" s="7"/>
      <c r="AM65" s="7"/>
      <c r="AN65" s="7"/>
      <c r="AO65" s="7"/>
      <c r="AP65" s="7"/>
      <c r="AQ65" s="9"/>
      <c r="AR65" s="9"/>
      <c r="AS65" s="9"/>
      <c r="AT65" s="7"/>
      <c r="AU65" s="9"/>
      <c r="AV65" s="7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85"/>
      <c r="BI65" s="7"/>
      <c r="BJ65" s="9"/>
      <c r="BK65" s="9"/>
      <c r="BL65" s="9"/>
      <c r="BM65" s="9"/>
      <c r="BN65" s="9"/>
      <c r="BO65" s="9"/>
      <c r="BP65" s="9"/>
      <c r="BQ65" s="9"/>
      <c r="BR65" s="9"/>
      <c r="BS65" s="11"/>
    </row>
    <row r="66" spans="2:71">
      <c r="B66" s="54"/>
      <c r="C66" s="75"/>
      <c r="D66" s="122" t="s">
        <v>248</v>
      </c>
      <c r="E66" s="90"/>
      <c r="F66" s="7"/>
      <c r="G66" s="7"/>
      <c r="H66" s="7"/>
      <c r="I66" s="240">
        <v>1</v>
      </c>
      <c r="J66" s="7"/>
      <c r="K66" s="7"/>
      <c r="L66" s="7"/>
      <c r="M66" s="7"/>
      <c r="N66" s="7"/>
      <c r="O66" s="7"/>
      <c r="P66" s="7"/>
      <c r="Q66" s="9"/>
      <c r="R66" s="7"/>
      <c r="S66" s="9"/>
      <c r="T66" s="9"/>
      <c r="U66" s="9"/>
      <c r="V66" s="9"/>
      <c r="W66" s="9"/>
      <c r="X66" s="10">
        <v>1</v>
      </c>
      <c r="Y66" s="9"/>
      <c r="Z66" s="9"/>
      <c r="AA66" s="9"/>
      <c r="AB66" s="9"/>
      <c r="AC66" s="7"/>
      <c r="AD66" s="9"/>
      <c r="AE66" s="9"/>
      <c r="AF66" s="9"/>
      <c r="AG66" s="9"/>
      <c r="AH66" s="9"/>
      <c r="AI66" s="7"/>
      <c r="AJ66" s="9"/>
      <c r="AK66" s="9"/>
      <c r="AL66" s="8">
        <v>1</v>
      </c>
      <c r="AM66" s="7"/>
      <c r="AN66" s="7"/>
      <c r="AO66" s="7"/>
      <c r="AP66" s="7"/>
      <c r="AQ66" s="9"/>
      <c r="AR66" s="9"/>
      <c r="AS66" s="9"/>
      <c r="AT66" s="7"/>
      <c r="AU66" s="9"/>
      <c r="AV66" s="7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85"/>
      <c r="BI66" s="7"/>
      <c r="BJ66" s="9"/>
      <c r="BK66" s="9"/>
      <c r="BL66" s="9"/>
      <c r="BM66" s="9"/>
      <c r="BN66" s="9"/>
      <c r="BO66" s="9"/>
      <c r="BP66" s="9"/>
      <c r="BQ66" s="9"/>
      <c r="BR66" s="9"/>
      <c r="BS66" s="11"/>
    </row>
    <row r="67" spans="2:71">
      <c r="B67" s="54"/>
      <c r="C67" s="75" t="s">
        <v>249</v>
      </c>
      <c r="D67" s="122" t="s">
        <v>250</v>
      </c>
      <c r="E67" s="90"/>
      <c r="F67" s="7"/>
      <c r="G67" s="7"/>
      <c r="H67" s="7"/>
      <c r="I67" s="240">
        <v>1</v>
      </c>
      <c r="J67" s="7"/>
      <c r="K67" s="7"/>
      <c r="L67" s="7"/>
      <c r="M67" s="7"/>
      <c r="N67" s="7"/>
      <c r="O67" s="7"/>
      <c r="P67" s="7"/>
      <c r="Q67" s="9"/>
      <c r="R67" s="7"/>
      <c r="S67" s="9"/>
      <c r="T67" s="9"/>
      <c r="U67" s="9"/>
      <c r="V67" s="9"/>
      <c r="W67" s="9"/>
      <c r="X67" s="10">
        <v>1</v>
      </c>
      <c r="Y67" s="9"/>
      <c r="Z67" s="9"/>
      <c r="AA67" s="9"/>
      <c r="AB67" s="9"/>
      <c r="AC67" s="7"/>
      <c r="AD67" s="9"/>
      <c r="AE67" s="9"/>
      <c r="AF67" s="9"/>
      <c r="AG67" s="9"/>
      <c r="AH67" s="9"/>
      <c r="AI67" s="7"/>
      <c r="AJ67" s="7"/>
      <c r="AK67" s="7"/>
      <c r="AL67" s="7"/>
      <c r="AM67" s="8">
        <v>1</v>
      </c>
      <c r="AN67" s="7"/>
      <c r="AO67" s="7"/>
      <c r="AP67" s="7"/>
      <c r="AQ67" s="9"/>
      <c r="AR67" s="9"/>
      <c r="AS67" s="9"/>
      <c r="AT67" s="7"/>
      <c r="AU67" s="9"/>
      <c r="AV67" s="7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85"/>
      <c r="BI67" s="7"/>
      <c r="BJ67" s="9"/>
      <c r="BK67" s="9"/>
      <c r="BL67" s="9"/>
      <c r="BM67" s="9"/>
      <c r="BN67" s="9"/>
      <c r="BO67" s="9"/>
      <c r="BP67" s="9"/>
      <c r="BQ67" s="9"/>
      <c r="BR67" s="9"/>
      <c r="BS67" s="11"/>
    </row>
    <row r="68" spans="2:71">
      <c r="B68" s="54"/>
      <c r="C68" s="75" t="s">
        <v>251</v>
      </c>
      <c r="D68" s="122" t="s">
        <v>252</v>
      </c>
      <c r="E68" s="90"/>
      <c r="F68" s="7"/>
      <c r="G68" s="7"/>
      <c r="H68" s="7"/>
      <c r="I68" s="240">
        <v>1</v>
      </c>
      <c r="J68" s="7"/>
      <c r="K68" s="7"/>
      <c r="L68" s="7"/>
      <c r="M68" s="7"/>
      <c r="N68" s="7"/>
      <c r="O68" s="7"/>
      <c r="P68" s="7"/>
      <c r="Q68" s="9"/>
      <c r="R68" s="7"/>
      <c r="S68" s="9"/>
      <c r="T68" s="9"/>
      <c r="U68" s="9"/>
      <c r="V68" s="9"/>
      <c r="W68" s="9"/>
      <c r="X68" s="10">
        <v>1</v>
      </c>
      <c r="Y68" s="9"/>
      <c r="Z68" s="9"/>
      <c r="AA68" s="9"/>
      <c r="AB68" s="9"/>
      <c r="AC68" s="7"/>
      <c r="AD68" s="9"/>
      <c r="AE68" s="9"/>
      <c r="AF68" s="9"/>
      <c r="AG68" s="9"/>
      <c r="AH68" s="9"/>
      <c r="AI68" s="7"/>
      <c r="AJ68" s="7"/>
      <c r="AK68" s="7"/>
      <c r="AL68" s="9"/>
      <c r="AM68" s="7"/>
      <c r="AN68" s="8">
        <v>1</v>
      </c>
      <c r="AO68" s="7"/>
      <c r="AP68" s="7"/>
      <c r="AQ68" s="9"/>
      <c r="AR68" s="9"/>
      <c r="AS68" s="9"/>
      <c r="AT68" s="7"/>
      <c r="AU68" s="9"/>
      <c r="AV68" s="7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85"/>
      <c r="BI68" s="7"/>
      <c r="BJ68" s="9"/>
      <c r="BK68" s="9"/>
      <c r="BL68" s="9"/>
      <c r="BM68" s="9"/>
      <c r="BN68" s="9"/>
      <c r="BO68" s="9"/>
      <c r="BP68" s="9"/>
      <c r="BQ68" s="9"/>
      <c r="BR68" s="9"/>
      <c r="BS68" s="11"/>
    </row>
    <row r="69" spans="2:71">
      <c r="B69" s="54"/>
      <c r="C69" s="75" t="s">
        <v>253</v>
      </c>
      <c r="D69" s="122" t="s">
        <v>254</v>
      </c>
      <c r="E69" s="90"/>
      <c r="F69" s="7"/>
      <c r="G69" s="7"/>
      <c r="H69" s="7"/>
      <c r="I69" s="240">
        <v>1</v>
      </c>
      <c r="J69" s="7"/>
      <c r="K69" s="7"/>
      <c r="L69" s="7"/>
      <c r="M69" s="7"/>
      <c r="N69" s="7"/>
      <c r="O69" s="7"/>
      <c r="P69" s="7"/>
      <c r="Q69" s="9"/>
      <c r="R69" s="7"/>
      <c r="S69" s="9"/>
      <c r="T69" s="9"/>
      <c r="U69" s="9"/>
      <c r="V69" s="9"/>
      <c r="W69" s="9"/>
      <c r="X69" s="10">
        <v>1</v>
      </c>
      <c r="Y69" s="9"/>
      <c r="Z69" s="9"/>
      <c r="AA69" s="9"/>
      <c r="AB69" s="9"/>
      <c r="AC69" s="7"/>
      <c r="AD69" s="9"/>
      <c r="AE69" s="9"/>
      <c r="AF69" s="9"/>
      <c r="AG69" s="9"/>
      <c r="AH69" s="9"/>
      <c r="AI69" s="7"/>
      <c r="AJ69" s="7"/>
      <c r="AK69" s="7"/>
      <c r="AL69" s="9"/>
      <c r="AM69" s="7"/>
      <c r="AN69" s="7"/>
      <c r="AO69" s="8">
        <v>1</v>
      </c>
      <c r="AP69" s="7"/>
      <c r="AQ69" s="9"/>
      <c r="AR69" s="9"/>
      <c r="AS69" s="9"/>
      <c r="AT69" s="7"/>
      <c r="AU69" s="9"/>
      <c r="AV69" s="7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85"/>
      <c r="BI69" s="7"/>
      <c r="BJ69" s="9"/>
      <c r="BK69" s="9"/>
      <c r="BL69" s="9"/>
      <c r="BM69" s="9"/>
      <c r="BN69" s="9"/>
      <c r="BO69" s="9"/>
      <c r="BP69" s="9"/>
      <c r="BQ69" s="9"/>
      <c r="BR69" s="9"/>
      <c r="BS69" s="11"/>
    </row>
    <row r="70" spans="2:71">
      <c r="B70" s="55"/>
      <c r="C70" s="78"/>
      <c r="D70" s="122" t="s">
        <v>255</v>
      </c>
      <c r="E70" s="90"/>
      <c r="F70" s="7"/>
      <c r="G70" s="7"/>
      <c r="H70" s="7"/>
      <c r="I70" s="241"/>
      <c r="J70" s="7"/>
      <c r="K70" s="7"/>
      <c r="L70" s="7"/>
      <c r="M70" s="7"/>
      <c r="N70" s="7"/>
      <c r="O70" s="7"/>
      <c r="P70" s="7"/>
      <c r="Q70" s="9"/>
      <c r="R70" s="7"/>
      <c r="S70" s="9"/>
      <c r="T70" s="9"/>
      <c r="U70" s="9"/>
      <c r="V70" s="9"/>
      <c r="W70" s="9"/>
      <c r="X70" s="9"/>
      <c r="Y70" s="9"/>
      <c r="Z70" s="9"/>
      <c r="AA70" s="9"/>
      <c r="AB70" s="9"/>
      <c r="AC70" s="7"/>
      <c r="AD70" s="9"/>
      <c r="AE70" s="9"/>
      <c r="AF70" s="9"/>
      <c r="AG70" s="9"/>
      <c r="AH70" s="9"/>
      <c r="AI70" s="9"/>
      <c r="AJ70" s="9"/>
      <c r="AK70" s="9"/>
      <c r="AL70" s="9"/>
      <c r="AM70" s="7"/>
      <c r="AN70" s="7"/>
      <c r="AO70" s="7"/>
      <c r="AP70" s="8">
        <v>1</v>
      </c>
      <c r="AQ70" s="9"/>
      <c r="AR70" s="9"/>
      <c r="AS70" s="9"/>
      <c r="AT70" s="7"/>
      <c r="AU70" s="9"/>
      <c r="AV70" s="7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85"/>
      <c r="BI70" s="7"/>
      <c r="BJ70" s="9"/>
      <c r="BK70" s="9"/>
      <c r="BL70" s="9"/>
      <c r="BM70" s="9"/>
      <c r="BN70" s="9"/>
      <c r="BO70" s="9"/>
      <c r="BP70" s="9"/>
      <c r="BQ70" s="9"/>
      <c r="BR70" s="9"/>
      <c r="BS70" s="11"/>
    </row>
    <row r="71" spans="2:71">
      <c r="B71" s="55"/>
      <c r="C71" s="78"/>
      <c r="D71" s="94" t="s">
        <v>146</v>
      </c>
      <c r="E71" s="90"/>
      <c r="F71" s="7"/>
      <c r="G71" s="7"/>
      <c r="H71" s="7"/>
      <c r="I71" s="232">
        <v>1</v>
      </c>
      <c r="J71" s="7"/>
      <c r="K71" s="7"/>
      <c r="L71" s="7"/>
      <c r="M71" s="7"/>
      <c r="N71" s="7"/>
      <c r="O71" s="7"/>
      <c r="P71" s="7"/>
      <c r="Q71" s="9"/>
      <c r="R71" s="7"/>
      <c r="S71" s="9"/>
      <c r="T71" s="9"/>
      <c r="U71" s="9"/>
      <c r="V71" s="9"/>
      <c r="W71" s="9"/>
      <c r="X71" s="10">
        <v>1</v>
      </c>
      <c r="Y71" s="9"/>
      <c r="Z71" s="9"/>
      <c r="AA71" s="9"/>
      <c r="AB71" s="9"/>
      <c r="AC71" s="7"/>
      <c r="AD71" s="9"/>
      <c r="AE71" s="9"/>
      <c r="AF71" s="9"/>
      <c r="AG71" s="9"/>
      <c r="AH71" s="9"/>
      <c r="AI71" s="9"/>
      <c r="AJ71" s="9"/>
      <c r="AK71" s="9"/>
      <c r="AL71" s="9"/>
      <c r="AM71" s="7"/>
      <c r="AN71" s="7"/>
      <c r="AO71" s="7"/>
      <c r="AP71" s="7"/>
      <c r="AQ71" s="8">
        <v>1</v>
      </c>
      <c r="AR71" s="9"/>
      <c r="AS71" s="9"/>
      <c r="AT71" s="7"/>
      <c r="AU71" s="9"/>
      <c r="AV71" s="7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85"/>
      <c r="BI71" s="7"/>
      <c r="BJ71" s="9"/>
      <c r="BK71" s="9"/>
      <c r="BL71" s="9"/>
      <c r="BM71" s="9"/>
      <c r="BN71" s="9"/>
      <c r="BO71" s="9"/>
      <c r="BP71" s="9"/>
      <c r="BQ71" s="9"/>
      <c r="BR71" s="9"/>
      <c r="BS71" s="11"/>
    </row>
    <row r="72" spans="2:71">
      <c r="B72" s="54"/>
      <c r="C72" s="75" t="s">
        <v>256</v>
      </c>
      <c r="D72" s="94" t="s">
        <v>257</v>
      </c>
      <c r="E72" s="90"/>
      <c r="F72" s="7"/>
      <c r="G72" s="7"/>
      <c r="H72" s="7"/>
      <c r="I72" s="232">
        <v>3</v>
      </c>
      <c r="J72" s="7"/>
      <c r="K72" s="7"/>
      <c r="L72" s="7"/>
      <c r="M72" s="7"/>
      <c r="N72" s="7"/>
      <c r="O72" s="7"/>
      <c r="P72" s="7"/>
      <c r="Q72" s="9"/>
      <c r="R72" s="7"/>
      <c r="S72" s="9"/>
      <c r="T72" s="10">
        <v>1</v>
      </c>
      <c r="U72" s="9"/>
      <c r="V72" s="9"/>
      <c r="W72" s="9"/>
      <c r="X72" s="9"/>
      <c r="Y72" s="9"/>
      <c r="Z72" s="9"/>
      <c r="AA72" s="9"/>
      <c r="AB72" s="9"/>
      <c r="AC72" s="7"/>
      <c r="AD72" s="9"/>
      <c r="AE72" s="10">
        <v>1</v>
      </c>
      <c r="AF72" s="9"/>
      <c r="AG72" s="9"/>
      <c r="AH72" s="9"/>
      <c r="AI72" s="7"/>
      <c r="AJ72" s="7"/>
      <c r="AK72" s="7"/>
      <c r="AL72" s="7"/>
      <c r="AM72" s="7"/>
      <c r="AN72" s="7"/>
      <c r="AO72" s="7"/>
      <c r="AP72" s="7"/>
      <c r="AQ72" s="9"/>
      <c r="AR72" s="9"/>
      <c r="AS72" s="9"/>
      <c r="AT72" s="8">
        <v>1</v>
      </c>
      <c r="AU72" s="9"/>
      <c r="AV72" s="7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85"/>
      <c r="BI72" s="7"/>
      <c r="BJ72" s="9"/>
      <c r="BK72" s="9"/>
      <c r="BL72" s="9"/>
      <c r="BM72" s="9"/>
      <c r="BN72" s="9"/>
      <c r="BO72" s="9"/>
      <c r="BP72" s="9"/>
      <c r="BQ72" s="9"/>
      <c r="BR72" s="9"/>
      <c r="BS72" s="11"/>
    </row>
    <row r="73" spans="2:71">
      <c r="B73" s="54"/>
      <c r="C73" s="75"/>
      <c r="D73" s="94" t="s">
        <v>258</v>
      </c>
      <c r="E73" s="90"/>
      <c r="F73" s="7"/>
      <c r="G73" s="7"/>
      <c r="H73" s="7"/>
      <c r="I73" s="232">
        <v>1</v>
      </c>
      <c r="J73" s="7"/>
      <c r="K73" s="7"/>
      <c r="L73" s="8">
        <v>1</v>
      </c>
      <c r="M73" s="7"/>
      <c r="N73" s="7"/>
      <c r="O73" s="7"/>
      <c r="P73" s="7"/>
      <c r="Q73" s="9"/>
      <c r="R73" s="7"/>
      <c r="S73" s="9"/>
      <c r="T73" s="10">
        <v>1</v>
      </c>
      <c r="U73" s="9"/>
      <c r="V73" s="9"/>
      <c r="W73" s="9"/>
      <c r="X73" s="9"/>
      <c r="Y73" s="9"/>
      <c r="Z73" s="9"/>
      <c r="AA73" s="9"/>
      <c r="AB73" s="9"/>
      <c r="AC73" s="7"/>
      <c r="AD73" s="9"/>
      <c r="AE73" s="10">
        <v>1</v>
      </c>
      <c r="AF73" s="9"/>
      <c r="AG73" s="9"/>
      <c r="AH73" s="9"/>
      <c r="AI73" s="7"/>
      <c r="AJ73" s="7"/>
      <c r="AK73" s="7"/>
      <c r="AL73" s="7"/>
      <c r="AM73" s="7"/>
      <c r="AN73" s="7"/>
      <c r="AO73" s="7"/>
      <c r="AP73" s="7"/>
      <c r="AQ73" s="9"/>
      <c r="AR73" s="9"/>
      <c r="AS73" s="9"/>
      <c r="AT73" s="8">
        <v>1</v>
      </c>
      <c r="AU73" s="9"/>
      <c r="AV73" s="7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85"/>
      <c r="BI73" s="7"/>
      <c r="BJ73" s="9"/>
      <c r="BK73" s="9"/>
      <c r="BL73" s="9"/>
      <c r="BM73" s="9"/>
      <c r="BN73" s="9"/>
      <c r="BO73" s="9"/>
      <c r="BP73" s="9"/>
      <c r="BQ73" s="9"/>
      <c r="BR73" s="9"/>
      <c r="BS73" s="11"/>
    </row>
    <row r="74" spans="2:71">
      <c r="B74" s="54"/>
      <c r="C74" s="75"/>
      <c r="D74" s="94" t="s">
        <v>730</v>
      </c>
      <c r="E74" s="90"/>
      <c r="F74" s="7"/>
      <c r="G74" s="7"/>
      <c r="H74" s="7"/>
      <c r="I74" s="232">
        <v>2</v>
      </c>
      <c r="J74" s="7"/>
      <c r="K74" s="7"/>
      <c r="L74" s="7"/>
      <c r="M74" s="7"/>
      <c r="N74" s="7"/>
      <c r="O74" s="7"/>
      <c r="P74" s="7"/>
      <c r="Q74" s="9"/>
      <c r="R74" s="7"/>
      <c r="S74" s="9"/>
      <c r="T74" s="10">
        <v>2</v>
      </c>
      <c r="U74" s="9"/>
      <c r="V74" s="9"/>
      <c r="W74" s="9"/>
      <c r="X74" s="10">
        <v>2</v>
      </c>
      <c r="Y74" s="9"/>
      <c r="Z74" s="9"/>
      <c r="AA74" s="9"/>
      <c r="AB74" s="9"/>
      <c r="AC74" s="7"/>
      <c r="AD74" s="9"/>
      <c r="AE74" s="10">
        <v>2</v>
      </c>
      <c r="AF74" s="9"/>
      <c r="AG74" s="9"/>
      <c r="AH74" s="9"/>
      <c r="AI74" s="7"/>
      <c r="AJ74" s="7"/>
      <c r="AK74" s="7"/>
      <c r="AL74" s="7"/>
      <c r="AM74" s="7"/>
      <c r="AN74" s="7"/>
      <c r="AO74" s="7"/>
      <c r="AP74" s="7"/>
      <c r="AQ74" s="9"/>
      <c r="AR74" s="9"/>
      <c r="AS74" s="9"/>
      <c r="AT74" s="8">
        <v>1</v>
      </c>
      <c r="AU74" s="9"/>
      <c r="AV74" s="7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85"/>
      <c r="BI74" s="7"/>
      <c r="BJ74" s="9"/>
      <c r="BK74" s="9"/>
      <c r="BL74" s="9"/>
      <c r="BM74" s="9"/>
      <c r="BN74" s="9"/>
      <c r="BO74" s="9"/>
      <c r="BP74" s="9"/>
      <c r="BQ74" s="9"/>
      <c r="BR74" s="9"/>
      <c r="BS74" s="11"/>
    </row>
    <row r="75" spans="2:71">
      <c r="B75" s="54"/>
      <c r="C75" s="75"/>
      <c r="D75" s="94" t="s">
        <v>73</v>
      </c>
      <c r="E75" s="90"/>
      <c r="F75" s="7"/>
      <c r="G75" s="7"/>
      <c r="H75" s="7"/>
      <c r="I75" s="232">
        <v>1</v>
      </c>
      <c r="J75" s="7"/>
      <c r="K75" s="7"/>
      <c r="L75" s="7"/>
      <c r="M75" s="7"/>
      <c r="N75" s="7"/>
      <c r="O75" s="7"/>
      <c r="P75" s="7"/>
      <c r="Q75" s="9"/>
      <c r="R75" s="7"/>
      <c r="S75" s="10">
        <v>1</v>
      </c>
      <c r="T75" s="9"/>
      <c r="U75" s="9"/>
      <c r="V75" s="9"/>
      <c r="W75" s="9"/>
      <c r="X75" s="9"/>
      <c r="Y75" s="9"/>
      <c r="Z75" s="9"/>
      <c r="AA75" s="9"/>
      <c r="AB75" s="9"/>
      <c r="AC75" s="7"/>
      <c r="AD75" s="10">
        <v>1</v>
      </c>
      <c r="AE75" s="9"/>
      <c r="AF75" s="9"/>
      <c r="AG75" s="9"/>
      <c r="AH75" s="9"/>
      <c r="AI75" s="7"/>
      <c r="AJ75" s="7"/>
      <c r="AK75" s="7"/>
      <c r="AL75" s="7"/>
      <c r="AM75" s="7"/>
      <c r="AN75" s="7"/>
      <c r="AO75" s="7"/>
      <c r="AP75" s="7"/>
      <c r="AQ75" s="9"/>
      <c r="AR75" s="9"/>
      <c r="AS75" s="9"/>
      <c r="AT75" s="7"/>
      <c r="AU75" s="9"/>
      <c r="AV75" s="7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85"/>
      <c r="BI75" s="7"/>
      <c r="BJ75" s="9"/>
      <c r="BK75" s="9"/>
      <c r="BL75" s="9"/>
      <c r="BM75" s="9"/>
      <c r="BN75" s="9"/>
      <c r="BO75" s="9"/>
      <c r="BP75" s="9"/>
      <c r="BQ75" s="9"/>
      <c r="BR75" s="9"/>
      <c r="BS75" s="11"/>
    </row>
    <row r="76" spans="2:71">
      <c r="B76" s="54"/>
      <c r="C76" s="75"/>
      <c r="D76" s="94" t="s">
        <v>260</v>
      </c>
      <c r="E76" s="90"/>
      <c r="F76" s="7"/>
      <c r="G76" s="7"/>
      <c r="H76" s="7"/>
      <c r="I76" s="233"/>
      <c r="J76" s="7"/>
      <c r="K76" s="7"/>
      <c r="L76" s="7"/>
      <c r="M76" s="7"/>
      <c r="N76" s="7"/>
      <c r="O76" s="7"/>
      <c r="P76" s="7"/>
      <c r="Q76" s="8">
        <v>1</v>
      </c>
      <c r="R76" s="7"/>
      <c r="S76" s="9"/>
      <c r="T76" s="9"/>
      <c r="U76" s="9"/>
      <c r="V76" s="9"/>
      <c r="W76" s="9"/>
      <c r="X76" s="9"/>
      <c r="Y76" s="9"/>
      <c r="Z76" s="9"/>
      <c r="AA76" s="9"/>
      <c r="AB76" s="9"/>
      <c r="AC76" s="7"/>
      <c r="AD76" s="9"/>
      <c r="AE76" s="9"/>
      <c r="AF76" s="9"/>
      <c r="AG76" s="9"/>
      <c r="AH76" s="9"/>
      <c r="AI76" s="7"/>
      <c r="AJ76" s="7"/>
      <c r="AK76" s="7"/>
      <c r="AL76" s="7"/>
      <c r="AM76" s="7"/>
      <c r="AN76" s="7"/>
      <c r="AO76" s="7"/>
      <c r="AP76" s="7"/>
      <c r="AQ76" s="9"/>
      <c r="AR76" s="9"/>
      <c r="AS76" s="9"/>
      <c r="AT76" s="7"/>
      <c r="AU76" s="9"/>
      <c r="AV76" s="7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85"/>
      <c r="BI76" s="7"/>
      <c r="BJ76" s="9"/>
      <c r="BK76" s="9"/>
      <c r="BL76" s="9"/>
      <c r="BM76" s="9"/>
      <c r="BN76" s="9"/>
      <c r="BO76" s="9"/>
      <c r="BP76" s="9"/>
      <c r="BQ76" s="9"/>
      <c r="BR76" s="9"/>
      <c r="BS76" s="11"/>
    </row>
    <row r="77" spans="2:71">
      <c r="B77" s="54"/>
      <c r="C77" s="75"/>
      <c r="D77" s="94" t="s">
        <v>261</v>
      </c>
      <c r="E77" s="90"/>
      <c r="F77" s="7"/>
      <c r="G77" s="7"/>
      <c r="H77" s="7"/>
      <c r="I77" s="232">
        <v>1</v>
      </c>
      <c r="J77" s="7"/>
      <c r="K77" s="7"/>
      <c r="L77" s="7"/>
      <c r="M77" s="7"/>
      <c r="N77" s="7"/>
      <c r="O77" s="7"/>
      <c r="P77" s="7"/>
      <c r="Q77" s="9"/>
      <c r="R77" s="7"/>
      <c r="S77" s="9"/>
      <c r="T77" s="9"/>
      <c r="U77" s="9"/>
      <c r="V77" s="9"/>
      <c r="W77" s="9"/>
      <c r="X77" s="9"/>
      <c r="Y77" s="9"/>
      <c r="Z77" s="9"/>
      <c r="AA77" s="9"/>
      <c r="AB77" s="9"/>
      <c r="AC77" s="7"/>
      <c r="AD77" s="9"/>
      <c r="AE77" s="9"/>
      <c r="AF77" s="9"/>
      <c r="AG77" s="9"/>
      <c r="AH77" s="9"/>
      <c r="AI77" s="7"/>
      <c r="AJ77" s="7"/>
      <c r="AK77" s="7"/>
      <c r="AL77" s="7"/>
      <c r="AM77" s="7"/>
      <c r="AN77" s="7"/>
      <c r="AO77" s="7"/>
      <c r="AP77" s="7"/>
      <c r="AQ77" s="9"/>
      <c r="AR77" s="9"/>
      <c r="AS77" s="9"/>
      <c r="AT77" s="7"/>
      <c r="AU77" s="9"/>
      <c r="AV77" s="7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85"/>
      <c r="BI77" s="7"/>
      <c r="BJ77" s="9"/>
      <c r="BK77" s="9"/>
      <c r="BL77" s="9"/>
      <c r="BM77" s="9"/>
      <c r="BN77" s="9"/>
      <c r="BO77" s="9"/>
      <c r="BP77" s="9"/>
      <c r="BQ77" s="9"/>
      <c r="BR77" s="9"/>
      <c r="BS77" s="11"/>
    </row>
    <row r="78" spans="2:71">
      <c r="B78" s="54"/>
      <c r="C78" s="75"/>
      <c r="D78" s="94" t="s">
        <v>262</v>
      </c>
      <c r="E78" s="90"/>
      <c r="F78" s="7"/>
      <c r="G78" s="7"/>
      <c r="H78" s="7"/>
      <c r="I78" s="232">
        <v>4</v>
      </c>
      <c r="J78" s="7"/>
      <c r="K78" s="7"/>
      <c r="L78" s="7"/>
      <c r="M78" s="7"/>
      <c r="N78" s="7"/>
      <c r="O78" s="7"/>
      <c r="P78" s="7"/>
      <c r="Q78" s="9"/>
      <c r="R78" s="7"/>
      <c r="S78" s="9"/>
      <c r="T78" s="9"/>
      <c r="U78" s="9"/>
      <c r="V78" s="9"/>
      <c r="W78" s="9"/>
      <c r="X78" s="9"/>
      <c r="Y78" s="9"/>
      <c r="Z78" s="9"/>
      <c r="AA78" s="9"/>
      <c r="AB78" s="9"/>
      <c r="AC78" s="7"/>
      <c r="AD78" s="9"/>
      <c r="AE78" s="9"/>
      <c r="AF78" s="9"/>
      <c r="AG78" s="9"/>
      <c r="AH78" s="9"/>
      <c r="AI78" s="7"/>
      <c r="AJ78" s="7"/>
      <c r="AK78" s="7"/>
      <c r="AL78" s="7"/>
      <c r="AM78" s="7"/>
      <c r="AN78" s="7"/>
      <c r="AO78" s="7"/>
      <c r="AP78" s="7"/>
      <c r="AQ78" s="9"/>
      <c r="AR78" s="10">
        <v>1</v>
      </c>
      <c r="AS78" s="9"/>
      <c r="AT78" s="7"/>
      <c r="AU78" s="9"/>
      <c r="AV78" s="7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85"/>
      <c r="BI78" s="7"/>
      <c r="BJ78" s="9"/>
      <c r="BK78" s="9"/>
      <c r="BL78" s="9"/>
      <c r="BM78" s="9"/>
      <c r="BN78" s="9"/>
      <c r="BO78" s="9"/>
      <c r="BP78" s="9"/>
      <c r="BQ78" s="9"/>
      <c r="BR78" s="9"/>
      <c r="BS78" s="11"/>
    </row>
    <row r="79" spans="2:71">
      <c r="B79" s="54"/>
      <c r="C79" s="75"/>
      <c r="D79" s="94" t="s">
        <v>263</v>
      </c>
      <c r="E79" s="90"/>
      <c r="F79" s="7"/>
      <c r="G79" s="7"/>
      <c r="H79" s="7"/>
      <c r="I79" s="232">
        <v>1</v>
      </c>
      <c r="J79" s="7"/>
      <c r="K79" s="7"/>
      <c r="L79" s="7"/>
      <c r="M79" s="7"/>
      <c r="N79" s="7"/>
      <c r="O79" s="7"/>
      <c r="P79" s="7"/>
      <c r="Q79" s="9"/>
      <c r="R79" s="7"/>
      <c r="S79" s="9"/>
      <c r="T79" s="9"/>
      <c r="U79" s="9"/>
      <c r="V79" s="9"/>
      <c r="W79" s="9"/>
      <c r="X79" s="9"/>
      <c r="Y79" s="9"/>
      <c r="Z79" s="9"/>
      <c r="AA79" s="9"/>
      <c r="AB79" s="9"/>
      <c r="AC79" s="7"/>
      <c r="AD79" s="9"/>
      <c r="AE79" s="9"/>
      <c r="AF79" s="9"/>
      <c r="AG79" s="9"/>
      <c r="AH79" s="9"/>
      <c r="AI79" s="7"/>
      <c r="AJ79" s="7"/>
      <c r="AK79" s="7"/>
      <c r="AL79" s="7"/>
      <c r="AM79" s="7"/>
      <c r="AN79" s="7"/>
      <c r="AO79" s="7"/>
      <c r="AP79" s="7"/>
      <c r="AQ79" s="9"/>
      <c r="AR79" s="10">
        <v>1</v>
      </c>
      <c r="AS79" s="9"/>
      <c r="AT79" s="8">
        <v>1</v>
      </c>
      <c r="AU79" s="9"/>
      <c r="AV79" s="7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85"/>
      <c r="BI79" s="7"/>
      <c r="BJ79" s="9"/>
      <c r="BK79" s="9"/>
      <c r="BL79" s="9"/>
      <c r="BM79" s="9"/>
      <c r="BN79" s="9"/>
      <c r="BO79" s="9"/>
      <c r="BP79" s="9"/>
      <c r="BQ79" s="9"/>
      <c r="BR79" s="9"/>
      <c r="BS79" s="11"/>
    </row>
    <row r="80" spans="2:71" ht="13.5" thickBot="1">
      <c r="B80" s="56"/>
      <c r="C80" s="76"/>
      <c r="D80" s="18" t="s">
        <v>729</v>
      </c>
      <c r="E80" s="93"/>
      <c r="F80" s="19"/>
      <c r="G80" s="19"/>
      <c r="H80" s="19"/>
      <c r="I80" s="242">
        <v>1</v>
      </c>
      <c r="J80" s="19"/>
      <c r="K80" s="19"/>
      <c r="L80" s="19"/>
      <c r="M80" s="19"/>
      <c r="N80" s="19"/>
      <c r="O80" s="19"/>
      <c r="P80" s="19"/>
      <c r="Q80" s="21"/>
      <c r="R80" s="20">
        <v>1</v>
      </c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19"/>
      <c r="AD80" s="21"/>
      <c r="AE80" s="21"/>
      <c r="AF80" s="21"/>
      <c r="AG80" s="21"/>
      <c r="AH80" s="21"/>
      <c r="AI80" s="19"/>
      <c r="AJ80" s="19"/>
      <c r="AK80" s="19"/>
      <c r="AL80" s="19"/>
      <c r="AM80" s="19"/>
      <c r="AN80" s="19"/>
      <c r="AO80" s="19"/>
      <c r="AP80" s="19"/>
      <c r="AQ80" s="21"/>
      <c r="AR80" s="24">
        <v>1</v>
      </c>
      <c r="AS80" s="24">
        <v>1</v>
      </c>
      <c r="AT80" s="20">
        <v>1</v>
      </c>
      <c r="AU80" s="21"/>
      <c r="AV80" s="19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87"/>
      <c r="BI80" s="19"/>
      <c r="BJ80" s="21"/>
      <c r="BK80" s="21"/>
      <c r="BL80" s="21"/>
      <c r="BM80" s="21"/>
      <c r="BN80" s="21"/>
      <c r="BO80" s="21"/>
      <c r="BP80" s="21"/>
      <c r="BQ80" s="21"/>
      <c r="BR80" s="21"/>
      <c r="BS80" s="22"/>
    </row>
    <row r="81" spans="2:71">
      <c r="D81" s="94" t="s">
        <v>77</v>
      </c>
      <c r="E81" s="90"/>
      <c r="F81" s="7"/>
      <c r="G81" s="7"/>
      <c r="H81" s="7"/>
      <c r="I81" s="233"/>
      <c r="J81" s="7"/>
      <c r="K81" s="7"/>
      <c r="L81" s="7"/>
      <c r="M81" s="7"/>
      <c r="N81" s="7"/>
      <c r="O81" s="7"/>
      <c r="P81" s="7"/>
      <c r="Q81" s="9"/>
      <c r="R81" s="7"/>
      <c r="S81" s="9"/>
      <c r="T81" s="8">
        <v>1</v>
      </c>
      <c r="U81" s="9"/>
      <c r="V81" s="9"/>
      <c r="W81" s="9"/>
      <c r="X81" s="9"/>
      <c r="Y81" s="9"/>
      <c r="Z81" s="9"/>
      <c r="AA81" s="9"/>
      <c r="AB81" s="9"/>
      <c r="AC81" s="7"/>
      <c r="AD81" s="9"/>
      <c r="AE81" s="9"/>
      <c r="AF81" s="9"/>
      <c r="AG81" s="9"/>
      <c r="AH81" s="9"/>
      <c r="AI81" s="7"/>
      <c r="AJ81" s="7"/>
      <c r="AK81" s="7"/>
      <c r="AL81" s="7"/>
      <c r="AM81" s="7"/>
      <c r="AN81" s="7"/>
      <c r="AO81" s="7"/>
      <c r="AP81" s="7"/>
      <c r="AQ81" s="9"/>
      <c r="AR81" s="7"/>
      <c r="AS81" s="7"/>
      <c r="AT81" s="7"/>
      <c r="AU81" s="7"/>
      <c r="AV81" s="7"/>
      <c r="AW81" s="7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85"/>
      <c r="BI81" s="7"/>
      <c r="BJ81" s="9"/>
      <c r="BK81" s="9"/>
      <c r="BL81" s="9"/>
      <c r="BM81" s="9"/>
      <c r="BN81" s="9"/>
      <c r="BO81" s="9"/>
      <c r="BP81" s="9"/>
      <c r="BQ81" s="9"/>
      <c r="BR81" s="9"/>
      <c r="BS81" s="11"/>
    </row>
    <row r="82" spans="2:71" ht="13.5" thickBot="1">
      <c r="D82" s="18" t="s">
        <v>78</v>
      </c>
      <c r="E82" s="93"/>
      <c r="F82" s="19"/>
      <c r="G82" s="19"/>
      <c r="H82" s="19"/>
      <c r="I82" s="242">
        <v>1</v>
      </c>
      <c r="J82" s="19"/>
      <c r="K82" s="19"/>
      <c r="L82" s="19"/>
      <c r="M82" s="19"/>
      <c r="N82" s="19"/>
      <c r="O82" s="19"/>
      <c r="P82" s="19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19"/>
      <c r="AD82" s="21"/>
      <c r="AE82" s="21"/>
      <c r="AF82" s="21"/>
      <c r="AG82" s="21"/>
      <c r="AH82" s="21"/>
      <c r="AI82" s="19"/>
      <c r="AJ82" s="19"/>
      <c r="AK82" s="19"/>
      <c r="AL82" s="19"/>
      <c r="AM82" s="19"/>
      <c r="AN82" s="19"/>
      <c r="AO82" s="19"/>
      <c r="AP82" s="19"/>
      <c r="AQ82" s="21"/>
      <c r="AR82" s="21"/>
      <c r="AS82" s="21"/>
      <c r="AT82" s="21"/>
      <c r="AU82" s="21"/>
      <c r="AV82" s="19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87"/>
      <c r="BI82" s="19"/>
      <c r="BJ82" s="21"/>
      <c r="BK82" s="21"/>
      <c r="BL82" s="21"/>
      <c r="BM82" s="21"/>
      <c r="BN82" s="21"/>
      <c r="BO82" s="21"/>
      <c r="BP82" s="21"/>
      <c r="BQ82" s="21"/>
      <c r="BR82" s="21"/>
      <c r="BS82" s="22"/>
    </row>
    <row r="83" spans="2:71">
      <c r="D83" s="96" t="s">
        <v>264</v>
      </c>
      <c r="E83" s="90"/>
      <c r="F83" s="7"/>
      <c r="G83" s="7"/>
      <c r="H83" s="7"/>
      <c r="I83" s="233"/>
      <c r="J83" s="7"/>
      <c r="K83" s="7"/>
      <c r="L83" s="7"/>
      <c r="M83" s="7"/>
      <c r="N83" s="7"/>
      <c r="O83" s="7"/>
      <c r="P83" s="7"/>
      <c r="Q83" s="9"/>
      <c r="R83" s="7"/>
      <c r="S83" s="9"/>
      <c r="T83" s="9"/>
      <c r="U83" s="9"/>
      <c r="V83" s="9"/>
      <c r="W83" s="9"/>
      <c r="X83" s="9"/>
      <c r="Y83" s="9"/>
      <c r="Z83" s="9"/>
      <c r="AA83" s="9"/>
      <c r="AB83" s="9"/>
      <c r="AC83" s="7"/>
      <c r="AD83" s="9"/>
      <c r="AE83" s="9"/>
      <c r="AF83" s="9"/>
      <c r="AG83" s="9"/>
      <c r="AH83" s="9"/>
      <c r="AI83" s="7"/>
      <c r="AJ83" s="7"/>
      <c r="AK83" s="7"/>
      <c r="AL83" s="7"/>
      <c r="AM83" s="7"/>
      <c r="AN83" s="7"/>
      <c r="AO83" s="7"/>
      <c r="AP83" s="7"/>
      <c r="AQ83" s="9"/>
      <c r="AR83" s="9"/>
      <c r="AS83" s="9"/>
      <c r="AT83" s="7"/>
      <c r="AU83" s="9"/>
      <c r="AV83" s="7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85"/>
      <c r="BI83" s="7"/>
      <c r="BJ83" s="9"/>
      <c r="BK83" s="9"/>
      <c r="BL83" s="9"/>
      <c r="BM83" s="9"/>
      <c r="BN83" s="9"/>
      <c r="BO83" s="9"/>
      <c r="BP83" s="9"/>
      <c r="BQ83" s="9"/>
      <c r="BR83" s="9"/>
      <c r="BS83" s="11"/>
    </row>
    <row r="84" spans="2:71">
      <c r="D84" s="96" t="s">
        <v>265</v>
      </c>
      <c r="E84" s="90"/>
      <c r="F84" s="7"/>
      <c r="G84" s="7"/>
      <c r="H84" s="7"/>
      <c r="I84" s="233"/>
      <c r="J84" s="7"/>
      <c r="K84" s="7"/>
      <c r="L84" s="7"/>
      <c r="M84" s="7"/>
      <c r="N84" s="7"/>
      <c r="O84" s="7"/>
      <c r="P84" s="7"/>
      <c r="Q84" s="9"/>
      <c r="R84" s="7"/>
      <c r="S84" s="9"/>
      <c r="T84" s="9"/>
      <c r="U84" s="9"/>
      <c r="V84" s="9"/>
      <c r="W84" s="9"/>
      <c r="X84" s="9"/>
      <c r="Y84" s="9"/>
      <c r="Z84" s="9"/>
      <c r="AA84" s="9"/>
      <c r="AB84" s="9"/>
      <c r="AC84" s="7"/>
      <c r="AD84" s="9"/>
      <c r="AE84" s="9"/>
      <c r="AF84" s="9"/>
      <c r="AG84" s="9"/>
      <c r="AH84" s="9"/>
      <c r="AI84" s="7"/>
      <c r="AJ84" s="7"/>
      <c r="AK84" s="7"/>
      <c r="AL84" s="7"/>
      <c r="AM84" s="7"/>
      <c r="AN84" s="7"/>
      <c r="AO84" s="7"/>
      <c r="AP84" s="7"/>
      <c r="AQ84" s="9"/>
      <c r="AR84" s="9"/>
      <c r="AS84" s="9"/>
      <c r="AT84" s="7"/>
      <c r="AU84" s="9"/>
      <c r="AV84" s="7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85"/>
      <c r="BI84" s="7"/>
      <c r="BJ84" s="9"/>
      <c r="BK84" s="9"/>
      <c r="BL84" s="9"/>
      <c r="BM84" s="9"/>
      <c r="BN84" s="9"/>
      <c r="BO84" s="9"/>
      <c r="BP84" s="9"/>
      <c r="BQ84" s="9"/>
      <c r="BR84" s="9"/>
      <c r="BS84" s="11"/>
    </row>
    <row r="85" spans="2:71">
      <c r="B85" s="23"/>
      <c r="C85" s="74"/>
      <c r="D85" s="96" t="s">
        <v>266</v>
      </c>
      <c r="E85" s="90"/>
      <c r="F85" s="7"/>
      <c r="G85" s="7"/>
      <c r="H85" s="7"/>
      <c r="I85" s="233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85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11"/>
    </row>
    <row r="86" spans="2:71">
      <c r="B86" s="23"/>
      <c r="C86" s="74"/>
      <c r="D86" s="96" t="s">
        <v>267</v>
      </c>
      <c r="E86" s="90"/>
      <c r="F86" s="7"/>
      <c r="G86" s="7"/>
      <c r="H86" s="7"/>
      <c r="I86" s="233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85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11"/>
    </row>
    <row r="87" spans="2:71" ht="13.5" thickBot="1">
      <c r="D87" s="97" t="s">
        <v>268</v>
      </c>
      <c r="E87" s="92"/>
      <c r="F87" s="4"/>
      <c r="G87" s="4"/>
      <c r="H87" s="4"/>
      <c r="I87" s="239"/>
      <c r="J87" s="4"/>
      <c r="K87" s="4"/>
      <c r="L87" s="4"/>
      <c r="M87" s="4"/>
      <c r="N87" s="4"/>
      <c r="O87" s="4"/>
      <c r="P87" s="4"/>
      <c r="Q87" s="5"/>
      <c r="R87" s="4"/>
      <c r="S87" s="5"/>
      <c r="T87" s="5"/>
      <c r="U87" s="5"/>
      <c r="V87" s="5"/>
      <c r="W87" s="5"/>
      <c r="X87" s="5"/>
      <c r="Y87" s="5"/>
      <c r="Z87" s="5"/>
      <c r="AA87" s="5"/>
      <c r="AB87" s="5"/>
      <c r="AC87" s="4"/>
      <c r="AD87" s="5"/>
      <c r="AE87" s="5"/>
      <c r="AF87" s="5"/>
      <c r="AG87" s="5"/>
      <c r="AH87" s="5"/>
      <c r="AI87" s="4"/>
      <c r="AJ87" s="4"/>
      <c r="AK87" s="4"/>
      <c r="AL87" s="4"/>
      <c r="AM87" s="4"/>
      <c r="AN87" s="4"/>
      <c r="AO87" s="4"/>
      <c r="AP87" s="4"/>
      <c r="AQ87" s="5"/>
      <c r="AR87" s="5"/>
      <c r="AS87" s="5"/>
      <c r="AT87" s="4"/>
      <c r="AU87" s="5"/>
      <c r="AV87" s="4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84"/>
      <c r="BI87" s="4"/>
      <c r="BJ87" s="5"/>
      <c r="BK87" s="5"/>
      <c r="BL87" s="5"/>
      <c r="BM87" s="5"/>
      <c r="BN87" s="5"/>
      <c r="BO87" s="5"/>
      <c r="BP87" s="5"/>
      <c r="BQ87" s="5"/>
      <c r="BR87" s="5"/>
      <c r="BS87" s="6"/>
    </row>
    <row r="88" spans="2:71"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88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6"/>
    </row>
    <row r="94" spans="2:71" ht="12.75" customHeight="1">
      <c r="D94" s="352"/>
    </row>
    <row r="95" spans="2:71">
      <c r="D95" s="352"/>
    </row>
  </sheetData>
  <mergeCells count="1">
    <mergeCell ref="D94:D95"/>
  </mergeCells>
  <phoneticPr fontId="21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76B0193DF28942B7CEB512C806ED9C" ma:contentTypeVersion="22" ma:contentTypeDescription="Create a new document." ma:contentTypeScope="" ma:versionID="3ab56780aaebeee9077a6698679b20f8">
  <xsd:schema xmlns:xsd="http://www.w3.org/2001/XMLSchema" xmlns:xs="http://www.w3.org/2001/XMLSchema" xmlns:p="http://schemas.microsoft.com/office/2006/metadata/properties" xmlns:ns2="9aed1b6a-3ac8-47a3-a813-1e2ac029d74e" xmlns:ns3="55a64f43-bf61-44a4-8de8-44c738c3b35f" targetNamespace="http://schemas.microsoft.com/office/2006/metadata/properties" ma:root="true" ma:fieldsID="c82cfabdcb2908aaf99039eccb781d6c" ns2:_="" ns3:_="">
    <xsd:import namespace="9aed1b6a-3ac8-47a3-a813-1e2ac029d74e"/>
    <xsd:import namespace="55a64f43-bf61-44a4-8de8-44c738c3b35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2:SharedWithUsers" minOccurs="0"/>
                <xsd:element ref="ns2:SharedWithDetail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LengthInSeconds" minOccurs="0"/>
                <xsd:element ref="ns3:MediaServiceLocation" minOccurs="0"/>
                <xsd:element ref="ns3:Description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d1b6a-3ac8-47a3-a813-1e2ac029d7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181dc8e8-17db-45e9-aa30-2fda2d909abd}" ma:internalName="TaxCatchAll" ma:showField="CatchAllData" ma:web="9aed1b6a-3ac8-47a3-a813-1e2ac029d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a64f43-bf61-44a4-8de8-44c738c3b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3f7d1aea-a120-4cd1-bced-3b54899d6f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6" nillable="true" ma:displayName="Location" ma:internalName="MediaServiceLocation" ma:readOnly="true">
      <xsd:simpleType>
        <xsd:restriction base="dms:Text"/>
      </xsd:simpleType>
    </xsd:element>
    <xsd:element name="Description" ma:index="27" nillable="true" ma:displayName="Description" ma:format="Dropdown" ma:internalName="Description">
      <xsd:simpleType>
        <xsd:restriction base="dms:Text">
          <xsd:maxLength value="255"/>
        </xsd:restriction>
      </xsd:simpleType>
    </xsd:element>
    <xsd:element name="MediaServiceObjectDetectorVersions" ma:index="28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9aed1b6a-3ac8-47a3-a813-1e2ac029d74e">BPM0-1925678159-240237</_dlc_DocId>
    <lcf76f155ced4ddcb4097134ff3c332f xmlns="55a64f43-bf61-44a4-8de8-44c738c3b35f">
      <Terms xmlns="http://schemas.microsoft.com/office/infopath/2007/PartnerControls"/>
    </lcf76f155ced4ddcb4097134ff3c332f>
    <TaxCatchAll xmlns="9aed1b6a-3ac8-47a3-a813-1e2ac029d74e" xsi:nil="true"/>
    <_dlc_DocIdUrl xmlns="9aed1b6a-3ac8-47a3-a813-1e2ac029d74e">
      <Url>https://sppal.sharepoint.com/sites/BPM/_layouts/15/DocIdRedir.aspx?ID=BPM0-1925678159-240237</Url>
      <Description>BPM0-1925678159-240237</Description>
    </_dlc_DocIdUrl>
    <Description xmlns="55a64f43-bf61-44a4-8de8-44c738c3b35f" xsi:nil="true"/>
  </documentManagement>
</p:properties>
</file>

<file path=customXml/itemProps1.xml><?xml version="1.0" encoding="utf-8"?>
<ds:datastoreItem xmlns:ds="http://schemas.openxmlformats.org/officeDocument/2006/customXml" ds:itemID="{0B8CB089-9DD4-47A2-92FC-F45F19D605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ed1b6a-3ac8-47a3-a813-1e2ac029d74e"/>
    <ds:schemaRef ds:uri="55a64f43-bf61-44a4-8de8-44c738c3b3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1776EE9-F9A5-4242-913F-ADF0FC95E14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5920FEB-DA35-4F96-A902-E7FA4B14F7F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BDE683B-9F79-4C21-95F6-79B95C2DEE8D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B1E9CBF8-2976-47F1-ACFA-BFAD28421CFF}">
  <ds:schemaRefs>
    <ds:schemaRef ds:uri="55a64f43-bf61-44a4-8de8-44c738c3b35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aed1b6a-3ac8-47a3-a813-1e2ac029d74e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BOM_Pivot</vt:lpstr>
      <vt:lpstr>Parameter</vt:lpstr>
      <vt:lpstr>Qty_Typicals</vt:lpstr>
      <vt:lpstr>Qty_all_Devices_Belt</vt:lpstr>
      <vt:lpstr>Qty_all_Devices_ICS</vt:lpstr>
      <vt:lpstr>Conveyor_Types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Rettberg, Frank (AIR TI EN EE ES)</dc:creator>
  <cp:keywords/>
  <dc:description/>
  <cp:lastModifiedBy>Evelyn Eugenia Karta</cp:lastModifiedBy>
  <cp:revision/>
  <dcterms:created xsi:type="dcterms:W3CDTF">2021-11-25T09:26:24Z</dcterms:created>
  <dcterms:modified xsi:type="dcterms:W3CDTF">2024-04-13T22:10:30Z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0b9b341-cd91-4345-a5e6-38fcd3ee2a8c_Enabled">
    <vt:lpwstr>true</vt:lpwstr>
  </property>
  <property fmtid="{D5CDD505-2E9C-101B-9397-08002B2CF9AE}" pid="3" name="MSIP_Label_f0b9b341-cd91-4345-a5e6-38fcd3ee2a8c_SetDate">
    <vt:lpwstr>2021-11-25T13:41:44Z</vt:lpwstr>
  </property>
  <property fmtid="{D5CDD505-2E9C-101B-9397-08002B2CF9AE}" pid="4" name="MSIP_Label_f0b9b341-cd91-4345-a5e6-38fcd3ee2a8c_Method">
    <vt:lpwstr>Privileged</vt:lpwstr>
  </property>
  <property fmtid="{D5CDD505-2E9C-101B-9397-08002B2CF9AE}" pid="5" name="MSIP_Label_f0b9b341-cd91-4345-a5e6-38fcd3ee2a8c_Name">
    <vt:lpwstr>Restricted_Default</vt:lpwstr>
  </property>
  <property fmtid="{D5CDD505-2E9C-101B-9397-08002B2CF9AE}" pid="6" name="MSIP_Label_f0b9b341-cd91-4345-a5e6-38fcd3ee2a8c_SiteId">
    <vt:lpwstr>2affee43-3738-4e92-b0e2-44615bd16e3f</vt:lpwstr>
  </property>
  <property fmtid="{D5CDD505-2E9C-101B-9397-08002B2CF9AE}" pid="7" name="MSIP_Label_f0b9b341-cd91-4345-a5e6-38fcd3ee2a8c_ActionId">
    <vt:lpwstr>c71f0678-1e23-4da8-b5d7-8be1177165ec</vt:lpwstr>
  </property>
  <property fmtid="{D5CDD505-2E9C-101B-9397-08002B2CF9AE}" pid="8" name="MSIP_Label_f0b9b341-cd91-4345-a5e6-38fcd3ee2a8c_ContentBits">
    <vt:lpwstr>0</vt:lpwstr>
  </property>
  <property fmtid="{D5CDD505-2E9C-101B-9397-08002B2CF9AE}" pid="9" name="MediaServiceImageTags">
    <vt:lpwstr/>
  </property>
  <property fmtid="{D5CDD505-2E9C-101B-9397-08002B2CF9AE}" pid="10" name="ContentTypeId">
    <vt:lpwstr>0x0101002B76B0193DF28942B7CEB512C806ED9C</vt:lpwstr>
  </property>
  <property fmtid="{D5CDD505-2E9C-101B-9397-08002B2CF9AE}" pid="11" name="_dlc_DocIdItemGuid">
    <vt:lpwstr>f3568cea-3a42-4828-a425-1dc35e8bc767</vt:lpwstr>
  </property>
</Properties>
</file>